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kar\OneDrive\Desktop\AQI PROJECT\"/>
    </mc:Choice>
  </mc:AlternateContent>
  <xr:revisionPtr revIDLastSave="0" documentId="8_{86763979-730C-4B8B-B9FC-F23A9BF5CBB0}" xr6:coauthVersionLast="47" xr6:coauthVersionMax="47" xr10:uidLastSave="{00000000-0000-0000-0000-000000000000}"/>
  <bookViews>
    <workbookView xWindow="-108" yWindow="-108" windowWidth="23256" windowHeight="12456" activeTab="11" xr2:uid="{A2059670-FD06-4518-813F-A7B393D12269}"/>
  </bookViews>
  <sheets>
    <sheet name="JAN" sheetId="2" r:id="rId1"/>
    <sheet name="FEB" sheetId="3" r:id="rId2"/>
    <sheet name="MAR" sheetId="4" r:id="rId3"/>
    <sheet name="APR" sheetId="5" r:id="rId4"/>
    <sheet name="MAY" sheetId="6" r:id="rId5"/>
    <sheet name="JUN" sheetId="7" r:id="rId6"/>
    <sheet name="JUL" sheetId="8" r:id="rId7"/>
    <sheet name="AUG" sheetId="9" r:id="rId8"/>
    <sheet name="SEPT" sheetId="10" r:id="rId9"/>
    <sheet name="OCT" sheetId="11" r:id="rId10"/>
    <sheet name="NOV" sheetId="12" r:id="rId11"/>
    <sheet name="DEC" sheetId="13" r:id="rId12"/>
  </sheets>
  <definedNames>
    <definedName name="ExternalData_1" localSheetId="3" hidden="1">APR!$A$1:$Y$31</definedName>
    <definedName name="ExternalData_1" localSheetId="7" hidden="1">AUG!$A$1:$Y$32</definedName>
    <definedName name="ExternalData_1" localSheetId="11" hidden="1">DEC!$A$1:$Y$32</definedName>
    <definedName name="ExternalData_1" localSheetId="1" hidden="1">FEB!$A$1:$Y$29</definedName>
    <definedName name="ExternalData_1" localSheetId="0" hidden="1">JAN!$A$1:$Y$32</definedName>
    <definedName name="ExternalData_1" localSheetId="6" hidden="1">JUL!$A$1:$Y$32</definedName>
    <definedName name="ExternalData_1" localSheetId="5" hidden="1">JUN!$A$1:$Y$31</definedName>
    <definedName name="ExternalData_1" localSheetId="2" hidden="1">MAR!$A$1:$Y$32</definedName>
    <definedName name="ExternalData_1" localSheetId="4" hidden="1">MAY!$A$1:$Y$32</definedName>
    <definedName name="ExternalData_1" localSheetId="10" hidden="1">NOV!$A$1:$Y$31</definedName>
    <definedName name="ExternalData_1" localSheetId="9" hidden="1">OCT!$A$1:$Y$32</definedName>
    <definedName name="ExternalData_1" localSheetId="8" hidden="1">SEPT!$A$1:$Y$31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3" i="13" l="1"/>
  <c r="Z3" i="13"/>
  <c r="Z4" i="13"/>
  <c r="Z5" i="13"/>
  <c r="Z6" i="13"/>
  <c r="Z7" i="13"/>
  <c r="Z8" i="13"/>
  <c r="Z9" i="13"/>
  <c r="Z10" i="13"/>
  <c r="Z11" i="13"/>
  <c r="Z12" i="13"/>
  <c r="Z13" i="13"/>
  <c r="Z14" i="13"/>
  <c r="Z15" i="13"/>
  <c r="Z16" i="13"/>
  <c r="Z17" i="13"/>
  <c r="Z18" i="13"/>
  <c r="Z19" i="13"/>
  <c r="Z20" i="13"/>
  <c r="Z21" i="13"/>
  <c r="Z22" i="13"/>
  <c r="Z23" i="13"/>
  <c r="Z24" i="13"/>
  <c r="Z25" i="13"/>
  <c r="Z26" i="13"/>
  <c r="Z27" i="13"/>
  <c r="Z28" i="13"/>
  <c r="Z29" i="13"/>
  <c r="Z30" i="13"/>
  <c r="Z31" i="13"/>
  <c r="Z32" i="13"/>
  <c r="Z2" i="13"/>
  <c r="AA2" i="13" a="1"/>
  <c r="AA3" i="13" a="1"/>
  <c r="AA4" i="13" a="1"/>
  <c r="AA5" i="13" a="1"/>
  <c r="AA6" i="13" a="1"/>
  <c r="AA7" i="13" a="1"/>
  <c r="AA8" i="13" a="1"/>
  <c r="AA9" i="13" a="1"/>
  <c r="AA10" i="13" a="1"/>
  <c r="AA11" i="13" a="1"/>
  <c r="AA12" i="13" a="1"/>
  <c r="AA13" i="13" a="1"/>
  <c r="AA14" i="13" a="1"/>
  <c r="AA15" i="13" a="1"/>
  <c r="AA16" i="13" a="1"/>
  <c r="AA17" i="13" a="1"/>
  <c r="AA18" i="13" a="1"/>
  <c r="AA19" i="13" a="1"/>
  <c r="AA20" i="13" a="1"/>
  <c r="AA21" i="13" a="1"/>
  <c r="AA22" i="13" a="1"/>
  <c r="AA23" i="13" a="1"/>
  <c r="AA24" i="13" a="1"/>
  <c r="AA25" i="13" a="1"/>
  <c r="AA26" i="13" a="1"/>
  <c r="AA27" i="13" a="1"/>
  <c r="AA28" i="13" a="1"/>
  <c r="AA29" i="13" a="1"/>
  <c r="AA30" i="13" a="1"/>
  <c r="AA31" i="13" a="1"/>
  <c r="AA32" i="13" a="1"/>
  <c r="Z32" i="12"/>
  <c r="Z3" i="12"/>
  <c r="Z4" i="12"/>
  <c r="Z5" i="12"/>
  <c r="Z6" i="12"/>
  <c r="Z7" i="12"/>
  <c r="Z8" i="12"/>
  <c r="Z9" i="12"/>
  <c r="Z10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2" i="12"/>
  <c r="AA2" i="12" a="1"/>
  <c r="AA3" i="12" a="1"/>
  <c r="AA4" i="12" a="1"/>
  <c r="AA5" i="12" a="1"/>
  <c r="AA6" i="12" a="1"/>
  <c r="AA7" i="12" a="1"/>
  <c r="AA8" i="12" a="1"/>
  <c r="AA9" i="12" a="1"/>
  <c r="AA10" i="12" a="1"/>
  <c r="AA11" i="12" a="1"/>
  <c r="AA12" i="12" a="1"/>
  <c r="AA13" i="12" a="1"/>
  <c r="AA14" i="12" a="1"/>
  <c r="AA15" i="12" a="1"/>
  <c r="AA16" i="12" a="1"/>
  <c r="AA17" i="12" a="1"/>
  <c r="AA18" i="12" a="1"/>
  <c r="AA19" i="12" a="1"/>
  <c r="AA20" i="12" a="1"/>
  <c r="AA21" i="12" a="1"/>
  <c r="AA22" i="12" a="1"/>
  <c r="AA23" i="12" a="1"/>
  <c r="AA24" i="12" a="1"/>
  <c r="AA25" i="12" a="1"/>
  <c r="AA26" i="12" a="1"/>
  <c r="AA27" i="12" a="1"/>
  <c r="AA28" i="12" a="1"/>
  <c r="AA29" i="12" a="1"/>
  <c r="AA30" i="12" a="1"/>
  <c r="AA31" i="12" a="1"/>
  <c r="Z33" i="11"/>
  <c r="Z3" i="11"/>
  <c r="AA3" i="11" s="1" a="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2" i="11"/>
  <c r="AA2" i="11" a="1"/>
  <c r="AA4" i="11" a="1"/>
  <c r="AA5" i="11" a="1"/>
  <c r="AA6" i="11" a="1"/>
  <c r="AA7" i="11" a="1"/>
  <c r="AA8" i="11" a="1"/>
  <c r="AA9" i="11" a="1"/>
  <c r="AA10" i="11" a="1"/>
  <c r="AA11" i="11" a="1"/>
  <c r="AA12" i="11" a="1"/>
  <c r="AA13" i="11" a="1"/>
  <c r="AA14" i="11" a="1"/>
  <c r="AA15" i="11" a="1"/>
  <c r="AA16" i="11" a="1"/>
  <c r="AA17" i="11" a="1"/>
  <c r="AA18" i="11" a="1"/>
  <c r="AA19" i="11" a="1"/>
  <c r="AA20" i="11" a="1"/>
  <c r="AA21" i="11" a="1"/>
  <c r="AA22" i="11" a="1"/>
  <c r="AA23" i="11" a="1"/>
  <c r="AA24" i="11" a="1"/>
  <c r="AA25" i="11" a="1"/>
  <c r="AA26" i="11" a="1"/>
  <c r="AA27" i="11" a="1"/>
  <c r="AA28" i="11" a="1"/>
  <c r="AA29" i="11" a="1"/>
  <c r="AA30" i="11" a="1"/>
  <c r="AA31" i="11" a="1"/>
  <c r="AA32" i="11" a="1"/>
  <c r="Z32" i="10"/>
  <c r="Z3" i="10"/>
  <c r="Z4" i="10"/>
  <c r="Z5" i="10"/>
  <c r="Z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2" i="10"/>
  <c r="AA2" i="10" a="1"/>
  <c r="AA3" i="10" a="1"/>
  <c r="AA4" i="10" a="1"/>
  <c r="AA5" i="10" a="1"/>
  <c r="AA6" i="10" a="1"/>
  <c r="AA7" i="10" a="1"/>
  <c r="AA8" i="10" a="1"/>
  <c r="AA9" i="10" a="1"/>
  <c r="AA10" i="10" a="1"/>
  <c r="AA11" i="10" a="1"/>
  <c r="AA12" i="10" a="1"/>
  <c r="AA13" i="10" a="1"/>
  <c r="AA14" i="10" a="1"/>
  <c r="AA15" i="10" a="1"/>
  <c r="AA16" i="10" a="1"/>
  <c r="AA17" i="10" a="1"/>
  <c r="AA18" i="10" a="1"/>
  <c r="AA19" i="10" a="1"/>
  <c r="AA20" i="10" a="1"/>
  <c r="AA21" i="10" a="1"/>
  <c r="AA22" i="10" a="1"/>
  <c r="AA23" i="10" a="1"/>
  <c r="AA24" i="10" a="1"/>
  <c r="AA25" i="10" a="1"/>
  <c r="AA26" i="10" a="1"/>
  <c r="AA27" i="10" a="1"/>
  <c r="AA28" i="10" a="1"/>
  <c r="AA29" i="10" a="1"/>
  <c r="AA30" i="10" a="1"/>
  <c r="AA31" i="10" a="1"/>
  <c r="Z33" i="9"/>
  <c r="Z4" i="9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" i="9"/>
  <c r="Z2" i="9"/>
  <c r="AA2" i="9" a="1"/>
  <c r="AA3" i="9" a="1"/>
  <c r="AA4" i="9" a="1"/>
  <c r="AA5" i="9" a="1"/>
  <c r="AA6" i="9" a="1"/>
  <c r="AA7" i="9" a="1"/>
  <c r="AA8" i="9" a="1"/>
  <c r="AA9" i="9" a="1"/>
  <c r="AA10" i="9" a="1"/>
  <c r="AA11" i="9" a="1"/>
  <c r="AA12" i="9" a="1"/>
  <c r="AA13" i="9" a="1"/>
  <c r="AA14" i="9" a="1"/>
  <c r="AA15" i="9" a="1"/>
  <c r="AA16" i="9" a="1"/>
  <c r="AA17" i="9" a="1"/>
  <c r="AA18" i="9" a="1"/>
  <c r="AA19" i="9" a="1"/>
  <c r="AA20" i="9" a="1"/>
  <c r="AA21" i="9" a="1"/>
  <c r="AA22" i="9" a="1"/>
  <c r="AA23" i="9" a="1"/>
  <c r="AA24" i="9" a="1"/>
  <c r="AA25" i="9" a="1"/>
  <c r="AA26" i="9" a="1"/>
  <c r="AA27" i="9" a="1"/>
  <c r="AA28" i="9" a="1"/>
  <c r="AA29" i="9" a="1"/>
  <c r="AA30" i="9" a="1"/>
  <c r="AA31" i="9" a="1"/>
  <c r="AA32" i="9" a="1"/>
  <c r="Z33" i="8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2" i="8"/>
  <c r="AA2" i="8" a="1"/>
  <c r="AA3" i="8" a="1"/>
  <c r="AA4" i="8" a="1"/>
  <c r="AA5" i="8" a="1"/>
  <c r="AA6" i="8" a="1"/>
  <c r="AA7" i="8" a="1"/>
  <c r="AA8" i="8" a="1"/>
  <c r="AA9" i="8" a="1"/>
  <c r="AA10" i="8" a="1"/>
  <c r="AA11" i="8" a="1"/>
  <c r="AA12" i="8" a="1"/>
  <c r="AA13" i="8" a="1"/>
  <c r="AA14" i="8" a="1"/>
  <c r="AA15" i="8" a="1"/>
  <c r="AA16" i="8" a="1"/>
  <c r="AA17" i="8" a="1"/>
  <c r="AA18" i="8" a="1"/>
  <c r="AA19" i="8" a="1"/>
  <c r="AA20" i="8" a="1"/>
  <c r="AA21" i="8" a="1"/>
  <c r="AA22" i="8" a="1"/>
  <c r="AA23" i="8" a="1"/>
  <c r="AA24" i="8" a="1"/>
  <c r="AA25" i="8" a="1"/>
  <c r="AA26" i="8" a="1"/>
  <c r="AA27" i="8" a="1"/>
  <c r="AA28" i="8" a="1"/>
  <c r="AA29" i="8" a="1"/>
  <c r="AA30" i="8" a="1"/>
  <c r="AA31" i="8" a="1"/>
  <c r="AA32" i="8" a="1"/>
  <c r="Z32" i="7"/>
  <c r="Z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2" i="7"/>
  <c r="AA2" i="7" a="1"/>
  <c r="AA3" i="7" a="1"/>
  <c r="AA4" i="7" a="1"/>
  <c r="AA5" i="7" a="1"/>
  <c r="AA6" i="7" a="1"/>
  <c r="AA7" i="7" a="1"/>
  <c r="AA8" i="7" a="1"/>
  <c r="AA9" i="7" a="1"/>
  <c r="AA10" i="7" a="1"/>
  <c r="AA11" i="7" a="1"/>
  <c r="AA12" i="7" a="1"/>
  <c r="AA13" i="7" a="1"/>
  <c r="AA14" i="7" a="1"/>
  <c r="AA15" i="7" a="1"/>
  <c r="AA16" i="7" a="1"/>
  <c r="AA17" i="7" a="1"/>
  <c r="AA18" i="7" a="1"/>
  <c r="AA19" i="7" a="1"/>
  <c r="AA20" i="7" a="1"/>
  <c r="AA21" i="7" a="1"/>
  <c r="AA22" i="7" a="1"/>
  <c r="AA23" i="7" a="1"/>
  <c r="AA24" i="7" a="1"/>
  <c r="AA25" i="7" a="1"/>
  <c r="AA26" i="7" a="1"/>
  <c r="AA27" i="7" a="1"/>
  <c r="AA28" i="7" a="1"/>
  <c r="AA29" i="7" a="1"/>
  <c r="AA30" i="7" a="1"/>
  <c r="AA31" i="7" a="1"/>
  <c r="Z33" i="6"/>
  <c r="Z3" i="6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2" i="6"/>
  <c r="AA2" i="6" a="1"/>
  <c r="AA3" i="6" a="1"/>
  <c r="AA4" i="6" a="1"/>
  <c r="AA5" i="6" a="1"/>
  <c r="AA6" i="6" a="1"/>
  <c r="AA7" i="6" a="1"/>
  <c r="AA8" i="6" a="1"/>
  <c r="AA9" i="6" a="1"/>
  <c r="AA10" i="6" a="1"/>
  <c r="AA11" i="6" a="1"/>
  <c r="AA12" i="6" a="1"/>
  <c r="AA13" i="6" a="1"/>
  <c r="AA14" i="6" a="1"/>
  <c r="AA15" i="6" a="1"/>
  <c r="AA16" i="6" a="1"/>
  <c r="AA17" i="6" a="1"/>
  <c r="AA18" i="6" a="1"/>
  <c r="AA19" i="6" a="1"/>
  <c r="AA20" i="6" a="1"/>
  <c r="AA21" i="6" a="1"/>
  <c r="AA22" i="6" a="1"/>
  <c r="AA23" i="6" a="1"/>
  <c r="AA24" i="6" a="1"/>
  <c r="AA25" i="6" a="1"/>
  <c r="AA26" i="6" a="1"/>
  <c r="AA27" i="6" a="1"/>
  <c r="AA28" i="6" a="1"/>
  <c r="AA29" i="6" a="1"/>
  <c r="AA30" i="6" a="1"/>
  <c r="AA31" i="6" a="1"/>
  <c r="AA32" i="6" a="1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2" i="5"/>
  <c r="AA2" i="5" a="1"/>
  <c r="AA3" i="5" a="1"/>
  <c r="AA4" i="5" a="1"/>
  <c r="AA5" i="5" a="1"/>
  <c r="AA6" i="5" a="1"/>
  <c r="AA7" i="5" a="1"/>
  <c r="AA8" i="5" a="1"/>
  <c r="AA9" i="5" a="1"/>
  <c r="AA10" i="5" a="1"/>
  <c r="AA11" i="5" a="1"/>
  <c r="AA12" i="5" a="1"/>
  <c r="AA13" i="5" a="1"/>
  <c r="AA14" i="5" a="1"/>
  <c r="AA15" i="5" a="1"/>
  <c r="AA16" i="5" a="1"/>
  <c r="AA17" i="5" a="1"/>
  <c r="AA18" i="5" a="1"/>
  <c r="AA19" i="5" a="1"/>
  <c r="AA20" i="5" a="1"/>
  <c r="AA21" i="5" a="1"/>
  <c r="AA22" i="5" a="1"/>
  <c r="AA23" i="5" a="1"/>
  <c r="AA24" i="5" a="1"/>
  <c r="AA25" i="5" a="1"/>
  <c r="AA26" i="5" a="1"/>
  <c r="AA27" i="5" a="1"/>
  <c r="AA28" i="5" a="1"/>
  <c r="AA29" i="5" a="1"/>
  <c r="AA30" i="5" a="1"/>
  <c r="AA31" i="5" a="1"/>
  <c r="Z33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AA15" i="4" s="1" a="1"/>
  <c r="Z16" i="4"/>
  <c r="AA16" i="4" s="1" a="1"/>
  <c r="Z17" i="4"/>
  <c r="AA17" i="4" s="1" a="1"/>
  <c r="Z18" i="4"/>
  <c r="AA18" i="4" s="1" a="1"/>
  <c r="Z19" i="4"/>
  <c r="AA19" i="4" s="1" a="1"/>
  <c r="Z20" i="4"/>
  <c r="AA20" i="4" s="1" a="1"/>
  <c r="Z21" i="4"/>
  <c r="AA21" i="4" s="1" a="1"/>
  <c r="Z22" i="4"/>
  <c r="AA22" i="4" s="1" a="1"/>
  <c r="Z23" i="4"/>
  <c r="AA23" i="4" s="1" a="1"/>
  <c r="Z24" i="4"/>
  <c r="AA24" i="4" s="1" a="1"/>
  <c r="Z25" i="4"/>
  <c r="AA25" i="4" s="1" a="1"/>
  <c r="Z26" i="4"/>
  <c r="AA26" i="4" s="1" a="1"/>
  <c r="Z27" i="4"/>
  <c r="AA27" i="4" s="1" a="1"/>
  <c r="Z28" i="4"/>
  <c r="AA28" i="4" s="1" a="1"/>
  <c r="Z29" i="4"/>
  <c r="AA29" i="4" s="1" a="1"/>
  <c r="Z30" i="4"/>
  <c r="AA30" i="4" s="1" a="1"/>
  <c r="Z31" i="4"/>
  <c r="AA31" i="4" s="1" a="1"/>
  <c r="Z32" i="4"/>
  <c r="AA32" i="4" s="1" a="1"/>
  <c r="Z2" i="4"/>
  <c r="AA2" i="4" a="1"/>
  <c r="AA3" i="4" a="1"/>
  <c r="AA4" i="4" a="1"/>
  <c r="AA5" i="4" a="1"/>
  <c r="AA6" i="4" a="1"/>
  <c r="AA7" i="4" a="1"/>
  <c r="AA8" i="4" a="1"/>
  <c r="AA9" i="4" a="1"/>
  <c r="AA10" i="4" a="1"/>
  <c r="AA11" i="4" a="1"/>
  <c r="AA12" i="4" a="1"/>
  <c r="AA13" i="4" a="1"/>
  <c r="AA14" i="4" a="1"/>
  <c r="Z30" i="3"/>
  <c r="Z3" i="3"/>
  <c r="AA3" i="3" s="1" a="1"/>
  <c r="Z4" i="3"/>
  <c r="AA4" i="3" s="1" a="1"/>
  <c r="Z5" i="3"/>
  <c r="AA5" i="3" s="1" a="1"/>
  <c r="Z6" i="3"/>
  <c r="AA6" i="3" s="1" a="1"/>
  <c r="Z7" i="3"/>
  <c r="AA7" i="3" s="1" a="1"/>
  <c r="Z8" i="3"/>
  <c r="AA8" i="3" s="1" a="1"/>
  <c r="Z9" i="3"/>
  <c r="AA9" i="3" s="1" a="1"/>
  <c r="Z10" i="3"/>
  <c r="AA10" i="3" s="1" a="1"/>
  <c r="Z11" i="3"/>
  <c r="AA11" i="3" s="1" a="1"/>
  <c r="Z12" i="3"/>
  <c r="AA12" i="3" s="1" a="1"/>
  <c r="Z13" i="3"/>
  <c r="AA13" i="3" s="1" a="1"/>
  <c r="Z14" i="3"/>
  <c r="AA14" i="3" s="1" a="1"/>
  <c r="Z15" i="3"/>
  <c r="AA15" i="3" s="1" a="1"/>
  <c r="Z16" i="3"/>
  <c r="AA16" i="3" s="1" a="1"/>
  <c r="Z17" i="3"/>
  <c r="AA17" i="3" s="1" a="1"/>
  <c r="Z18" i="3"/>
  <c r="AA18" i="3" s="1" a="1"/>
  <c r="Z19" i="3"/>
  <c r="AA19" i="3" s="1" a="1"/>
  <c r="Z20" i="3"/>
  <c r="AA20" i="3" s="1" a="1"/>
  <c r="Z21" i="3"/>
  <c r="AA21" i="3" s="1" a="1"/>
  <c r="Z22" i="3"/>
  <c r="AA22" i="3" s="1" a="1"/>
  <c r="Z23" i="3"/>
  <c r="AA23" i="3" s="1" a="1"/>
  <c r="Z24" i="3"/>
  <c r="AA24" i="3" s="1" a="1"/>
  <c r="Z25" i="3"/>
  <c r="AA25" i="3" s="1" a="1"/>
  <c r="Z26" i="3"/>
  <c r="AA26" i="3" s="1" a="1"/>
  <c r="Z27" i="3"/>
  <c r="AA27" i="3" s="1" a="1"/>
  <c r="Z28" i="3"/>
  <c r="AA28" i="3" s="1" a="1"/>
  <c r="Z29" i="3"/>
  <c r="AA29" i="3" s="1" a="1"/>
  <c r="Z2" i="3"/>
  <c r="Z33" i="2"/>
  <c r="Z3" i="2"/>
  <c r="AA3" i="2" s="1" a="1"/>
  <c r="Z4" i="2"/>
  <c r="AA4" i="2" s="1" a="1"/>
  <c r="Z5" i="2"/>
  <c r="AA5" i="2" s="1" a="1"/>
  <c r="Z6" i="2"/>
  <c r="AA6" i="2" s="1" a="1"/>
  <c r="Z7" i="2"/>
  <c r="AA7" i="2" s="1" a="1"/>
  <c r="Z8" i="2"/>
  <c r="AA8" i="2" s="1" a="1"/>
  <c r="Z9" i="2"/>
  <c r="AA9" i="2" s="1" a="1"/>
  <c r="Z10" i="2"/>
  <c r="AA10" i="2" s="1" a="1"/>
  <c r="Z11" i="2"/>
  <c r="AA11" i="2" s="1" a="1"/>
  <c r="Z12" i="2"/>
  <c r="AA12" i="2" s="1" a="1"/>
  <c r="Z13" i="2"/>
  <c r="AA13" i="2" s="1" a="1"/>
  <c r="Z14" i="2"/>
  <c r="AA14" i="2" s="1" a="1"/>
  <c r="Z15" i="2"/>
  <c r="AA15" i="2" s="1" a="1"/>
  <c r="Z16" i="2"/>
  <c r="AA16" i="2" s="1" a="1"/>
  <c r="Z17" i="2"/>
  <c r="AA17" i="2" s="1" a="1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2" i="2"/>
  <c r="AA18" i="2" a="1"/>
  <c r="AA19" i="2" a="1"/>
  <c r="AA20" i="2" a="1"/>
  <c r="AA21" i="2" a="1"/>
  <c r="AA22" i="2" a="1"/>
  <c r="AA23" i="2" a="1"/>
  <c r="AA24" i="2" a="1"/>
  <c r="AA25" i="2" a="1"/>
  <c r="AA26" i="2" a="1"/>
  <c r="AA27" i="2" a="1"/>
  <c r="AA28" i="2" a="1"/>
  <c r="AA29" i="2" a="1"/>
  <c r="AA30" i="2" a="1"/>
  <c r="AA31" i="2" a="1"/>
  <c r="AA32" i="2" a="1"/>
  <c r="AA2" i="3" l="1" a="1"/>
  <c r="AA2" i="2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D0FA6F-87FE-4920-B1C7-19D3E566B77A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4C26CDDF-E901-4043-906D-9466F93901F0}" keepAlive="1" name="Query - Sheet1 (10)" description="Connection to the 'Sheet1 (10)' query in the workbook." type="5" refreshedVersion="8" background="1" saveData="1">
    <dbPr connection="Provider=Microsoft.Mashup.OleDb.1;Data Source=$Workbook$;Location=&quot;Sheet1 (10)&quot;;Extended Properties=&quot;&quot;" command="SELECT * FROM [Sheet1 (10)]"/>
  </connection>
  <connection id="3" xr16:uid="{E09DC792-8641-4764-A665-B90400C1E497}" keepAlive="1" name="Query - Sheet1 (11)" description="Connection to the 'Sheet1 (11)' query in the workbook." type="5" refreshedVersion="8" background="1" saveData="1">
    <dbPr connection="Provider=Microsoft.Mashup.OleDb.1;Data Source=$Workbook$;Location=&quot;Sheet1 (11)&quot;;Extended Properties=&quot;&quot;" command="SELECT * FROM [Sheet1 (11)]"/>
  </connection>
  <connection id="4" xr16:uid="{6F184875-EA0B-4BB2-AFC7-B0263C3456E6}" keepAlive="1" name="Query - Sheet1 (12)" description="Connection to the 'Sheet1 (12)' query in the workbook." type="5" refreshedVersion="8" background="1" saveData="1">
    <dbPr connection="Provider=Microsoft.Mashup.OleDb.1;Data Source=$Workbook$;Location=&quot;Sheet1 (12)&quot;;Extended Properties=&quot;&quot;" command="SELECT * FROM [Sheet1 (12)]"/>
  </connection>
  <connection id="5" xr16:uid="{9F7EC1FF-FA8B-466D-9D96-0E7BC1EAB9ED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6" xr16:uid="{CC35FBB1-6134-46B4-BC09-2116D70157B5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7" xr16:uid="{101EADE0-8A1B-40BB-9061-79F50AF05A0D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8" xr16:uid="{D0AA6515-50D3-42B7-8276-69C51089D33B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9" xr16:uid="{0D3A6087-FA3C-4F64-85CF-8AF8019FF39D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10" xr16:uid="{EC7B1FBB-31EF-448F-B34B-9E754A58438D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  <connection id="11" xr16:uid="{F6D56392-04C3-4023-83D2-DA1FCA91AD75}" keepAlive="1" name="Query - Sheet1 (8)" description="Connection to the 'Sheet1 (8)' query in the workbook." type="5" refreshedVersion="8" background="1" saveData="1">
    <dbPr connection="Provider=Microsoft.Mashup.OleDb.1;Data Source=$Workbook$;Location=&quot;Sheet1 (8)&quot;;Extended Properties=&quot;&quot;" command="SELECT * FROM [Sheet1 (8)]"/>
  </connection>
  <connection id="12" xr16:uid="{3BFDFDF4-A25A-4167-B967-CC30529FE338}" keepAlive="1" name="Query - Sheet1 (9)" description="Connection to the 'Sheet1 (9)' query in the workbook." type="5" refreshedVersion="8" background="1" saveData="1">
    <dbPr connection="Provider=Microsoft.Mashup.OleDb.1;Data Source=$Workbook$;Location=&quot;Sheet1 (9)&quot;;Extended Properties=&quot;&quot;" command="SELECT * FROM [Sheet1 (9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<sst xmlns="http://schemas.openxmlformats.org/spreadsheetml/2006/main" count="324" uniqueCount="27">
  <si>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</si>
  <si>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</si>
  <si>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</si>
  <si>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</si>
  <si>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</si>
  <si>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</si>
  <si>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</si>
  <si>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</si>
  <si>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</si>
  <si>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</si>
  <si>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</si>
  <si>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</si>
  <si>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</si>
  <si>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</si>
  <si>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</si>
  <si>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</si>
  <si>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</si>
  <si>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</si>
  <si>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</si>
  <si>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</si>
  <si>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</si>
  <si>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</si>
  <si>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</si>
  <si>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</si>
  <si>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</si>
  <si>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AVERAGE AQI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</si>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</sst>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7"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C00000"/>
        </patternFill>
      </fill>
    </dxf>
    <dxf>
      <numFmt numFmtId="0" formatCode="General"/>
    </dxf>
    <dxf>
      <numFmt numFmtId="0" formatCode="General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1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2801EC-C844-4C79-A114-5A458260CC64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1AAC02A-0C46-4D5F-808A-BD9A4943E90B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F3778A3-C230-4EF6-999A-A3D2EC96DD45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8FB6B6E4-6F31-4B1D-BE2B-557D42F57838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5AE57B6A-BB8E-4DF9-B426-315E1F49F200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2B83D75A-54DB-4543-9E74-E15DDB818357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22597EB7-B3CB-44CA-888E-CCD27123C943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C930AF1D-50F8-4169-90D8-D8CD4D1B3E84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91F18398-5874-4E75-99F6-5406E7FE3161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ABA2A93-DEDC-41E6-B031-C3D26E3FE2EB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8A157E5-D638-477A-ACEF-A191396F66F0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83991A0-BB00-4E50-893C-BBB50DB78FC4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E4B256-AEE3-4579-8A6A-A8E94F96936F}" name="Sheet1" displayName="Sheet1" ref="A1:AA33" tableType="queryTable" totalsRowCount="1">
  <autoFilter ref="A1:AA32" xr:uid="{9AE4B256-AEE3-4579-8A6A-A8E94F96936F}"/>
  <tableColumns count="27">
    <tableColumn id="1" xr3:uid="{A4DE2342-3721-4DBC-A82F-A3D8577948A8}" uniqueName="1" name="Date" queryTableFieldId="1"/>
    <tableColumn id="2" xr3:uid="{E8EB4A26-1B98-4B84-824A-CB177F88776C}" uniqueName="2" name="00:00:00" queryTableFieldId="2"/>
    <tableColumn id="3" xr3:uid="{D5857899-2D86-4F23-9A61-BFF5872CCB28}" uniqueName="3" name="01:00:00" queryTableFieldId="3"/>
    <tableColumn id="4" xr3:uid="{F5243E92-E8E3-4BBC-B120-AC8C5DE85F63}" uniqueName="4" name="02:00:00" queryTableFieldId="4"/>
    <tableColumn id="5" xr3:uid="{4E6006B3-E6E2-4C07-9656-CFF6A6145CC5}" uniqueName="5" name="03:00:00" queryTableFieldId="5"/>
    <tableColumn id="6" xr3:uid="{3F20E5FC-B384-4BAC-A772-C4237405445E}" uniqueName="6" name="04:00:00" queryTableFieldId="6"/>
    <tableColumn id="7" xr3:uid="{7F62C9BF-2E74-4877-927F-DCD017D6A968}" uniqueName="7" name="05:00:00" queryTableFieldId="7"/>
    <tableColumn id="8" xr3:uid="{AF58611F-1A73-47C6-857E-AD1CB3B2EDBF}" uniqueName="8" name="06:00:00" queryTableFieldId="8"/>
    <tableColumn id="9" xr3:uid="{6EBD007E-F3D5-49BC-BFD7-AF816123574C}" uniqueName="9" name="07:00:00" queryTableFieldId="9"/>
    <tableColumn id="10" xr3:uid="{ADA13CC7-5904-42AD-803A-C194025B3651}" uniqueName="10" name="08:00:00" queryTableFieldId="10"/>
    <tableColumn id="11" xr3:uid="{7F83E0BE-94BF-4E84-9AD6-8737734B6506}" uniqueName="11" name="09:00:00" queryTableFieldId="11"/>
    <tableColumn id="12" xr3:uid="{E75E520B-4B3D-4EC1-83EB-889331C33763}" uniqueName="12" name="10:00:00" queryTableFieldId="12"/>
    <tableColumn id="13" xr3:uid="{AE9986E9-42E8-4FB5-9043-36A54C1F5FB0}" uniqueName="13" name="11:00:00" queryTableFieldId="13"/>
    <tableColumn id="14" xr3:uid="{FA444C3A-5291-4ED5-B142-08C20A7DB2F8}" uniqueName="14" name="12:00:00" queryTableFieldId="14"/>
    <tableColumn id="15" xr3:uid="{B2887FFA-D8F2-4C91-B4B2-CCE37D5AF8B8}" uniqueName="15" name="13:00:00" queryTableFieldId="15"/>
    <tableColumn id="16" xr3:uid="{11AFB18C-74C8-4FAC-AAED-5DD12FCD25BF}" uniqueName="16" name="14:00:00" queryTableFieldId="16"/>
    <tableColumn id="17" xr3:uid="{6BEC8CCD-A47A-42C4-851E-E90B96EA41D6}" uniqueName="17" name="15:00:00" queryTableFieldId="17"/>
    <tableColumn id="18" xr3:uid="{4BCD27E3-2A7C-445F-B319-61AC8C41BA5E}" uniqueName="18" name="16:00:00" queryTableFieldId="18"/>
    <tableColumn id="19" xr3:uid="{2004B66B-D164-4508-B862-F1B4CE1EE665}" uniqueName="19" name="17:00:00" queryTableFieldId="19"/>
    <tableColumn id="20" xr3:uid="{171F5994-D2C7-429F-A04E-14568F664030}" uniqueName="20" name="18:00:00" queryTableFieldId="20"/>
    <tableColumn id="21" xr3:uid="{80A06D70-BF8D-4074-AB41-F9DC8971B0D5}" uniqueName="21" name="19:00:00" queryTableFieldId="21"/>
    <tableColumn id="22" xr3:uid="{02C33086-D1A2-4D35-B230-BABE70E46C23}" uniqueName="22" name="20:00:00" queryTableFieldId="22"/>
    <tableColumn id="23" xr3:uid="{B875B196-11FF-46CA-A97E-A6BC863E7E1C}" uniqueName="23" name="21:00:00" queryTableFieldId="23"/>
    <tableColumn id="24" xr3:uid="{7C5170AB-A6AD-4C0C-A6A2-50A3A426DE45}" uniqueName="24" name="22:00:00" queryTableFieldId="24"/>
    <tableColumn id="25" xr3:uid="{A3BF533D-1F10-40ED-8650-360C74DFEDFB}" uniqueName="25" name="23:00:00" queryTableFieldId="25"/>
    <tableColumn id="26" xr3:uid="{C3FE2CD1-B650-4182-8BF2-ABB07D1E6C2D}" uniqueName="26" name="AVERAGE AQI" totalsRowFunction="average" queryTableFieldId="26" dataDxfId="105" totalsRowDxfId="100">
      <calculatedColumnFormula>AVERAGE(Sheet1[[#This Row],[00:00:00]:[23:00:00]])</calculatedColumnFormula>
    </tableColumn>
    <tableColumn id="27" xr3:uid="{E6D13EC9-EEC4-436F-B0B6-B7F7D58EB120}" uniqueName="27" name="QUALITY" queryTableFieldId="27" dataDxfId="106" totalsRowDxfId="99">
      <calculatedColumnFormula array="1">_xlfn.IFS(Sheet1[[#This Row],[AVERAGE AQI]]&lt;50,"GOOD",Sheet1[[#This Row],[AVERAGE AQI]]&lt;=100,"MODERATE",Sheet1[[#This Row],[AVERAGE AQI]]&lt;=150,"BAD",Sheet1[[#This Row],[AVERAGE AQI]]&lt;=200,"VERY BAD",Sheet1[[#This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61818E-9BBC-4E35-8B03-F9E09604C085}" name="Sheet1__2" displayName="Sheet1__2" ref="A1:AA30" tableType="queryTable" totalsRowCount="1">
  <autoFilter ref="A1:AA29" xr:uid="{1861818E-9BBC-4E35-8B03-F9E09604C085}"/>
  <tableColumns count="27">
    <tableColumn id="1" xr3:uid="{390F7310-FE1E-4A6C-8821-FB3EC0A6DEE6}" uniqueName="1" name="Date" queryTableFieldId="1"/>
    <tableColumn id="2" xr3:uid="{36A84E64-F18E-4DE2-8260-36007D51F296}" uniqueName="2" name="00:00:00" queryTableFieldId="2"/>
    <tableColumn id="3" xr3:uid="{9FEC8D00-4AF6-4081-B3F1-CC580B77B79E}" uniqueName="3" name="01:00:00" queryTableFieldId="3"/>
    <tableColumn id="4" xr3:uid="{85D75E24-FAA6-4875-94CC-A8C7E21643CE}" uniqueName="4" name="02:00:00" queryTableFieldId="4"/>
    <tableColumn id="5" xr3:uid="{309C6B5C-F4A8-4B8A-B86B-1352CDF531AC}" uniqueName="5" name="03:00:00" queryTableFieldId="5"/>
    <tableColumn id="6" xr3:uid="{5F618F69-D0F3-4AEA-BE22-051D6E977655}" uniqueName="6" name="04:00:00" queryTableFieldId="6"/>
    <tableColumn id="7" xr3:uid="{B545A78F-25DA-4399-96FC-CC37C76AEE8E}" uniqueName="7" name="05:00:00" queryTableFieldId="7"/>
    <tableColumn id="8" xr3:uid="{206DECEF-8376-4F72-A440-AFB11F03F64E}" uniqueName="8" name="06:00:00" queryTableFieldId="8"/>
    <tableColumn id="9" xr3:uid="{E64893AF-0138-47D4-A522-38280E9649F8}" uniqueName="9" name="07:00:00" queryTableFieldId="9"/>
    <tableColumn id="10" xr3:uid="{EEE0D1B3-E014-4C15-89F9-8CF1D9A80A79}" uniqueName="10" name="08:00:00" queryTableFieldId="10"/>
    <tableColumn id="11" xr3:uid="{374D4DEB-8D40-4700-8DDE-8CEB0B889A68}" uniqueName="11" name="09:00:00" queryTableFieldId="11"/>
    <tableColumn id="12" xr3:uid="{88295032-E2E6-4406-ACA6-674011E90B0C}" uniqueName="12" name="10:00:00" queryTableFieldId="12"/>
    <tableColumn id="13" xr3:uid="{43AF92BE-8323-4225-9E6E-62BE8AA086F9}" uniqueName="13" name="11:00:00" queryTableFieldId="13"/>
    <tableColumn id="14" xr3:uid="{895F90EB-92C4-4D5F-A614-9638BEAFA888}" uniqueName="14" name="12:00:00" queryTableFieldId="14"/>
    <tableColumn id="15" xr3:uid="{8BB69FCB-F542-4EC3-8294-57A0A27243E5}" uniqueName="15" name="13:00:00" queryTableFieldId="15"/>
    <tableColumn id="16" xr3:uid="{272BC7DB-232A-413D-BA8A-A5AA4EF27937}" uniqueName="16" name="14:00:00" queryTableFieldId="16"/>
    <tableColumn id="17" xr3:uid="{9E0705C5-7FD4-4862-B489-8DE4F98C7790}" uniqueName="17" name="15:00:00" queryTableFieldId="17"/>
    <tableColumn id="18" xr3:uid="{31E9B3B0-AC4C-440C-BD80-630D16A4F638}" uniqueName="18" name="16:00:00" queryTableFieldId="18"/>
    <tableColumn id="19" xr3:uid="{0A5B6577-8365-4133-B1B0-597033EAAE01}" uniqueName="19" name="17:00:00" queryTableFieldId="19"/>
    <tableColumn id="20" xr3:uid="{2805ED0E-B0C9-4F04-AD61-1716C586A2D4}" uniqueName="20" name="18:00:00" queryTableFieldId="20"/>
    <tableColumn id="21" xr3:uid="{B3629162-ACF8-40BD-9473-2D2CE027F46D}" uniqueName="21" name="19:00:00" queryTableFieldId="21"/>
    <tableColumn id="22" xr3:uid="{816FF4E1-92A9-43A6-9411-D0C3DFCBED81}" uniqueName="22" name="20:00:00" queryTableFieldId="22"/>
    <tableColumn id="23" xr3:uid="{46A2C7CF-DC6E-4975-80D0-036567D7388E}" uniqueName="23" name="21:00:00" queryTableFieldId="23"/>
    <tableColumn id="24" xr3:uid="{78918902-4AC8-4505-9810-F4ED4A5BB82E}" uniqueName="24" name="22:00:00" queryTableFieldId="24"/>
    <tableColumn id="25" xr3:uid="{EEACC018-25E6-4E86-B8AF-4579F781E7C2}" uniqueName="25" name="23:00:00" queryTableFieldId="25"/>
    <tableColumn id="26" xr3:uid="{F2E645BE-1923-4D06-B3C2-92D59571A01D}" uniqueName="26" name="AVERAGE AQI" totalsRowFunction="average" queryTableFieldId="26" dataDxfId="97" totalsRowDxfId="96">
      <calculatedColumnFormula>AVERAGE(Sheet1__2[[#This Row],[00:00:00]:[23:00:00]])</calculatedColumnFormula>
    </tableColumn>
    <tableColumn id="27" xr3:uid="{9EA2E4C5-170D-47C1-A658-C1BFCA24FDAE}" uniqueName="27" name="QUALITY" queryTableFieldId="27" dataDxfId="98" totalsRowDxfId="95">
      <calculatedColumnFormula array="1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E72DD5-CB07-4AD7-9901-CFBAD38A5DB1}" name="Sheet1__3" displayName="Sheet1__3" ref="A1:AA33" tableType="queryTable" totalsRowCount="1">
  <autoFilter ref="A1:AA32" xr:uid="{3FE72DD5-CB07-4AD7-9901-CFBAD38A5DB1}"/>
  <tableColumns count="27">
    <tableColumn id="1" xr3:uid="{D02DA285-8695-48C3-AFDB-2156CDD516D8}" uniqueName="1" name="Date" queryTableFieldId="1"/>
    <tableColumn id="2" xr3:uid="{F0DE9D0A-6B66-4A05-9E93-D4A99061DEB1}" uniqueName="2" name="00:00:00" queryTableFieldId="2"/>
    <tableColumn id="3" xr3:uid="{C1FF3BAC-774B-4FF4-B312-40038C5ABEAF}" uniqueName="3" name="01:00:00" queryTableFieldId="3"/>
    <tableColumn id="4" xr3:uid="{26100E16-62E2-426E-B076-8B77A61F9F34}" uniqueName="4" name="02:00:00" queryTableFieldId="4"/>
    <tableColumn id="5" xr3:uid="{79FD828F-1854-47B9-8177-F1E0B04A3D31}" uniqueName="5" name="03:00:00" queryTableFieldId="5"/>
    <tableColumn id="6" xr3:uid="{D011CCCF-5D63-496F-9529-2D238F079C9E}" uniqueName="6" name="04:00:00" queryTableFieldId="6"/>
    <tableColumn id="7" xr3:uid="{3333A618-55A4-4EF0-BDA2-62D892F912D7}" uniqueName="7" name="05:00:00" queryTableFieldId="7"/>
    <tableColumn id="8" xr3:uid="{25FFDE6A-DF84-4C36-83B3-A52EB53CEFEA}" uniqueName="8" name="06:00:00" queryTableFieldId="8"/>
    <tableColumn id="9" xr3:uid="{D3FF217A-A102-485F-BC16-EB38A296E84F}" uniqueName="9" name="07:00:00" queryTableFieldId="9"/>
    <tableColumn id="10" xr3:uid="{8ACD1F53-18C1-44D1-82BE-72F59C7D2A0F}" uniqueName="10" name="08:00:00" queryTableFieldId="10"/>
    <tableColumn id="11" xr3:uid="{21993DA2-1FB2-4235-90D5-999FC60296EA}" uniqueName="11" name="09:00:00" queryTableFieldId="11"/>
    <tableColumn id="12" xr3:uid="{E9933316-63D1-4D30-89D6-7AE1F603D248}" uniqueName="12" name="10:00:00" queryTableFieldId="12"/>
    <tableColumn id="13" xr3:uid="{FF37A647-620E-48F4-9316-A312EE906F4F}" uniqueName="13" name="11:00:00" queryTableFieldId="13"/>
    <tableColumn id="14" xr3:uid="{A6F0D2C0-EDCE-4AEC-AA49-832DEA4A629C}" uniqueName="14" name="12:00:00" queryTableFieldId="14"/>
    <tableColumn id="15" xr3:uid="{7D516105-4E4E-4369-BAF4-83D1A7C95A7D}" uniqueName="15" name="13:00:00" queryTableFieldId="15"/>
    <tableColumn id="16" xr3:uid="{C5CE1CE4-58D0-492D-B9A1-E47A05C704D7}" uniqueName="16" name="14:00:00" queryTableFieldId="16"/>
    <tableColumn id="17" xr3:uid="{C4992A8F-326B-4871-B96C-0D41B415F99E}" uniqueName="17" name="15:00:00" queryTableFieldId="17"/>
    <tableColumn id="18" xr3:uid="{A1B4051B-0948-4AFA-81A4-608BCD5CE21E}" uniqueName="18" name="16:00:00" queryTableFieldId="18"/>
    <tableColumn id="19" xr3:uid="{9CD9217D-27D5-4878-A7A7-218B21D344D9}" uniqueName="19" name="17:00:00" queryTableFieldId="19"/>
    <tableColumn id="20" xr3:uid="{B2D73F0E-F5BA-4891-B82D-6F015FF983EB}" uniqueName="20" name="18:00:00" queryTableFieldId="20"/>
    <tableColumn id="21" xr3:uid="{490905BE-8F0D-4406-88F9-B303D38F3F49}" uniqueName="21" name="19:00:00" queryTableFieldId="21"/>
    <tableColumn id="22" xr3:uid="{1C72865C-C0BF-425B-8882-811F24BC4376}" uniqueName="22" name="20:00:00" queryTableFieldId="22"/>
    <tableColumn id="23" xr3:uid="{314C654B-4BB2-47C9-817A-CC5D75AE46D2}" uniqueName="23" name="21:00:00" queryTableFieldId="23"/>
    <tableColumn id="24" xr3:uid="{29677C42-C8A6-4BC9-BC18-4CE3D42CC2C4}" uniqueName="24" name="22:00:00" queryTableFieldId="24"/>
    <tableColumn id="25" xr3:uid="{68FAAED8-6B83-4D85-909E-C07B32372F1F}" uniqueName="25" name="23:00:00" queryTableFieldId="25"/>
    <tableColumn id="26" xr3:uid="{47B28DAE-003F-4890-805A-251BA880935A}" uniqueName="26" name="AVERAGE AQI" totalsRowFunction="average" queryTableFieldId="26" dataDxfId="90" totalsRowDxfId="89">
      <calculatedColumnFormula>AVERAGE(Sheet1__3[[#This Row],[00:00:00]:[23:00:00]])</calculatedColumnFormula>
    </tableColumn>
    <tableColumn id="27" xr3:uid="{4935921C-D430-4B76-882C-5A09142FE3F5}" uniqueName="27" name="QUALITY" queryTableFieldId="27" dataDxfId="91" totalsRowDxfId="88">
      <calculatedColumnFormula array="1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DE814D-7968-4CA5-B13D-2F18A18E5CB8}" name="Sheet1__4" displayName="Sheet1__4" ref="A1:AA31" tableType="queryTable" totalsRowShown="0">
  <autoFilter ref="A1:AA31" xr:uid="{DCDE814D-7968-4CA5-B13D-2F18A18E5CB8}"/>
  <tableColumns count="27">
    <tableColumn id="1" xr3:uid="{2100A61A-7DBD-4FF8-A12D-8DDF62F755D8}" uniqueName="1" name="Date" queryTableFieldId="1"/>
    <tableColumn id="2" xr3:uid="{CA2BF6D2-BF7D-43AA-926A-E5D39E9DBC57}" uniqueName="2" name="00:00:00" queryTableFieldId="2"/>
    <tableColumn id="3" xr3:uid="{38522718-E4F0-409E-9960-0FDC02F71EA9}" uniqueName="3" name="01:00:00" queryTableFieldId="3"/>
    <tableColumn id="4" xr3:uid="{2F854529-BC21-4FFF-860C-5AB98E87BBE5}" uniqueName="4" name="02:00:00" queryTableFieldId="4"/>
    <tableColumn id="5" xr3:uid="{9C090401-25E7-4108-9CB2-FF580EB1EFE0}" uniqueName="5" name="03:00:00" queryTableFieldId="5"/>
    <tableColumn id="6" xr3:uid="{59E8329A-92F4-4C54-B135-CBEE96BD9EBB}" uniqueName="6" name="04:00:00" queryTableFieldId="6"/>
    <tableColumn id="7" xr3:uid="{30FC4D22-830C-4ACE-889C-7C3D0C36A8A9}" uniqueName="7" name="05:00:00" queryTableFieldId="7"/>
    <tableColumn id="8" xr3:uid="{A54E3600-284E-43BC-9981-47FD0C7FB760}" uniqueName="8" name="06:00:00" queryTableFieldId="8"/>
    <tableColumn id="9" xr3:uid="{4777B107-A3F9-48BF-A821-8748C9A0D773}" uniqueName="9" name="07:00:00" queryTableFieldId="9"/>
    <tableColumn id="10" xr3:uid="{2451BFB0-984B-46E8-B141-95CD5A717407}" uniqueName="10" name="08:00:00" queryTableFieldId="10"/>
    <tableColumn id="11" xr3:uid="{119BDB96-B127-4A84-A0BF-3D4DFD5DB1FE}" uniqueName="11" name="09:00:00" queryTableFieldId="11"/>
    <tableColumn id="12" xr3:uid="{184935CB-1DFB-4530-8A29-AB75F8A8FEBC}" uniqueName="12" name="10:00:00" queryTableFieldId="12"/>
    <tableColumn id="13" xr3:uid="{FA70928E-9698-4104-A0BD-C531AECF145B}" uniqueName="13" name="11:00:00" queryTableFieldId="13"/>
    <tableColumn id="14" xr3:uid="{E89B39E9-C672-4F57-83F0-B09B1780AE3D}" uniqueName="14" name="12:00:00" queryTableFieldId="14"/>
    <tableColumn id="15" xr3:uid="{7654AD1A-1845-4BD9-8B96-718C5DC2067A}" uniqueName="15" name="13:00:00" queryTableFieldId="15"/>
    <tableColumn id="16" xr3:uid="{905567CF-33E5-4399-9319-13EE7F026C60}" uniqueName="16" name="14:00:00" queryTableFieldId="16"/>
    <tableColumn id="17" xr3:uid="{4650C6CF-2105-4D04-9FAD-01110B80198E}" uniqueName="17" name="15:00:00" queryTableFieldId="17"/>
    <tableColumn id="18" xr3:uid="{58653A07-73E2-462B-A51C-4CFF5BB967A5}" uniqueName="18" name="16:00:00" queryTableFieldId="18"/>
    <tableColumn id="19" xr3:uid="{99DFE0DB-9D87-4566-AB1F-861B60295632}" uniqueName="19" name="17:00:00" queryTableFieldId="19"/>
    <tableColumn id="20" xr3:uid="{7EEF845D-6606-44CF-BD01-7D5256645D69}" uniqueName="20" name="18:00:00" queryTableFieldId="20"/>
    <tableColumn id="21" xr3:uid="{156C8491-31C1-42CB-8EFB-30FCA1F29CC4}" uniqueName="21" name="19:00:00" queryTableFieldId="21"/>
    <tableColumn id="22" xr3:uid="{28CA2CF7-3C2F-484B-9AD4-D38262A9CEB3}" uniqueName="22" name="20:00:00" queryTableFieldId="22"/>
    <tableColumn id="23" xr3:uid="{C37A9874-56B6-41D0-B371-DD778D9CE1C5}" uniqueName="23" name="21:00:00" queryTableFieldId="23"/>
    <tableColumn id="24" xr3:uid="{0528C1AA-2528-4CFF-BE4B-41845DFEEBB6}" uniqueName="24" name="22:00:00" queryTableFieldId="24"/>
    <tableColumn id="25" xr3:uid="{1D5BBFAE-D356-4365-BAE7-5814EABC0454}" uniqueName="25" name="23:00:00" queryTableFieldId="25"/>
    <tableColumn id="26" xr3:uid="{B8CF5414-4386-4B3B-BC74-72C727F76AB1}" uniqueName="26" name="AVERAGE AQI" queryTableFieldId="26" dataDxfId="83">
      <calculatedColumnFormula>AVERAGE(Sheet1__4[[#This Row],[00:00:00]:[23:00:00]])</calculatedColumnFormula>
    </tableColumn>
    <tableColumn id="27" xr3:uid="{8756F248-D465-4A15-8C01-06DB98944C8E}" uniqueName="27" name="QUALITY" queryTableFieldId="27" dataDxfId="84">
      <calculatedColumnFormula array="1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225278-DA91-471E-8143-9E86B851FE87}" name="Sheet1__5" displayName="Sheet1__5" ref="A1:AA33" tableType="queryTable" totalsRowCount="1">
  <autoFilter ref="A1:AA32" xr:uid="{24225278-DA91-471E-8143-9E86B851FE87}"/>
  <tableColumns count="27">
    <tableColumn id="1" xr3:uid="{230BAB6F-9BAB-4522-95B2-AE0A900A1A6B}" uniqueName="1" name="Date" queryTableFieldId="1"/>
    <tableColumn id="2" xr3:uid="{870AC684-7893-4577-8F35-47F464981525}" uniqueName="2" name="00:00:00" queryTableFieldId="2"/>
    <tableColumn id="3" xr3:uid="{E19ADDA2-D157-474F-BCDC-FC3AAA850042}" uniqueName="3" name="01:00:00" queryTableFieldId="3"/>
    <tableColumn id="4" xr3:uid="{17BE2C33-9004-42A7-8A10-7347072B6750}" uniqueName="4" name="02:00:00" queryTableFieldId="4"/>
    <tableColumn id="5" xr3:uid="{AA4E6C83-9F52-48D3-B304-908727F982DF}" uniqueName="5" name="03:00:00" queryTableFieldId="5"/>
    <tableColumn id="6" xr3:uid="{35636B1F-8E3D-4C5D-A5BA-94AF71C0BB1A}" uniqueName="6" name="04:00:00" queryTableFieldId="6"/>
    <tableColumn id="7" xr3:uid="{2F33A7DB-B0E8-4847-A21E-748D6D95AFC2}" uniqueName="7" name="05:00:00" queryTableFieldId="7"/>
    <tableColumn id="8" xr3:uid="{8DACD5E3-0AD2-4F79-8F6E-C8ED1F9F5C26}" uniqueName="8" name="06:00:00" queryTableFieldId="8"/>
    <tableColumn id="9" xr3:uid="{ACAD4E64-49C6-42D6-985A-A1E39E1D4227}" uniqueName="9" name="07:00:00" queryTableFieldId="9"/>
    <tableColumn id="10" xr3:uid="{93215726-0792-45CF-A28F-B26673F5A040}" uniqueName="10" name="08:00:00" queryTableFieldId="10"/>
    <tableColumn id="11" xr3:uid="{14C2D391-D8DB-45B0-BEE7-101819573B54}" uniqueName="11" name="09:00:00" queryTableFieldId="11"/>
    <tableColumn id="12" xr3:uid="{203C7475-0AD3-4499-A235-8135AB02A119}" uniqueName="12" name="10:00:00" queryTableFieldId="12"/>
    <tableColumn id="13" xr3:uid="{2235C8E1-00E8-4BF5-A45B-23D843AA8B31}" uniqueName="13" name="11:00:00" queryTableFieldId="13"/>
    <tableColumn id="14" xr3:uid="{F1A215C5-DF4D-4051-9853-5F44349F7359}" uniqueName="14" name="12:00:00" queryTableFieldId="14"/>
    <tableColumn id="15" xr3:uid="{1D55ED01-7A08-4BDE-962E-06F9C64F6347}" uniqueName="15" name="13:00:00" queryTableFieldId="15"/>
    <tableColumn id="16" xr3:uid="{ACAB47B8-9BC1-442B-9A61-A9B8BC5AA361}" uniqueName="16" name="14:00:00" queryTableFieldId="16"/>
    <tableColumn id="17" xr3:uid="{7F684A5D-6431-4E53-ADDB-B0F4BD7DFE99}" uniqueName="17" name="15:00:00" queryTableFieldId="17"/>
    <tableColumn id="18" xr3:uid="{EFB4C5AA-E9F5-40FD-8A5F-E25184B26759}" uniqueName="18" name="16:00:00" queryTableFieldId="18"/>
    <tableColumn id="19" xr3:uid="{B851B0E1-B41F-464C-9C8B-DD55A5B8E6FC}" uniqueName="19" name="17:00:00" queryTableFieldId="19"/>
    <tableColumn id="20" xr3:uid="{35E0C0A4-41BF-4755-A6A3-9E058F0AA0BA}" uniqueName="20" name="18:00:00" queryTableFieldId="20"/>
    <tableColumn id="21" xr3:uid="{3CBCEF0E-8270-4A05-9850-91F92BEB8C25}" uniqueName="21" name="19:00:00" queryTableFieldId="21"/>
    <tableColumn id="22" xr3:uid="{CE2F8E69-0F52-4139-A180-05A18BBD31AE}" uniqueName="22" name="20:00:00" queryTableFieldId="22"/>
    <tableColumn id="23" xr3:uid="{4A29649F-18A4-4797-822F-D78A64467D8D}" uniqueName="23" name="21:00:00" queryTableFieldId="23"/>
    <tableColumn id="24" xr3:uid="{829FDD08-2BE5-4112-86F4-3AD09161B4EF}" uniqueName="24" name="22:00:00" queryTableFieldId="24"/>
    <tableColumn id="25" xr3:uid="{FAF66524-0B57-4562-983E-547286BE2001}" uniqueName="25" name="23:00:00" queryTableFieldId="25"/>
    <tableColumn id="26" xr3:uid="{469DD1B4-A37E-4FD4-9498-58751E3A44AD}" uniqueName="26" name="AVERAGE AQI" totalsRowFunction="average" queryTableFieldId="26" dataDxfId="78" totalsRowDxfId="74">
      <calculatedColumnFormula>AVERAGE(Sheet1__5[[#This Row],[00:00:00]:[23:00:00]])</calculatedColumnFormula>
    </tableColumn>
    <tableColumn id="27" xr3:uid="{1CAB4C77-3073-4A79-83D1-7F82C5EEECAB}" uniqueName="27" name="QUALITY" queryTableFieldId="27" dataDxfId="79" totalsRowDxfId="73">
      <calculatedColumnFormula array="1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D1B59C-87AA-4758-83FD-CABAA5F16F58}" name="Sheet1__6" displayName="Sheet1__6" ref="A1:AA32" tableType="queryTable" totalsRowCount="1">
  <autoFilter ref="A1:AA31" xr:uid="{51D1B59C-87AA-4758-83FD-CABAA5F16F58}"/>
  <tableColumns count="27">
    <tableColumn id="1" xr3:uid="{16AA264D-3895-45A8-B17E-8F9B06A1848A}" uniqueName="1" name="Date" queryTableFieldId="1"/>
    <tableColumn id="2" xr3:uid="{1CA617CB-33C4-44D5-B989-273D68B97817}" uniqueName="2" name="00:00:00" queryTableFieldId="2"/>
    <tableColumn id="3" xr3:uid="{4CC0E217-C147-4DCF-9B15-8B74F4287482}" uniqueName="3" name="01:00:00" queryTableFieldId="3"/>
    <tableColumn id="4" xr3:uid="{C767612E-6FCD-4E88-AC66-921BFA7F4B5F}" uniqueName="4" name="02:00:00" queryTableFieldId="4"/>
    <tableColumn id="5" xr3:uid="{CC7A0C8F-56E9-4C65-9DE4-27BDAFA3001B}" uniqueName="5" name="03:00:00" queryTableFieldId="5"/>
    <tableColumn id="6" xr3:uid="{18E1AACD-BBF0-4425-B6A4-07AFE58E08BA}" uniqueName="6" name="04:00:00" queryTableFieldId="6"/>
    <tableColumn id="7" xr3:uid="{5D30483C-4576-49B0-82B0-132BE3F75145}" uniqueName="7" name="05:00:00" queryTableFieldId="7"/>
    <tableColumn id="8" xr3:uid="{86E38F2D-58D7-48C4-9337-A343D4CDA598}" uniqueName="8" name="06:00:00" queryTableFieldId="8"/>
    <tableColumn id="9" xr3:uid="{B450D984-3489-4FFA-BEAD-F2ACAEBEB8DE}" uniqueName="9" name="07:00:00" queryTableFieldId="9"/>
    <tableColumn id="10" xr3:uid="{4C898CAA-C39E-40F6-86BF-5E7ED2A423F0}" uniqueName="10" name="08:00:00" queryTableFieldId="10"/>
    <tableColumn id="11" xr3:uid="{13134C72-18E3-4CAE-8534-DC8AED9F0D76}" uniqueName="11" name="09:00:00" queryTableFieldId="11"/>
    <tableColumn id="12" xr3:uid="{C602AFEE-B528-4344-A11B-C29CD74D281E}" uniqueName="12" name="10:00:00" queryTableFieldId="12"/>
    <tableColumn id="13" xr3:uid="{CA462BDF-7671-42C2-9609-BF197C85786B}" uniqueName="13" name="11:00:00" queryTableFieldId="13"/>
    <tableColumn id="14" xr3:uid="{80AF99E3-CBEE-45B8-9237-45A29F033E57}" uniqueName="14" name="12:00:00" queryTableFieldId="14"/>
    <tableColumn id="15" xr3:uid="{09C4F37F-56F0-44E5-8275-31CC026FBC83}" uniqueName="15" name="13:00:00" queryTableFieldId="15"/>
    <tableColumn id="16" xr3:uid="{FD76C1FA-B153-4B46-8994-B41FEDA6AC07}" uniqueName="16" name="14:00:00" queryTableFieldId="16"/>
    <tableColumn id="17" xr3:uid="{1C9E72A3-49DD-435B-8F18-81427BE4C745}" uniqueName="17" name="15:00:00" queryTableFieldId="17"/>
    <tableColumn id="18" xr3:uid="{599978A8-AC5C-4306-827F-95835153B3D2}" uniqueName="18" name="16:00:00" queryTableFieldId="18"/>
    <tableColumn id="19" xr3:uid="{54F70795-F5B4-41EB-AE6D-82185DAAF912}" uniqueName="19" name="17:00:00" queryTableFieldId="19"/>
    <tableColumn id="20" xr3:uid="{AFB97314-EBF5-4F52-8745-C87CD12BC28F}" uniqueName="20" name="18:00:00" queryTableFieldId="20"/>
    <tableColumn id="21" xr3:uid="{D41E6070-20F1-4E3B-9E7A-E0F3CFFC8CFE}" uniqueName="21" name="19:00:00" queryTableFieldId="21"/>
    <tableColumn id="22" xr3:uid="{FDA4A11D-7B69-46F4-B4C7-48DD956500FE}" uniqueName="22" name="20:00:00" queryTableFieldId="22"/>
    <tableColumn id="23" xr3:uid="{9F6AD97E-DACC-4828-8C3F-C92C787CD566}" uniqueName="23" name="21:00:00" queryTableFieldId="23"/>
    <tableColumn id="24" xr3:uid="{F843953F-C9FA-4BD3-B718-86D87A4F1C55}" uniqueName="24" name="22:00:00" queryTableFieldId="24"/>
    <tableColumn id="25" xr3:uid="{F1470123-39CF-4896-964E-77C1B8CA5990}" uniqueName="25" name="23:00:00" queryTableFieldId="25"/>
    <tableColumn id="26" xr3:uid="{05DEC406-BB69-4C3D-AFC3-88BFDEFB3AC5}" uniqueName="26" name="AVERAGE AQI" totalsRowFunction="average" queryTableFieldId="26" dataDxfId="70" totalsRowDxfId="69">
      <calculatedColumnFormula>AVERAGE(Sheet1__6[[#This Row],[00:00:00]:[23:00:00]])</calculatedColumnFormula>
    </tableColumn>
    <tableColumn id="27" xr3:uid="{EEFF2742-9A4B-45B4-81E2-234BC36DEBA0}" uniqueName="27" name="QUALITY" queryTableFieldId="27" dataDxfId="72" totalsRowDxfId="71">
      <calculatedColumnFormula array="1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489563-FBA8-4A5C-8A40-8741B796761B}" name="Sheet1__7" displayName="Sheet1__7" ref="A1:AA33" tableType="queryTable" totalsRowCount="1">
  <autoFilter ref="A1:AA32" xr:uid="{D3489563-FBA8-4A5C-8A40-8741B796761B}"/>
  <tableColumns count="27">
    <tableColumn id="1" xr3:uid="{2FA63748-49FB-4723-A9D1-FDDE1ADED64A}" uniqueName="1" name="Date" queryTableFieldId="1"/>
    <tableColumn id="2" xr3:uid="{473AF488-F147-4324-A659-964E0B00D5FC}" uniqueName="2" name="00:00:00" queryTableFieldId="2"/>
    <tableColumn id="3" xr3:uid="{0E0B14C6-54F5-4DA9-A990-24FF1CA9A3E4}" uniqueName="3" name="01:00:00" queryTableFieldId="3"/>
    <tableColumn id="4" xr3:uid="{A7EE6AC3-A027-47DC-985D-6675984D43EF}" uniqueName="4" name="02:00:00" queryTableFieldId="4"/>
    <tableColumn id="5" xr3:uid="{AA6D3107-4A4C-4C46-867E-0BC10D53CB1F}" uniqueName="5" name="03:00:00" queryTableFieldId="5"/>
    <tableColumn id="6" xr3:uid="{64AF2981-7553-49F4-AC30-ACA4E9BBF6F3}" uniqueName="6" name="04:00:00" queryTableFieldId="6"/>
    <tableColumn id="7" xr3:uid="{2B3F08C7-20FD-466B-A1E8-63A43DCA79BD}" uniqueName="7" name="05:00:00" queryTableFieldId="7"/>
    <tableColumn id="8" xr3:uid="{5290C8B5-A378-47C5-B9D9-A315B50F0B9D}" uniqueName="8" name="06:00:00" queryTableFieldId="8"/>
    <tableColumn id="9" xr3:uid="{8D6FE1A8-B811-4C57-835B-E69A102A1FF7}" uniqueName="9" name="07:00:00" queryTableFieldId="9"/>
    <tableColumn id="10" xr3:uid="{ED86F360-6AFB-424A-BD09-D4646F1C2263}" uniqueName="10" name="08:00:00" queryTableFieldId="10"/>
    <tableColumn id="11" xr3:uid="{9A253E53-8484-49C0-8DFD-26E7968EC563}" uniqueName="11" name="09:00:00" queryTableFieldId="11"/>
    <tableColumn id="12" xr3:uid="{39F92C87-D268-40D0-98C9-8303DA5E8E04}" uniqueName="12" name="10:00:00" queryTableFieldId="12"/>
    <tableColumn id="13" xr3:uid="{620795CC-D80E-4AF9-8238-7014A655C95F}" uniqueName="13" name="11:00:00" queryTableFieldId="13"/>
    <tableColumn id="14" xr3:uid="{BBCD1ED7-293A-4127-962E-797B34C83E19}" uniqueName="14" name="12:00:00" queryTableFieldId="14"/>
    <tableColumn id="15" xr3:uid="{D6491407-927F-488A-9319-22F51D2116E1}" uniqueName="15" name="13:00:00" queryTableFieldId="15"/>
    <tableColumn id="16" xr3:uid="{6870D114-45D3-43DD-9A79-7E3CED9F6DA6}" uniqueName="16" name="14:00:00" queryTableFieldId="16"/>
    <tableColumn id="17" xr3:uid="{F6B72E26-A264-4CE6-A738-53879BB5B63E}" uniqueName="17" name="15:00:00" queryTableFieldId="17"/>
    <tableColumn id="18" xr3:uid="{E5E4BC63-15EB-4E6B-88E1-BE4648003A0D}" uniqueName="18" name="16:00:00" queryTableFieldId="18"/>
    <tableColumn id="19" xr3:uid="{2DD8F71C-DE33-4F65-B06A-24E897097B58}" uniqueName="19" name="17:00:00" queryTableFieldId="19"/>
    <tableColumn id="20" xr3:uid="{1A010598-5242-47B3-B82D-B150AB3636EC}" uniqueName="20" name="18:00:00" queryTableFieldId="20"/>
    <tableColumn id="21" xr3:uid="{E5EA5BCB-057D-4703-8DB3-5B92CD0EC466}" uniqueName="21" name="19:00:00" queryTableFieldId="21"/>
    <tableColumn id="22" xr3:uid="{4AD88CB8-8980-4E91-A268-7C4E4003406D}" uniqueName="22" name="20:00:00" queryTableFieldId="22"/>
    <tableColumn id="23" xr3:uid="{BCA4277D-C749-4141-9C7B-481BE45AE551}" uniqueName="23" name="21:00:00" queryTableFieldId="23"/>
    <tableColumn id="24" xr3:uid="{F7FFD05F-C8BA-4895-A816-3E89C1667FEF}" uniqueName="24" name="22:00:00" queryTableFieldId="24"/>
    <tableColumn id="25" xr3:uid="{8AFAD771-A6D7-4FAD-B837-FF18F552D3ED}" uniqueName="25" name="23:00:00" queryTableFieldId="25"/>
    <tableColumn id="26" xr3:uid="{88ABAB54-1D53-469B-9ED7-9A22B3F7C5E4}" uniqueName="26" name="AVERAGE AQI" totalsRowFunction="average" queryTableFieldId="26" dataDxfId="64" totalsRowDxfId="63">
      <calculatedColumnFormula>AVERAGE(Sheet1__7[[#This Row],[00:00:00]:[23:00:00]])</calculatedColumnFormula>
    </tableColumn>
    <tableColumn id="27" xr3:uid="{63BCDCF7-30FC-4604-BB88-4DB34E8584F5}" uniqueName="27" name="QUALITY" queryTableFieldId="27" dataDxfId="65" totalsRowDxfId="62">
      <calculatedColumnFormula array="1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09EF23F-B32B-434C-8018-C826675734E4}" name="Sheet1__8" displayName="Sheet1__8" ref="A1:AA33" tableType="queryTable" totalsRowCount="1">
  <autoFilter ref="A1:AA32" xr:uid="{C09EF23F-B32B-434C-8018-C826675734E4}"/>
  <tableColumns count="27">
    <tableColumn id="1" xr3:uid="{D90C256A-FAB1-4534-A7E2-265683E1DDAF}" uniqueName="1" name="Date" queryTableFieldId="1"/>
    <tableColumn id="2" xr3:uid="{E305ACE8-02BB-462A-BC12-9C192BDCD7D7}" uniqueName="2" name="00:00:00" queryTableFieldId="2"/>
    <tableColumn id="3" xr3:uid="{DF9E39BD-E8B8-40E6-A3D0-5F197787A1DD}" uniqueName="3" name="01:00:00" queryTableFieldId="3"/>
    <tableColumn id="4" xr3:uid="{A280C294-185B-4896-BA4D-EB145B1B3DB3}" uniqueName="4" name="02:00:00" queryTableFieldId="4"/>
    <tableColumn id="5" xr3:uid="{E4699209-6939-43A7-B47E-C34BB5BB0DA1}" uniqueName="5" name="03:00:00" queryTableFieldId="5"/>
    <tableColumn id="6" xr3:uid="{F36A597A-8952-44BD-AE71-10FF4A304190}" uniqueName="6" name="04:00:00" queryTableFieldId="6"/>
    <tableColumn id="7" xr3:uid="{F8A7C272-9EBE-4086-8CE5-C1E74FF7F30B}" uniqueName="7" name="05:00:00" queryTableFieldId="7"/>
    <tableColumn id="8" xr3:uid="{D8CDD9FE-B351-4A07-9D3F-D46BA0159F5F}" uniqueName="8" name="06:00:00" queryTableFieldId="8"/>
    <tableColumn id="9" xr3:uid="{1901C030-1488-4384-ACF9-24FC5AB77C7C}" uniqueName="9" name="07:00:00" queryTableFieldId="9"/>
    <tableColumn id="10" xr3:uid="{997E9CC1-76B1-489A-B017-1BDDDB145FE8}" uniqueName="10" name="08:00:00" queryTableFieldId="10"/>
    <tableColumn id="11" xr3:uid="{5F81B84E-34ED-41AE-BB88-20F396498B8D}" uniqueName="11" name="09:00:00" queryTableFieldId="11"/>
    <tableColumn id="12" xr3:uid="{E07EA545-C3A4-472D-ADE0-9974AAE53726}" uniqueName="12" name="10:00:00" queryTableFieldId="12"/>
    <tableColumn id="13" xr3:uid="{0AD5B76A-BF98-40D8-BB41-0B82F1F36800}" uniqueName="13" name="11:00:00" queryTableFieldId="13"/>
    <tableColumn id="14" xr3:uid="{6076D190-8490-4817-8A62-961A56326B49}" uniqueName="14" name="12:00:00" queryTableFieldId="14"/>
    <tableColumn id="15" xr3:uid="{94986AEB-B887-4CF5-A68A-C062D5512595}" uniqueName="15" name="13:00:00" queryTableFieldId="15"/>
    <tableColumn id="16" xr3:uid="{46E03FB7-0B2E-45A9-A8D0-2CF15B0E3B25}" uniqueName="16" name="14:00:00" queryTableFieldId="16"/>
    <tableColumn id="17" xr3:uid="{10CEF1A1-5A18-4B38-AE3A-B06ED133D25E}" uniqueName="17" name="15:00:00" queryTableFieldId="17"/>
    <tableColumn id="18" xr3:uid="{984AB657-0249-45EB-BAAF-0DD5D951A26C}" uniqueName="18" name="16:00:00" queryTableFieldId="18"/>
    <tableColumn id="19" xr3:uid="{7609E980-70BA-49C0-B0EF-AC8B70AACD45}" uniqueName="19" name="17:00:00" queryTableFieldId="19"/>
    <tableColumn id="20" xr3:uid="{BD4D067A-804B-4E86-A525-3D3A47AD1881}" uniqueName="20" name="18:00:00" queryTableFieldId="20"/>
    <tableColumn id="21" xr3:uid="{5E1C60BE-A1DF-4522-989F-535408FD39E2}" uniqueName="21" name="19:00:00" queryTableFieldId="21"/>
    <tableColumn id="22" xr3:uid="{3C3B039C-950E-45DB-A7EE-F7FA327580D9}" uniqueName="22" name="20:00:00" queryTableFieldId="22"/>
    <tableColumn id="23" xr3:uid="{87BABF33-3720-45CB-8C0A-5DB796374F26}" uniqueName="23" name="21:00:00" queryTableFieldId="23"/>
    <tableColumn id="24" xr3:uid="{1EC7E67A-EEB5-4455-9D0A-50B7C1AFFD67}" uniqueName="24" name="22:00:00" queryTableFieldId="24"/>
    <tableColumn id="25" xr3:uid="{CE0BE0E9-0F61-4A23-8A2B-9D35B1E44E9B}" uniqueName="25" name="23:00:00" queryTableFieldId="25"/>
    <tableColumn id="26" xr3:uid="{7B9EFBB3-7F15-418F-B90A-630105A1E7BE}" uniqueName="26" name="AVERAGE AQI" totalsRowFunction="average" queryTableFieldId="26" dataDxfId="58" totalsRowDxfId="57">
      <calculatedColumnFormula>AVERAGE(Sheet1__8[[#This Row],[00:00:00]:[23:00:00]])</calculatedColumnFormula>
    </tableColumn>
    <tableColumn id="27" xr3:uid="{5AE3EE9A-74EE-4550-A911-AC14438C690C}" uniqueName="27" name="QUALITY" queryTableFieldId="27" dataDxfId="59" totalsRowDxfId="56">
      <calculatedColumnFormula array="1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6A8508-C74E-4786-A313-F772AE42BF3E}" name="Sheet1__9" displayName="Sheet1__9" ref="A1:AA32" tableType="queryTable" totalsRowCount="1">
  <autoFilter ref="A1:AA31" xr:uid="{3F6A8508-C74E-4786-A313-F772AE42BF3E}"/>
  <tableColumns count="27">
    <tableColumn id="1" xr3:uid="{AC45FFDC-04D7-4818-AC55-0895111FB152}" uniqueName="1" name="Date" queryTableFieldId="1"/>
    <tableColumn id="2" xr3:uid="{5F9A5A52-3BF1-4282-8989-0F9C9365152F}" uniqueName="2" name="00:00:00" queryTableFieldId="2"/>
    <tableColumn id="3" xr3:uid="{5DA74D9D-681A-4DD0-99AD-7C32727BDB7F}" uniqueName="3" name="01:00:00" queryTableFieldId="3"/>
    <tableColumn id="4" xr3:uid="{A2725D17-BA65-40F7-AC29-2F124DACDF23}" uniqueName="4" name="02:00:00" queryTableFieldId="4"/>
    <tableColumn id="5" xr3:uid="{3CAE1E4E-E00C-4382-8A17-E1CDC4835E5E}" uniqueName="5" name="03:00:00" queryTableFieldId="5"/>
    <tableColumn id="6" xr3:uid="{2013155F-36B7-4B39-8D55-33908C611885}" uniqueName="6" name="04:00:00" queryTableFieldId="6"/>
    <tableColumn id="7" xr3:uid="{88AC4D72-7AD8-4604-B127-37BF7186DAAD}" uniqueName="7" name="05:00:00" queryTableFieldId="7"/>
    <tableColumn id="8" xr3:uid="{28CDA19A-4666-4FA4-9AD1-A37FEFBEBEA4}" uniqueName="8" name="06:00:00" queryTableFieldId="8"/>
    <tableColumn id="9" xr3:uid="{F72009AD-0976-4FC2-9AF3-39DD52FB7F6E}" uniqueName="9" name="07:00:00" queryTableFieldId="9"/>
    <tableColumn id="10" xr3:uid="{4D26FD71-C356-4F8E-BD0D-66003063567C}" uniqueName="10" name="08:00:00" queryTableFieldId="10"/>
    <tableColumn id="11" xr3:uid="{93E06997-7D58-4E21-AFC5-E62A48D22B0B}" uniqueName="11" name="09:00:00" queryTableFieldId="11"/>
    <tableColumn id="12" xr3:uid="{4CDF5CC8-FCFC-4A81-9C00-BF7500C61C25}" uniqueName="12" name="10:00:00" queryTableFieldId="12"/>
    <tableColumn id="13" xr3:uid="{6DCB21A3-9362-4127-BC17-364D6D19CB3A}" uniqueName="13" name="11:00:00" queryTableFieldId="13"/>
    <tableColumn id="14" xr3:uid="{D0208F04-44CB-4E8B-B3FC-82EA0506FD7F}" uniqueName="14" name="12:00:00" queryTableFieldId="14"/>
    <tableColumn id="15" xr3:uid="{DF2BB744-8EF1-4928-B935-065B860876E5}" uniqueName="15" name="13:00:00" queryTableFieldId="15"/>
    <tableColumn id="16" xr3:uid="{5EB3471A-E222-4E0B-991E-C516F0596A80}" uniqueName="16" name="14:00:00" queryTableFieldId="16"/>
    <tableColumn id="17" xr3:uid="{F697C84D-4559-4083-A53C-D620D7E94A5A}" uniqueName="17" name="15:00:00" queryTableFieldId="17"/>
    <tableColumn id="18" xr3:uid="{EAF70D37-FEE1-4405-B038-A313F184EAE4}" uniqueName="18" name="16:00:00" queryTableFieldId="18"/>
    <tableColumn id="19" xr3:uid="{4DC35879-5BCA-44DC-B2E0-D9DC6F10F05B}" uniqueName="19" name="17:00:00" queryTableFieldId="19"/>
    <tableColumn id="20" xr3:uid="{E6FF43C4-097F-4A29-8E0C-B6EF82B20D63}" uniqueName="20" name="18:00:00" queryTableFieldId="20"/>
    <tableColumn id="21" xr3:uid="{3DAF58B6-A2E5-4ACB-9E96-0CC0A3F72934}" uniqueName="21" name="19:00:00" queryTableFieldId="21"/>
    <tableColumn id="22" xr3:uid="{1B82DABE-ED63-49C2-B962-79D364115DA9}" uniqueName="22" name="20:00:00" queryTableFieldId="22"/>
    <tableColumn id="23" xr3:uid="{8533B380-F2FD-4E4A-850D-FF8AB7FD36DF}" uniqueName="23" name="21:00:00" queryTableFieldId="23"/>
    <tableColumn id="24" xr3:uid="{39AD5A3B-2EC2-42CF-A1E1-446A45C4BC1F}" uniqueName="24" name="22:00:00" queryTableFieldId="24"/>
    <tableColumn id="25" xr3:uid="{490D8EA8-A69A-421D-98AB-55DED01A29C4}" uniqueName="25" name="23:00:00" queryTableFieldId="25"/>
    <tableColumn id="26" xr3:uid="{67310CAF-68A6-44DD-B7AA-054137171A4E}" uniqueName="26" name="AVERAGE AQI" totalsRowFunction="average" queryTableFieldId="26" dataDxfId="52" totalsRowDxfId="51">
      <calculatedColumnFormula>AVERAGE(Sheet1__9[[#This Row],[00:00:00]:[23:00:00]])</calculatedColumnFormula>
    </tableColumn>
    <tableColumn id="27" xr3:uid="{6D577AED-FF22-4A78-8B97-360D8F252A41}" uniqueName="27" name="QUALITY" queryTableFieldId="27" dataDxfId="53" totalsRowDxfId="50">
      <calculatedColumnFormula array="1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2A33463-9C79-47B4-99FB-60B02A4D39DC}" name="Sheet1__10" displayName="Sheet1__10" ref="A1:AA33" tableType="queryTable" totalsRowCount="1">
  <autoFilter ref="A1:AA32" xr:uid="{62A33463-9C79-47B4-99FB-60B02A4D39DC}"/>
  <tableColumns count="27">
    <tableColumn id="1" xr3:uid="{FDBA4F79-5442-4538-961D-98854D1443AE}" uniqueName="1" name="Date" queryTableFieldId="1"/>
    <tableColumn id="2" xr3:uid="{DF519064-3E3C-4FCF-98A0-4164FDAE1731}" uniqueName="2" name="00:00:00" queryTableFieldId="2"/>
    <tableColumn id="3" xr3:uid="{A4DE25C7-3F65-4C1F-8C7F-AAD1C799FDC4}" uniqueName="3" name="01:00:00" queryTableFieldId="3"/>
    <tableColumn id="4" xr3:uid="{16C41CFF-D1FD-4FD7-B52A-4CCCFBFD7DB4}" uniqueName="4" name="02:00:00" queryTableFieldId="4"/>
    <tableColumn id="5" xr3:uid="{B719B2C6-A403-4E34-9589-8C40D8F46031}" uniqueName="5" name="03:00:00" queryTableFieldId="5"/>
    <tableColumn id="6" xr3:uid="{1B8E030E-F0A3-4514-A6C0-C6EC467B621F}" uniqueName="6" name="04:00:00" queryTableFieldId="6"/>
    <tableColumn id="7" xr3:uid="{8E7B02D4-1ADB-4A5B-9017-1B9EF8258D4A}" uniqueName="7" name="05:00:00" queryTableFieldId="7"/>
    <tableColumn id="8" xr3:uid="{2E32FD1C-911B-4BAD-A133-2C0A155A3A8A}" uniqueName="8" name="06:00:00" queryTableFieldId="8"/>
    <tableColumn id="9" xr3:uid="{9E2C9118-0F75-46B3-B67B-10D6EEE3F971}" uniqueName="9" name="07:00:00" queryTableFieldId="9"/>
    <tableColumn id="10" xr3:uid="{2D60B473-D386-49F4-9650-591D7964841D}" uniqueName="10" name="08:00:00" queryTableFieldId="10"/>
    <tableColumn id="11" xr3:uid="{9C8F4DA0-9A97-47FB-8D23-0CCA4D3DB9CE}" uniqueName="11" name="09:00:00" queryTableFieldId="11"/>
    <tableColumn id="12" xr3:uid="{39062F7A-1483-4B73-975B-9CA82D68B1EE}" uniqueName="12" name="10:00:00" queryTableFieldId="12"/>
    <tableColumn id="13" xr3:uid="{F41824A9-C3D5-4A29-AE44-7DC365E07330}" uniqueName="13" name="11:00:00" queryTableFieldId="13"/>
    <tableColumn id="14" xr3:uid="{15DD33DB-53A6-46A6-8A2F-A6BFA1387E3F}" uniqueName="14" name="12:00:00" queryTableFieldId="14"/>
    <tableColumn id="15" xr3:uid="{9CB8398C-F986-40B1-91B4-F2500ED581B3}" uniqueName="15" name="13:00:00" queryTableFieldId="15"/>
    <tableColumn id="16" xr3:uid="{1E156381-370B-4DC7-90A6-2732CA72065A}" uniqueName="16" name="14:00:00" queryTableFieldId="16"/>
    <tableColumn id="17" xr3:uid="{3E90BC12-7470-46FA-88B2-B95521CCCEDA}" uniqueName="17" name="15:00:00" queryTableFieldId="17"/>
    <tableColumn id="18" xr3:uid="{57AAAC8D-7916-4EA5-AC22-588E665D4916}" uniqueName="18" name="16:00:00" queryTableFieldId="18"/>
    <tableColumn id="19" xr3:uid="{F7075D4F-9EFD-4641-8BA1-52423B097952}" uniqueName="19" name="17:00:00" queryTableFieldId="19"/>
    <tableColumn id="20" xr3:uid="{082F0C62-7E58-4D9A-AF6E-F8461B6BA5C7}" uniqueName="20" name="18:00:00" queryTableFieldId="20"/>
    <tableColumn id="21" xr3:uid="{22C208D0-E697-488E-B5B2-728F192EC07F}" uniqueName="21" name="19:00:00" queryTableFieldId="21"/>
    <tableColumn id="22" xr3:uid="{3B4E2A35-5A07-404C-AA82-FDE89703B5F0}" uniqueName="22" name="20:00:00" queryTableFieldId="22"/>
    <tableColumn id="23" xr3:uid="{4BDF9522-E27D-4DFB-BA06-1E4F3D222F78}" uniqueName="23" name="21:00:00" queryTableFieldId="23"/>
    <tableColumn id="24" xr3:uid="{11F8012A-A8FE-496F-BF7A-103AC88A2631}" uniqueName="24" name="22:00:00" queryTableFieldId="24"/>
    <tableColumn id="25" xr3:uid="{A58A339A-A8DD-4088-88F9-B68C7E61301B}" uniqueName="25" name="23:00:00" queryTableFieldId="25"/>
    <tableColumn id="26" xr3:uid="{2689504C-1C6A-40EA-847F-1D6F9BD2ABE6}" uniqueName="26" name="AVERAGE AQI" totalsRowFunction="average" queryTableFieldId="26" dataDxfId="45" totalsRowDxfId="44">
      <calculatedColumnFormula>AVERAGE(Sheet1__10[[#This Row],[00:00:00]:[23:00:00]])</calculatedColumnFormula>
    </tableColumn>
    <tableColumn id="27" xr3:uid="{E3A1953C-3AC0-4062-84F0-6DECAE567833}" uniqueName="27" name="QUALITY" queryTableFieldId="27" dataDxfId="46" totalsRowDxfId="43">
      <calculatedColumnFormula array="1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8288BAC-269B-427E-B6DD-10028E162061}" name="Sheet1__11" displayName="Sheet1__11" ref="A1:AA32" tableType="queryTable" totalsRowCount="1">
  <autoFilter ref="A1:AA31" xr:uid="{58288BAC-269B-427E-B6DD-10028E162061}"/>
  <tableColumns count="27">
    <tableColumn id="1" xr3:uid="{36F1B8C3-AB6B-40C6-B36A-20B3200224DB}" uniqueName="1" name="Date" queryTableFieldId="1"/>
    <tableColumn id="2" xr3:uid="{0C29EB89-B36B-4FDF-B4E3-DF3793D0B7E5}" uniqueName="2" name="00:00:00" queryTableFieldId="2"/>
    <tableColumn id="3" xr3:uid="{CEF789CA-9A20-4904-939A-F568EAE01128}" uniqueName="3" name="01:00:00" queryTableFieldId="3"/>
    <tableColumn id="4" xr3:uid="{E5D0E9E3-E0D3-41FB-9050-176CB1555F58}" uniqueName="4" name="02:00:00" queryTableFieldId="4"/>
    <tableColumn id="5" xr3:uid="{66B5978E-CFDE-406C-A15E-0093E27BE18E}" uniqueName="5" name="03:00:00" queryTableFieldId="5"/>
    <tableColumn id="6" xr3:uid="{F780ABA0-30D4-43FF-93AD-7F4564536B76}" uniqueName="6" name="04:00:00" queryTableFieldId="6"/>
    <tableColumn id="7" xr3:uid="{282B695E-6A4E-41FB-AB8B-C7E70377C095}" uniqueName="7" name="05:00:00" queryTableFieldId="7"/>
    <tableColumn id="8" xr3:uid="{5E984169-C3D5-417D-94EA-D77991B0FDA8}" uniqueName="8" name="06:00:00" queryTableFieldId="8"/>
    <tableColumn id="9" xr3:uid="{18E2A51A-FA11-477F-972A-779A0E817D9C}" uniqueName="9" name="07:00:00" queryTableFieldId="9"/>
    <tableColumn id="10" xr3:uid="{81DBDDA3-8F56-4936-9D6D-A71AD2D793C8}" uniqueName="10" name="08:00:00" queryTableFieldId="10"/>
    <tableColumn id="11" xr3:uid="{B53234C0-EC42-4CC1-8DF4-4753F08B6881}" uniqueName="11" name="09:00:00" queryTableFieldId="11"/>
    <tableColumn id="12" xr3:uid="{5F315370-8D70-4382-82CB-62A602A74074}" uniqueName="12" name="10:00:00" queryTableFieldId="12"/>
    <tableColumn id="13" xr3:uid="{BECB8A5C-AB0C-4671-B6BA-A3DF325C7794}" uniqueName="13" name="11:00:00" queryTableFieldId="13"/>
    <tableColumn id="14" xr3:uid="{B1F625A5-32A0-4688-9D09-95BD99FEDBA5}" uniqueName="14" name="12:00:00" queryTableFieldId="14"/>
    <tableColumn id="15" xr3:uid="{4CF4160C-9788-4762-949B-A148D0EECE78}" uniqueName="15" name="13:00:00" queryTableFieldId="15"/>
    <tableColumn id="16" xr3:uid="{382C9FFD-0A9C-4F57-BBFA-0D4BA793C5F6}" uniqueName="16" name="14:00:00" queryTableFieldId="16"/>
    <tableColumn id="17" xr3:uid="{E88338D7-55EC-42AC-A9BA-715C383EB84C}" uniqueName="17" name="15:00:00" queryTableFieldId="17"/>
    <tableColumn id="18" xr3:uid="{2C3E1F6B-668B-42A4-B8B6-39B8919742ED}" uniqueName="18" name="16:00:00" queryTableFieldId="18"/>
    <tableColumn id="19" xr3:uid="{4289BDEA-47C8-481F-A0AF-03141F169519}" uniqueName="19" name="17:00:00" queryTableFieldId="19"/>
    <tableColumn id="20" xr3:uid="{E055D76E-E557-4773-89C3-BC031B302190}" uniqueName="20" name="18:00:00" queryTableFieldId="20"/>
    <tableColumn id="21" xr3:uid="{A8B10178-E491-4287-82FC-93FE9C37E09E}" uniqueName="21" name="19:00:00" queryTableFieldId="21"/>
    <tableColumn id="22" xr3:uid="{A33F76B4-5AA5-4AC3-A014-1CF41E3096A9}" uniqueName="22" name="20:00:00" queryTableFieldId="22"/>
    <tableColumn id="23" xr3:uid="{FEBD649D-FDCA-4620-87AC-567C14EE34A6}" uniqueName="23" name="21:00:00" queryTableFieldId="23"/>
    <tableColumn id="24" xr3:uid="{3BF2BD5D-D76C-490B-8B1C-26F48B21B381}" uniqueName="24" name="22:00:00" queryTableFieldId="24"/>
    <tableColumn id="25" xr3:uid="{282D1116-7008-4C3B-A8E1-539000F963F1}" uniqueName="25" name="23:00:00" queryTableFieldId="25"/>
    <tableColumn id="26" xr3:uid="{7831F9F1-95D9-4A4B-8C1D-B4CD36727825}" uniqueName="26" name="AVERAGE AQI" totalsRowFunction="average" queryTableFieldId="26" dataDxfId="26" totalsRowDxfId="25">
      <calculatedColumnFormula>AVERAGE(Sheet1__11[[#This Row],[00:00:00]:[23:00:00]])</calculatedColumnFormula>
    </tableColumn>
    <tableColumn id="27" xr3:uid="{04EE7871-4E1B-4665-80D6-1D1EF355B46C}" uniqueName="27" name="QUALITY" queryTableFieldId="27" dataDxfId="27" totalsRowDxfId="24">
      <calculatedColumnFormula array="1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64E4807-E143-4928-8BF2-E3D24A7F3FA3}" name="Sheet1__12" displayName="Sheet1__12" ref="A1:AA33" tableType="queryTable" totalsRowCount="1">
  <autoFilter ref="A1:AA32" xr:uid="{F64E4807-E143-4928-8BF2-E3D24A7F3FA3}"/>
  <tableColumns count="27">
    <tableColumn id="1" xr3:uid="{D61E7CD1-3B15-44E7-9CD5-CCBF7279B833}" uniqueName="1" name="Date" queryTableFieldId="1"/>
    <tableColumn id="2" xr3:uid="{59F81C33-13A7-4F93-8ABC-7CD02BA12C6A}" uniqueName="2" name="00:00:00" queryTableFieldId="2"/>
    <tableColumn id="3" xr3:uid="{81755754-CBBE-4E48-A6CB-8C4A2DB574A0}" uniqueName="3" name="01:00:00" queryTableFieldId="3"/>
    <tableColumn id="4" xr3:uid="{8B7A4819-3D5C-4632-BACA-48E17397A7AB}" uniqueName="4" name="02:00:00" queryTableFieldId="4"/>
    <tableColumn id="5" xr3:uid="{5D3B1A70-2370-4DCB-ACC7-41F0EAC46631}" uniqueName="5" name="03:00:00" queryTableFieldId="5"/>
    <tableColumn id="6" xr3:uid="{286F93E5-5A5F-4426-839D-6102AC08EA82}" uniqueName="6" name="04:00:00" queryTableFieldId="6"/>
    <tableColumn id="7" xr3:uid="{8084D3C3-D0A9-411B-9D65-677B698FBF9C}" uniqueName="7" name="05:00:00" queryTableFieldId="7"/>
    <tableColumn id="8" xr3:uid="{8032F624-F67B-4A6D-B2B3-92595B4E45AE}" uniqueName="8" name="06:00:00" queryTableFieldId="8"/>
    <tableColumn id="9" xr3:uid="{4909E3A8-FA09-41B6-B119-1E4E5DFB9D5B}" uniqueName="9" name="07:00:00" queryTableFieldId="9"/>
    <tableColumn id="10" xr3:uid="{EF2FF9C5-32B8-415D-8C93-5E226307C60E}" uniqueName="10" name="08:00:00" queryTableFieldId="10"/>
    <tableColumn id="11" xr3:uid="{91C67322-C7C9-4B3E-8F01-18792A0E484D}" uniqueName="11" name="09:00:00" queryTableFieldId="11"/>
    <tableColumn id="12" xr3:uid="{CF7BF525-45F7-40F2-BB87-538CA5662EA8}" uniqueName="12" name="10:00:00" queryTableFieldId="12"/>
    <tableColumn id="13" xr3:uid="{3049E815-DFB5-432A-A125-4BCD1FE3A1DD}" uniqueName="13" name="11:00:00" queryTableFieldId="13"/>
    <tableColumn id="14" xr3:uid="{6F079F10-9D71-453C-A200-4E8AB203644C}" uniqueName="14" name="12:00:00" queryTableFieldId="14"/>
    <tableColumn id="15" xr3:uid="{B3514F34-5FC6-414B-B2F1-D292032C7A79}" uniqueName="15" name="13:00:00" queryTableFieldId="15"/>
    <tableColumn id="16" xr3:uid="{35DFA7DC-6F36-4607-AFB6-10D7BC0DC7D8}" uniqueName="16" name="14:00:00" queryTableFieldId="16"/>
    <tableColumn id="17" xr3:uid="{94EDA2E5-3E5E-4D79-AD43-3525F94B18BA}" uniqueName="17" name="15:00:00" queryTableFieldId="17"/>
    <tableColumn id="18" xr3:uid="{453108CD-9104-45F4-9C77-213DDF676FBC}" uniqueName="18" name="16:00:00" queryTableFieldId="18"/>
    <tableColumn id="19" xr3:uid="{DC555356-07F3-449F-B43B-B2E77F645FAD}" uniqueName="19" name="17:00:00" queryTableFieldId="19"/>
    <tableColumn id="20" xr3:uid="{DDD24967-7EBA-4F17-B045-D06D2E85727A}" uniqueName="20" name="18:00:00" queryTableFieldId="20"/>
    <tableColumn id="21" xr3:uid="{822317FE-BDFC-49F0-954A-1594AC85719E}" uniqueName="21" name="19:00:00" queryTableFieldId="21"/>
    <tableColumn id="22" xr3:uid="{7E75A92B-07AA-4B4C-ABB0-E445959F3F46}" uniqueName="22" name="20:00:00" queryTableFieldId="22"/>
    <tableColumn id="23" xr3:uid="{8C98B758-0D7A-4121-AD99-416A93D07138}" uniqueName="23" name="21:00:00" queryTableFieldId="23"/>
    <tableColumn id="24" xr3:uid="{E324A96D-10B1-4F00-9E8C-89EFE055B140}" uniqueName="24" name="22:00:00" queryTableFieldId="24"/>
    <tableColumn id="25" xr3:uid="{57BBB0B2-3314-4ABB-80F5-1CFE9C80D7F0}" uniqueName="25" name="23:00:00" queryTableFieldId="25"/>
    <tableColumn id="26" xr3:uid="{9866387F-A30D-4CD1-886C-FDF48B077C2E}" uniqueName="26" name="AVERAGE AQI" totalsRowFunction="average" queryTableFieldId="26" dataDxfId="12" totalsRowDxfId="11">
      <calculatedColumnFormula>AVERAGE(Sheet1__12[[#This Row],[00:00:00]:[23:00:00]])</calculatedColumnFormula>
    </tableColumn>
    <tableColumn id="27" xr3:uid="{7FCC4D61-B2B3-4A93-B53F-618CBA240C21}" uniqueName="27" name="QUALITY" queryTableFieldId="27" dataDxfId="13" totalsRowDxfId="10">
      <calculatedColumnFormula array="1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FF5A6-4BA2-44D6-8F77-300BBEE88B45}">
  <dimension ref="A1:AA33"/>
  <sheetViews>
    <sheetView workbookViewId="0">
      <selection activeCell="AA35" sqref="AA35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8.1093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45658</v>
      </c>
      <c r="B2">
        <v>136</v>
      </c>
      <c r="C2">
        <v>144</v>
      </c>
      <c r="D2">
        <v>142</v>
      </c>
      <c r="E2">
        <v>141</v>
      </c>
      <c r="F2">
        <v>140</v>
      </c>
      <c r="G2">
        <v>140</v>
      </c>
      <c r="H2">
        <v>139</v>
      </c>
      <c r="I2">
        <v>138</v>
      </c>
      <c r="J2">
        <v>138</v>
      </c>
      <c r="K2">
        <v>138</v>
      </c>
      <c r="L2">
        <v>137</v>
      </c>
      <c r="M2">
        <v>137</v>
      </c>
      <c r="N2">
        <v>136</v>
      </c>
      <c r="O2">
        <v>135</v>
      </c>
      <c r="P2">
        <v>134</v>
      </c>
      <c r="Q2">
        <v>132</v>
      </c>
      <c r="R2">
        <v>131</v>
      </c>
      <c r="S2">
        <v>128</v>
      </c>
      <c r="T2">
        <v>126</v>
      </c>
      <c r="U2">
        <v>122</v>
      </c>
      <c r="V2">
        <v>117</v>
      </c>
      <c r="W2">
        <v>110</v>
      </c>
      <c r="X2">
        <v>105</v>
      </c>
      <c r="Y2">
        <v>102</v>
      </c>
      <c r="Z2" s="2">
        <f>AVERAGE(Sheet1[[#This Row],[00:00:00]:[23:00:00]])</f>
        <v>131.16666666666666</v>
      </c>
      <c r="AA2" t="str" cm="1">
        <f t="array" ref="AA2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3" spans="1:27" x14ac:dyDescent="0.3">
      <c r="A3" s="1">
        <v>45659</v>
      </c>
      <c r="B3">
        <v>101</v>
      </c>
      <c r="C3">
        <v>100</v>
      </c>
      <c r="D3">
        <v>101</v>
      </c>
      <c r="E3">
        <v>102</v>
      </c>
      <c r="F3">
        <v>104</v>
      </c>
      <c r="G3">
        <v>112</v>
      </c>
      <c r="H3">
        <v>104</v>
      </c>
      <c r="I3">
        <v>103</v>
      </c>
      <c r="J3">
        <v>102</v>
      </c>
      <c r="K3">
        <v>102</v>
      </c>
      <c r="L3">
        <v>101</v>
      </c>
      <c r="M3">
        <v>100</v>
      </c>
      <c r="N3">
        <v>100</v>
      </c>
      <c r="O3">
        <v>99</v>
      </c>
      <c r="P3">
        <v>98</v>
      </c>
      <c r="Q3">
        <v>96</v>
      </c>
      <c r="R3">
        <v>94</v>
      </c>
      <c r="S3">
        <v>93</v>
      </c>
      <c r="T3">
        <v>92</v>
      </c>
      <c r="U3">
        <v>93</v>
      </c>
      <c r="V3">
        <v>120</v>
      </c>
      <c r="W3">
        <v>115</v>
      </c>
      <c r="X3">
        <v>110</v>
      </c>
      <c r="Y3">
        <v>100</v>
      </c>
      <c r="Z3" s="2">
        <f>AVERAGE(Sheet1[[#This Row],[00:00:00]:[23:00:00]])</f>
        <v>101.75</v>
      </c>
      <c r="AA3" t="str" cm="1">
        <f t="array" ref="AA3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4" spans="1:27" x14ac:dyDescent="0.3">
      <c r="A4" s="1">
        <v>45660</v>
      </c>
      <c r="B4">
        <v>102</v>
      </c>
      <c r="C4">
        <v>102</v>
      </c>
      <c r="D4">
        <v>100</v>
      </c>
      <c r="E4">
        <v>96</v>
      </c>
      <c r="F4">
        <v>96</v>
      </c>
      <c r="G4">
        <v>95</v>
      </c>
      <c r="H4">
        <v>94</v>
      </c>
      <c r="I4">
        <v>94</v>
      </c>
      <c r="J4">
        <v>94</v>
      </c>
      <c r="K4">
        <v>95</v>
      </c>
      <c r="L4">
        <v>96</v>
      </c>
      <c r="M4">
        <v>96</v>
      </c>
      <c r="N4">
        <v>97</v>
      </c>
      <c r="O4">
        <v>98</v>
      </c>
      <c r="P4">
        <v>98</v>
      </c>
      <c r="Q4">
        <v>98</v>
      </c>
      <c r="R4">
        <v>98</v>
      </c>
      <c r="S4">
        <v>98</v>
      </c>
      <c r="T4">
        <v>98</v>
      </c>
      <c r="U4">
        <v>97</v>
      </c>
      <c r="V4">
        <v>97</v>
      </c>
      <c r="W4">
        <v>97</v>
      </c>
      <c r="X4">
        <v>96</v>
      </c>
      <c r="Y4">
        <v>96</v>
      </c>
      <c r="Z4" s="2">
        <f>AVERAGE(Sheet1[[#This Row],[00:00:00]:[23:00:00]])</f>
        <v>97</v>
      </c>
      <c r="AA4" t="str" cm="1">
        <f t="array" ref="AA4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MODERATE</v>
      </c>
    </row>
    <row r="5" spans="1:27" x14ac:dyDescent="0.3">
      <c r="A5" s="1">
        <v>45661</v>
      </c>
      <c r="B5">
        <v>97</v>
      </c>
      <c r="C5">
        <v>98</v>
      </c>
      <c r="D5">
        <v>102</v>
      </c>
      <c r="E5">
        <v>114</v>
      </c>
      <c r="F5">
        <v>116</v>
      </c>
      <c r="G5">
        <v>118</v>
      </c>
      <c r="H5">
        <v>118</v>
      </c>
      <c r="I5">
        <v>118</v>
      </c>
      <c r="K5">
        <v>119</v>
      </c>
      <c r="L5">
        <v>119</v>
      </c>
      <c r="M5">
        <v>119</v>
      </c>
      <c r="N5">
        <v>119</v>
      </c>
      <c r="O5">
        <v>119</v>
      </c>
      <c r="P5">
        <v>118</v>
      </c>
      <c r="Q5">
        <v>118</v>
      </c>
      <c r="R5">
        <v>117</v>
      </c>
      <c r="S5">
        <v>116</v>
      </c>
      <c r="T5">
        <v>115</v>
      </c>
      <c r="U5">
        <v>116</v>
      </c>
      <c r="V5">
        <v>117</v>
      </c>
      <c r="W5">
        <v>119</v>
      </c>
      <c r="X5">
        <v>119</v>
      </c>
      <c r="Y5">
        <v>117</v>
      </c>
      <c r="Z5" s="2">
        <f>AVERAGE(Sheet1[[#This Row],[00:00:00]:[23:00:00]])</f>
        <v>115.1304347826087</v>
      </c>
      <c r="AA5" t="str" cm="1">
        <f t="array" ref="AA5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6" spans="1:27" x14ac:dyDescent="0.3">
      <c r="A6" s="1">
        <v>45662</v>
      </c>
      <c r="B6">
        <v>116</v>
      </c>
      <c r="C6">
        <v>116</v>
      </c>
      <c r="D6">
        <v>115</v>
      </c>
      <c r="E6">
        <v>115</v>
      </c>
      <c r="F6">
        <v>113</v>
      </c>
      <c r="G6">
        <v>112</v>
      </c>
      <c r="H6">
        <v>114</v>
      </c>
      <c r="I6">
        <v>115</v>
      </c>
      <c r="J6">
        <v>122</v>
      </c>
      <c r="K6">
        <v>122</v>
      </c>
      <c r="L6">
        <v>121</v>
      </c>
      <c r="M6">
        <v>121</v>
      </c>
      <c r="N6">
        <v>121</v>
      </c>
      <c r="O6">
        <v>121</v>
      </c>
      <c r="P6">
        <v>121</v>
      </c>
      <c r="Q6">
        <v>122</v>
      </c>
      <c r="R6">
        <v>122</v>
      </c>
      <c r="S6">
        <v>123</v>
      </c>
      <c r="T6">
        <v>124</v>
      </c>
      <c r="U6">
        <v>123</v>
      </c>
      <c r="V6">
        <v>123</v>
      </c>
      <c r="W6">
        <v>122</v>
      </c>
      <c r="X6">
        <v>123</v>
      </c>
      <c r="Y6">
        <v>135</v>
      </c>
      <c r="Z6" s="2">
        <f>AVERAGE(Sheet1[[#This Row],[00:00:00]:[23:00:00]])</f>
        <v>120.08333333333333</v>
      </c>
      <c r="AA6" t="str" cm="1">
        <f t="array" ref="AA6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7" spans="1:27" x14ac:dyDescent="0.3">
      <c r="A7" s="1">
        <v>45663</v>
      </c>
      <c r="B7">
        <v>135</v>
      </c>
      <c r="C7">
        <v>129</v>
      </c>
      <c r="D7">
        <v>126</v>
      </c>
      <c r="E7">
        <v>130</v>
      </c>
      <c r="F7">
        <v>134</v>
      </c>
      <c r="G7">
        <v>138</v>
      </c>
      <c r="H7">
        <v>142</v>
      </c>
      <c r="I7">
        <v>145</v>
      </c>
      <c r="J7">
        <v>146</v>
      </c>
      <c r="K7">
        <v>149</v>
      </c>
      <c r="L7">
        <v>153</v>
      </c>
      <c r="M7">
        <v>156</v>
      </c>
      <c r="N7">
        <v>156</v>
      </c>
      <c r="O7">
        <v>174</v>
      </c>
      <c r="P7">
        <v>169</v>
      </c>
      <c r="Q7">
        <v>173</v>
      </c>
      <c r="R7">
        <v>173</v>
      </c>
      <c r="S7">
        <v>176</v>
      </c>
      <c r="T7">
        <v>179</v>
      </c>
      <c r="U7">
        <v>185</v>
      </c>
      <c r="V7">
        <v>191</v>
      </c>
      <c r="W7">
        <v>197</v>
      </c>
      <c r="X7">
        <v>197</v>
      </c>
      <c r="Y7">
        <v>206</v>
      </c>
      <c r="Z7" s="2">
        <f>AVERAGE(Sheet1[[#This Row],[00:00:00]:[23:00:00]])</f>
        <v>160.79166666666666</v>
      </c>
      <c r="AA7" t="str" cm="1">
        <f t="array" ref="AA7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8" spans="1:27" x14ac:dyDescent="0.3">
      <c r="A8" s="1">
        <v>45664</v>
      </c>
      <c r="B8">
        <v>207</v>
      </c>
      <c r="C8">
        <v>210</v>
      </c>
      <c r="D8">
        <v>210</v>
      </c>
      <c r="E8">
        <v>215</v>
      </c>
      <c r="F8">
        <v>219</v>
      </c>
      <c r="G8">
        <v>222</v>
      </c>
      <c r="H8">
        <v>224</v>
      </c>
      <c r="I8">
        <v>226</v>
      </c>
      <c r="J8">
        <v>226</v>
      </c>
      <c r="K8">
        <v>230</v>
      </c>
      <c r="L8">
        <v>233</v>
      </c>
      <c r="M8">
        <v>233</v>
      </c>
      <c r="N8">
        <v>235</v>
      </c>
      <c r="O8">
        <v>235</v>
      </c>
      <c r="P8">
        <v>232</v>
      </c>
      <c r="Q8">
        <v>232</v>
      </c>
      <c r="R8">
        <v>231</v>
      </c>
      <c r="S8">
        <v>228</v>
      </c>
      <c r="T8">
        <v>223</v>
      </c>
      <c r="U8">
        <v>218</v>
      </c>
      <c r="V8">
        <v>218</v>
      </c>
      <c r="W8">
        <v>202</v>
      </c>
      <c r="X8">
        <v>194</v>
      </c>
      <c r="Y8">
        <v>184</v>
      </c>
      <c r="Z8" s="2">
        <f>AVERAGE(Sheet1[[#This Row],[00:00:00]:[23:00:00]])</f>
        <v>220.29166666666666</v>
      </c>
      <c r="AA8" t="str" cm="1">
        <f t="array" ref="AA8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HAZARDOUS</v>
      </c>
    </row>
    <row r="9" spans="1:27" x14ac:dyDescent="0.3">
      <c r="A9" s="1">
        <v>45665</v>
      </c>
      <c r="B9">
        <v>174</v>
      </c>
      <c r="C9">
        <v>165</v>
      </c>
      <c r="D9">
        <v>157</v>
      </c>
      <c r="E9">
        <v>150</v>
      </c>
      <c r="F9">
        <v>144</v>
      </c>
      <c r="G9">
        <v>138</v>
      </c>
      <c r="H9">
        <v>134</v>
      </c>
      <c r="I9">
        <v>130</v>
      </c>
      <c r="J9">
        <v>127</v>
      </c>
      <c r="K9">
        <v>126</v>
      </c>
      <c r="L9">
        <v>125</v>
      </c>
      <c r="M9">
        <v>125</v>
      </c>
      <c r="N9">
        <v>125</v>
      </c>
      <c r="O9">
        <v>122</v>
      </c>
      <c r="P9">
        <v>121</v>
      </c>
      <c r="Q9">
        <v>118</v>
      </c>
      <c r="R9">
        <v>117</v>
      </c>
      <c r="S9">
        <v>116</v>
      </c>
      <c r="T9">
        <v>116</v>
      </c>
      <c r="U9">
        <v>116</v>
      </c>
      <c r="V9">
        <v>116</v>
      </c>
      <c r="W9">
        <v>118</v>
      </c>
      <c r="X9">
        <v>129</v>
      </c>
      <c r="Y9">
        <v>123</v>
      </c>
      <c r="Z9" s="2">
        <f>AVERAGE(Sheet1[[#This Row],[00:00:00]:[23:00:00]])</f>
        <v>130.5</v>
      </c>
      <c r="AA9" t="str" cm="1">
        <f t="array" ref="AA9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10" spans="1:27" x14ac:dyDescent="0.3">
      <c r="A10" s="1">
        <v>45666</v>
      </c>
      <c r="B10">
        <v>129</v>
      </c>
      <c r="C10">
        <v>136</v>
      </c>
      <c r="D10">
        <v>142</v>
      </c>
      <c r="E10">
        <v>146</v>
      </c>
      <c r="F10">
        <v>148</v>
      </c>
      <c r="G10">
        <v>148</v>
      </c>
      <c r="H10">
        <v>148</v>
      </c>
      <c r="I10">
        <v>148</v>
      </c>
      <c r="J10">
        <v>148</v>
      </c>
      <c r="K10">
        <v>147</v>
      </c>
      <c r="L10">
        <v>145</v>
      </c>
      <c r="M10">
        <v>143</v>
      </c>
      <c r="N10">
        <v>141</v>
      </c>
      <c r="O10">
        <v>141</v>
      </c>
      <c r="P10">
        <v>142</v>
      </c>
      <c r="Q10">
        <v>142</v>
      </c>
      <c r="R10">
        <v>141</v>
      </c>
      <c r="S10">
        <v>141</v>
      </c>
      <c r="T10">
        <v>141</v>
      </c>
      <c r="U10">
        <v>142</v>
      </c>
      <c r="V10">
        <v>142</v>
      </c>
      <c r="W10">
        <v>145</v>
      </c>
      <c r="X10">
        <v>152</v>
      </c>
      <c r="Y10">
        <v>144</v>
      </c>
      <c r="Z10" s="2">
        <f>AVERAGE(Sheet1[[#This Row],[00:00:00]:[23:00:00]])</f>
        <v>143.41666666666666</v>
      </c>
      <c r="AA10" t="str" cm="1">
        <f t="array" ref="AA10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11" spans="1:27" x14ac:dyDescent="0.3">
      <c r="A11" s="1">
        <v>45667</v>
      </c>
      <c r="B11">
        <v>145</v>
      </c>
      <c r="C11">
        <v>146</v>
      </c>
      <c r="D11">
        <v>147</v>
      </c>
      <c r="E11">
        <v>149</v>
      </c>
      <c r="F11">
        <v>149</v>
      </c>
      <c r="G11">
        <v>150</v>
      </c>
      <c r="H11">
        <v>149</v>
      </c>
      <c r="I11">
        <v>149</v>
      </c>
      <c r="J11">
        <v>148</v>
      </c>
      <c r="K11">
        <v>148</v>
      </c>
      <c r="L11">
        <v>147</v>
      </c>
      <c r="M11">
        <v>147</v>
      </c>
      <c r="N11">
        <v>148</v>
      </c>
      <c r="O11">
        <v>150</v>
      </c>
      <c r="P11">
        <v>152</v>
      </c>
      <c r="Q11">
        <v>154</v>
      </c>
      <c r="R11">
        <v>155</v>
      </c>
      <c r="S11">
        <v>156</v>
      </c>
      <c r="T11">
        <v>156</v>
      </c>
      <c r="U11">
        <v>157</v>
      </c>
      <c r="V11">
        <v>160</v>
      </c>
      <c r="W11">
        <v>162</v>
      </c>
      <c r="X11">
        <v>164</v>
      </c>
      <c r="Y11">
        <v>165</v>
      </c>
      <c r="Z11" s="2">
        <f>AVERAGE(Sheet1[[#This Row],[00:00:00]:[23:00:00]])</f>
        <v>152.20833333333334</v>
      </c>
      <c r="AA11" t="str" cm="1">
        <f t="array" ref="AA11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12" spans="1:27" x14ac:dyDescent="0.3">
      <c r="A12" s="1">
        <v>45668</v>
      </c>
      <c r="B12">
        <v>164</v>
      </c>
      <c r="C12">
        <v>159</v>
      </c>
      <c r="D12">
        <v>160</v>
      </c>
      <c r="E12">
        <v>162</v>
      </c>
      <c r="F12">
        <v>168</v>
      </c>
      <c r="G12">
        <v>174</v>
      </c>
      <c r="H12">
        <v>180</v>
      </c>
      <c r="I12">
        <v>185</v>
      </c>
      <c r="J12">
        <v>190</v>
      </c>
      <c r="K12">
        <v>194</v>
      </c>
      <c r="L12">
        <v>198</v>
      </c>
      <c r="M12">
        <v>203</v>
      </c>
      <c r="N12">
        <v>208</v>
      </c>
      <c r="O12">
        <v>212</v>
      </c>
      <c r="P12">
        <v>214</v>
      </c>
      <c r="Q12">
        <v>216</v>
      </c>
      <c r="R12">
        <v>219</v>
      </c>
      <c r="S12">
        <v>220</v>
      </c>
      <c r="T12">
        <v>223</v>
      </c>
      <c r="U12">
        <v>225</v>
      </c>
      <c r="V12">
        <v>226</v>
      </c>
      <c r="W12">
        <v>227</v>
      </c>
      <c r="X12">
        <v>230</v>
      </c>
      <c r="Y12">
        <v>226</v>
      </c>
      <c r="Z12" s="2">
        <f>AVERAGE(Sheet1[[#This Row],[00:00:00]:[23:00:00]])</f>
        <v>199.29166666666666</v>
      </c>
      <c r="AA12" t="str" cm="1">
        <f t="array" ref="AA12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13" spans="1:27" x14ac:dyDescent="0.3">
      <c r="A13" s="1">
        <v>45669</v>
      </c>
      <c r="B13">
        <v>229</v>
      </c>
      <c r="C13">
        <v>229</v>
      </c>
      <c r="D13">
        <v>230</v>
      </c>
      <c r="E13">
        <v>230</v>
      </c>
      <c r="F13">
        <v>230</v>
      </c>
      <c r="G13">
        <v>230</v>
      </c>
      <c r="H13">
        <v>230</v>
      </c>
      <c r="I13">
        <v>231</v>
      </c>
      <c r="J13">
        <v>232</v>
      </c>
      <c r="K13">
        <v>234</v>
      </c>
      <c r="L13">
        <v>234</v>
      </c>
      <c r="M13">
        <v>234</v>
      </c>
      <c r="N13">
        <v>232</v>
      </c>
      <c r="O13">
        <v>230</v>
      </c>
      <c r="P13">
        <v>228</v>
      </c>
      <c r="Q13">
        <v>227</v>
      </c>
      <c r="R13">
        <v>225</v>
      </c>
      <c r="S13">
        <v>224</v>
      </c>
      <c r="T13">
        <v>224</v>
      </c>
      <c r="U13">
        <v>225</v>
      </c>
      <c r="V13">
        <v>225</v>
      </c>
      <c r="W13">
        <v>230</v>
      </c>
      <c r="X13">
        <v>232</v>
      </c>
      <c r="Y13">
        <v>235</v>
      </c>
      <c r="Z13" s="2">
        <f>AVERAGE(Sheet1[[#This Row],[00:00:00]:[23:00:00]])</f>
        <v>229.58333333333334</v>
      </c>
      <c r="AA13" t="str" cm="1">
        <f t="array" ref="AA13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HAZARDOUS</v>
      </c>
    </row>
    <row r="14" spans="1:27" x14ac:dyDescent="0.3">
      <c r="A14" s="1">
        <v>45670</v>
      </c>
      <c r="B14">
        <v>234</v>
      </c>
      <c r="C14">
        <v>232</v>
      </c>
      <c r="D14">
        <v>227</v>
      </c>
      <c r="E14">
        <v>222</v>
      </c>
      <c r="F14">
        <v>217</v>
      </c>
      <c r="G14">
        <v>213</v>
      </c>
      <c r="H14">
        <v>209</v>
      </c>
      <c r="I14">
        <v>206</v>
      </c>
      <c r="J14">
        <v>204</v>
      </c>
      <c r="K14">
        <v>199</v>
      </c>
      <c r="L14">
        <v>199</v>
      </c>
      <c r="M14">
        <v>196</v>
      </c>
      <c r="N14">
        <v>196</v>
      </c>
      <c r="O14">
        <v>193</v>
      </c>
      <c r="P14">
        <v>193</v>
      </c>
      <c r="Q14">
        <v>192</v>
      </c>
      <c r="R14">
        <v>193</v>
      </c>
      <c r="S14">
        <v>192</v>
      </c>
      <c r="T14">
        <v>190</v>
      </c>
      <c r="U14">
        <v>187</v>
      </c>
      <c r="V14">
        <v>183</v>
      </c>
      <c r="W14">
        <v>176</v>
      </c>
      <c r="X14">
        <v>169</v>
      </c>
      <c r="Y14">
        <v>162</v>
      </c>
      <c r="Z14" s="2">
        <f>AVERAGE(Sheet1[[#This Row],[00:00:00]:[23:00:00]])</f>
        <v>199.33333333333334</v>
      </c>
      <c r="AA14" t="str" cm="1">
        <f t="array" ref="AA14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15" spans="1:27" x14ac:dyDescent="0.3">
      <c r="A15" s="1">
        <v>45671</v>
      </c>
      <c r="B15">
        <v>155</v>
      </c>
      <c r="C15">
        <v>151</v>
      </c>
      <c r="D15">
        <v>148</v>
      </c>
      <c r="E15">
        <v>146</v>
      </c>
      <c r="F15">
        <v>144</v>
      </c>
      <c r="G15">
        <v>142</v>
      </c>
      <c r="H15">
        <v>139</v>
      </c>
      <c r="I15">
        <v>139</v>
      </c>
      <c r="J15">
        <v>134</v>
      </c>
      <c r="K15">
        <v>132</v>
      </c>
      <c r="L15">
        <v>130</v>
      </c>
      <c r="M15">
        <v>129</v>
      </c>
      <c r="N15">
        <v>128</v>
      </c>
      <c r="O15">
        <v>127</v>
      </c>
      <c r="P15">
        <v>127</v>
      </c>
      <c r="Q15">
        <v>128</v>
      </c>
      <c r="R15">
        <v>130</v>
      </c>
      <c r="S15">
        <v>131</v>
      </c>
      <c r="T15">
        <v>132</v>
      </c>
      <c r="U15">
        <v>133</v>
      </c>
      <c r="V15">
        <v>133</v>
      </c>
      <c r="W15">
        <v>134</v>
      </c>
      <c r="X15">
        <v>137</v>
      </c>
      <c r="Y15">
        <v>143</v>
      </c>
      <c r="Z15" s="2">
        <f>AVERAGE(Sheet1[[#This Row],[00:00:00]:[23:00:00]])</f>
        <v>136.33333333333334</v>
      </c>
      <c r="AA15" t="str" cm="1">
        <f t="array" ref="AA15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16" spans="1:27" x14ac:dyDescent="0.3">
      <c r="A16" s="1">
        <v>45672</v>
      </c>
      <c r="B16">
        <v>148</v>
      </c>
      <c r="C16">
        <v>153</v>
      </c>
      <c r="D16">
        <v>158</v>
      </c>
      <c r="E16">
        <v>162</v>
      </c>
      <c r="F16">
        <v>166</v>
      </c>
      <c r="G16">
        <v>169</v>
      </c>
      <c r="H16">
        <v>175</v>
      </c>
      <c r="I16">
        <v>176</v>
      </c>
      <c r="J16">
        <v>181</v>
      </c>
      <c r="K16">
        <v>183</v>
      </c>
      <c r="L16">
        <v>185</v>
      </c>
      <c r="M16">
        <v>186</v>
      </c>
      <c r="N16">
        <v>189</v>
      </c>
      <c r="O16">
        <v>190</v>
      </c>
      <c r="P16">
        <v>192</v>
      </c>
      <c r="Q16">
        <v>193</v>
      </c>
      <c r="R16">
        <v>193</v>
      </c>
      <c r="S16">
        <v>193</v>
      </c>
      <c r="T16">
        <v>194</v>
      </c>
      <c r="U16">
        <v>193</v>
      </c>
      <c r="V16">
        <v>194</v>
      </c>
      <c r="W16">
        <v>194</v>
      </c>
      <c r="X16">
        <v>194</v>
      </c>
      <c r="Y16">
        <v>191</v>
      </c>
      <c r="Z16" s="2">
        <f>AVERAGE(Sheet1[[#This Row],[00:00:00]:[23:00:00]])</f>
        <v>181.33333333333334</v>
      </c>
      <c r="AA16" t="str" cm="1">
        <f t="array" ref="AA16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17" spans="1:27" x14ac:dyDescent="0.3">
      <c r="A17" s="1">
        <v>45673</v>
      </c>
      <c r="B17">
        <v>191</v>
      </c>
      <c r="C17">
        <v>191</v>
      </c>
      <c r="D17">
        <v>191</v>
      </c>
      <c r="E17">
        <v>192</v>
      </c>
      <c r="F17">
        <v>196</v>
      </c>
      <c r="G17">
        <v>201</v>
      </c>
      <c r="H17">
        <v>222</v>
      </c>
      <c r="I17">
        <v>225</v>
      </c>
      <c r="J17">
        <v>226</v>
      </c>
      <c r="K17">
        <v>228</v>
      </c>
      <c r="L17">
        <v>229</v>
      </c>
      <c r="M17">
        <v>231</v>
      </c>
      <c r="N17">
        <v>234</v>
      </c>
      <c r="O17">
        <v>236</v>
      </c>
      <c r="P17">
        <v>238</v>
      </c>
      <c r="Q17">
        <v>239</v>
      </c>
      <c r="R17">
        <v>243</v>
      </c>
      <c r="S17">
        <v>246</v>
      </c>
      <c r="T17">
        <v>248</v>
      </c>
      <c r="U17">
        <v>248</v>
      </c>
      <c r="V17">
        <v>249</v>
      </c>
      <c r="W17">
        <v>249</v>
      </c>
      <c r="X17">
        <v>249</v>
      </c>
      <c r="Y17">
        <v>249</v>
      </c>
      <c r="Z17" s="2">
        <f>AVERAGE(Sheet1[[#This Row],[00:00:00]:[23:00:00]])</f>
        <v>227.125</v>
      </c>
      <c r="AA17" t="str" cm="1">
        <f t="array" ref="AA17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HAZARDOUS</v>
      </c>
    </row>
    <row r="18" spans="1:27" x14ac:dyDescent="0.3">
      <c r="A18" s="1">
        <v>45674</v>
      </c>
      <c r="B18">
        <v>248</v>
      </c>
      <c r="C18">
        <v>246</v>
      </c>
      <c r="D18">
        <v>244</v>
      </c>
      <c r="E18">
        <v>242</v>
      </c>
      <c r="F18">
        <v>238</v>
      </c>
      <c r="G18">
        <v>232</v>
      </c>
      <c r="H18">
        <v>226</v>
      </c>
      <c r="I18">
        <v>218</v>
      </c>
      <c r="J18">
        <v>214</v>
      </c>
      <c r="K18">
        <v>210</v>
      </c>
      <c r="L18">
        <v>206</v>
      </c>
      <c r="M18">
        <v>200</v>
      </c>
      <c r="N18">
        <v>198</v>
      </c>
      <c r="O18">
        <v>189</v>
      </c>
      <c r="P18">
        <v>189</v>
      </c>
      <c r="Q18">
        <v>178</v>
      </c>
      <c r="R18">
        <v>170</v>
      </c>
      <c r="S18">
        <v>162</v>
      </c>
      <c r="T18">
        <v>156</v>
      </c>
      <c r="U18">
        <v>150</v>
      </c>
      <c r="V18">
        <v>144</v>
      </c>
      <c r="W18">
        <v>137</v>
      </c>
      <c r="X18">
        <v>130</v>
      </c>
      <c r="Y18">
        <v>123</v>
      </c>
      <c r="Z18" s="2">
        <f>AVERAGE(Sheet1[[#This Row],[00:00:00]:[23:00:00]])</f>
        <v>193.75</v>
      </c>
      <c r="AA18" t="str" cm="1">
        <f t="array" ref="AA18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19" spans="1:27" x14ac:dyDescent="0.3">
      <c r="A19" s="1">
        <v>45675</v>
      </c>
      <c r="B19">
        <v>116</v>
      </c>
      <c r="C19">
        <v>110</v>
      </c>
      <c r="D19">
        <v>105</v>
      </c>
      <c r="E19">
        <v>101</v>
      </c>
      <c r="F19">
        <v>99</v>
      </c>
      <c r="G19">
        <v>98</v>
      </c>
      <c r="H19">
        <v>98</v>
      </c>
      <c r="I19">
        <v>100</v>
      </c>
      <c r="J19">
        <v>100</v>
      </c>
      <c r="K19">
        <v>102</v>
      </c>
      <c r="L19">
        <v>104</v>
      </c>
      <c r="M19">
        <v>106</v>
      </c>
      <c r="N19">
        <v>108</v>
      </c>
      <c r="O19">
        <v>110</v>
      </c>
      <c r="P19">
        <v>111</v>
      </c>
      <c r="Q19">
        <v>112</v>
      </c>
      <c r="R19">
        <v>113</v>
      </c>
      <c r="S19">
        <v>113</v>
      </c>
      <c r="T19">
        <v>113</v>
      </c>
      <c r="U19">
        <v>114</v>
      </c>
      <c r="V19">
        <v>114</v>
      </c>
      <c r="W19">
        <v>114</v>
      </c>
      <c r="X19">
        <v>114</v>
      </c>
      <c r="Y19">
        <v>116</v>
      </c>
      <c r="Z19" s="2">
        <f>AVERAGE(Sheet1[[#This Row],[00:00:00]:[23:00:00]])</f>
        <v>107.95833333333333</v>
      </c>
      <c r="AA19" t="str" cm="1">
        <f t="array" ref="AA19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0" spans="1:27" x14ac:dyDescent="0.3">
      <c r="A20" s="1">
        <v>45676</v>
      </c>
      <c r="B20">
        <v>116</v>
      </c>
      <c r="C20">
        <v>116</v>
      </c>
      <c r="D20">
        <v>115</v>
      </c>
      <c r="E20">
        <v>114</v>
      </c>
      <c r="F20">
        <v>114</v>
      </c>
      <c r="G20">
        <v>112</v>
      </c>
      <c r="H20">
        <v>109</v>
      </c>
      <c r="I20">
        <v>107</v>
      </c>
      <c r="J20">
        <v>104</v>
      </c>
      <c r="K20">
        <v>101</v>
      </c>
      <c r="L20">
        <v>98</v>
      </c>
      <c r="M20">
        <v>96</v>
      </c>
      <c r="N20">
        <v>95</v>
      </c>
      <c r="O20">
        <v>95</v>
      </c>
      <c r="P20">
        <v>94</v>
      </c>
      <c r="Q20">
        <v>94</v>
      </c>
      <c r="R20">
        <v>94</v>
      </c>
      <c r="S20">
        <v>94</v>
      </c>
      <c r="T20">
        <v>94</v>
      </c>
      <c r="U20">
        <v>94</v>
      </c>
      <c r="V20">
        <v>94</v>
      </c>
      <c r="W20">
        <v>95</v>
      </c>
      <c r="X20">
        <v>95</v>
      </c>
      <c r="Y20">
        <v>97</v>
      </c>
      <c r="Z20" s="2">
        <f>AVERAGE(Sheet1[[#This Row],[00:00:00]:[23:00:00]])</f>
        <v>101.54166666666667</v>
      </c>
      <c r="AA20" t="str" cm="1">
        <f t="array" ref="AA20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1" spans="1:27" x14ac:dyDescent="0.3">
      <c r="A21" s="1">
        <v>45677</v>
      </c>
      <c r="B21">
        <v>100</v>
      </c>
      <c r="C21">
        <v>102</v>
      </c>
      <c r="D21">
        <v>102</v>
      </c>
      <c r="E21">
        <v>103</v>
      </c>
      <c r="F21">
        <v>103</v>
      </c>
      <c r="G21">
        <v>103</v>
      </c>
      <c r="H21">
        <v>104</v>
      </c>
      <c r="I21">
        <v>105</v>
      </c>
      <c r="J21">
        <v>107</v>
      </c>
      <c r="K21">
        <v>109</v>
      </c>
      <c r="L21">
        <v>110</v>
      </c>
      <c r="M21">
        <v>110</v>
      </c>
      <c r="N21">
        <v>111</v>
      </c>
      <c r="O21">
        <v>112</v>
      </c>
      <c r="P21">
        <v>111</v>
      </c>
      <c r="Q21">
        <v>111</v>
      </c>
      <c r="R21">
        <v>112</v>
      </c>
      <c r="S21">
        <v>112</v>
      </c>
      <c r="T21">
        <v>113</v>
      </c>
      <c r="U21">
        <v>116</v>
      </c>
      <c r="V21">
        <v>116</v>
      </c>
      <c r="W21">
        <v>128</v>
      </c>
      <c r="X21">
        <v>121</v>
      </c>
      <c r="Y21">
        <v>124</v>
      </c>
      <c r="Z21" s="2">
        <f>AVERAGE(Sheet1[[#This Row],[00:00:00]:[23:00:00]])</f>
        <v>110.20833333333333</v>
      </c>
      <c r="AA21" t="str" cm="1">
        <f t="array" ref="AA21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2" spans="1:27" x14ac:dyDescent="0.3">
      <c r="A22" s="1">
        <v>45678</v>
      </c>
      <c r="B22">
        <v>125</v>
      </c>
      <c r="C22">
        <v>129</v>
      </c>
      <c r="D22">
        <v>135</v>
      </c>
      <c r="E22">
        <v>137</v>
      </c>
      <c r="F22">
        <v>139</v>
      </c>
      <c r="G22">
        <v>140</v>
      </c>
      <c r="H22">
        <v>140</v>
      </c>
      <c r="I22">
        <v>140</v>
      </c>
      <c r="J22">
        <v>140</v>
      </c>
      <c r="K22">
        <v>140</v>
      </c>
      <c r="L22">
        <v>140</v>
      </c>
      <c r="M22">
        <v>140</v>
      </c>
      <c r="N22">
        <v>142</v>
      </c>
      <c r="O22">
        <v>142</v>
      </c>
      <c r="P22">
        <v>142</v>
      </c>
      <c r="Q22">
        <v>142</v>
      </c>
      <c r="R22">
        <v>140</v>
      </c>
      <c r="S22">
        <v>140</v>
      </c>
      <c r="T22">
        <v>139</v>
      </c>
      <c r="U22">
        <v>138</v>
      </c>
      <c r="V22">
        <v>138</v>
      </c>
      <c r="W22">
        <v>136</v>
      </c>
      <c r="X22">
        <v>136</v>
      </c>
      <c r="Y22">
        <v>136</v>
      </c>
      <c r="Z22" s="2">
        <f>AVERAGE(Sheet1[[#This Row],[00:00:00]:[23:00:00]])</f>
        <v>138.16666666666666</v>
      </c>
      <c r="AA22" t="str" cm="1">
        <f t="array" ref="AA22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3" spans="1:27" x14ac:dyDescent="0.3">
      <c r="A23" s="1">
        <v>45679</v>
      </c>
      <c r="B23">
        <v>132</v>
      </c>
      <c r="C23">
        <v>130</v>
      </c>
      <c r="D23">
        <v>127</v>
      </c>
      <c r="E23">
        <v>126</v>
      </c>
      <c r="F23">
        <v>126</v>
      </c>
      <c r="G23">
        <v>127</v>
      </c>
      <c r="H23">
        <v>128</v>
      </c>
      <c r="I23">
        <v>130</v>
      </c>
      <c r="J23">
        <v>130</v>
      </c>
      <c r="K23">
        <v>130</v>
      </c>
      <c r="L23">
        <v>130</v>
      </c>
      <c r="M23">
        <v>132</v>
      </c>
      <c r="N23">
        <v>132</v>
      </c>
      <c r="O23">
        <v>134</v>
      </c>
      <c r="P23">
        <v>136</v>
      </c>
      <c r="Q23">
        <v>144</v>
      </c>
      <c r="R23">
        <v>144</v>
      </c>
      <c r="S23">
        <v>146</v>
      </c>
      <c r="T23">
        <v>142</v>
      </c>
      <c r="U23">
        <v>142</v>
      </c>
      <c r="V23">
        <v>144</v>
      </c>
      <c r="W23">
        <v>145</v>
      </c>
      <c r="X23">
        <v>145</v>
      </c>
      <c r="Y23">
        <v>148</v>
      </c>
      <c r="Z23" s="2">
        <f>AVERAGE(Sheet1[[#This Row],[00:00:00]:[23:00:00]])</f>
        <v>135.41666666666666</v>
      </c>
      <c r="AA23" t="str" cm="1">
        <f t="array" ref="AA23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4" spans="1:27" x14ac:dyDescent="0.3">
      <c r="A24" s="1">
        <v>45680</v>
      </c>
      <c r="B24">
        <v>149</v>
      </c>
      <c r="C24">
        <v>148</v>
      </c>
      <c r="D24">
        <v>147</v>
      </c>
      <c r="E24">
        <v>148</v>
      </c>
      <c r="F24">
        <v>148</v>
      </c>
      <c r="G24">
        <v>149</v>
      </c>
      <c r="H24">
        <v>150</v>
      </c>
      <c r="I24">
        <v>152</v>
      </c>
      <c r="J24">
        <v>155</v>
      </c>
      <c r="K24">
        <v>157</v>
      </c>
      <c r="L24">
        <v>159</v>
      </c>
      <c r="M24">
        <v>163</v>
      </c>
      <c r="N24">
        <v>167</v>
      </c>
      <c r="O24">
        <v>169</v>
      </c>
      <c r="P24">
        <v>170</v>
      </c>
      <c r="Q24">
        <v>172</v>
      </c>
      <c r="R24">
        <v>171</v>
      </c>
      <c r="S24">
        <v>172</v>
      </c>
      <c r="T24">
        <v>173</v>
      </c>
      <c r="U24">
        <v>174</v>
      </c>
      <c r="V24">
        <v>174</v>
      </c>
      <c r="W24">
        <v>173</v>
      </c>
      <c r="X24">
        <v>174</v>
      </c>
      <c r="Y24">
        <v>174</v>
      </c>
      <c r="Z24" s="2">
        <f>AVERAGE(Sheet1[[#This Row],[00:00:00]:[23:00:00]])</f>
        <v>162</v>
      </c>
      <c r="AA24" t="str" cm="1">
        <f t="array" ref="AA24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25" spans="1:27" x14ac:dyDescent="0.3">
      <c r="A25" s="1">
        <v>45681</v>
      </c>
      <c r="B25">
        <v>174</v>
      </c>
      <c r="C25">
        <v>176</v>
      </c>
      <c r="D25">
        <v>181</v>
      </c>
      <c r="E25">
        <v>181</v>
      </c>
      <c r="F25">
        <v>191</v>
      </c>
      <c r="G25">
        <v>197</v>
      </c>
      <c r="H25">
        <v>201</v>
      </c>
      <c r="I25">
        <v>204</v>
      </c>
      <c r="J25">
        <v>207</v>
      </c>
      <c r="K25">
        <v>210</v>
      </c>
      <c r="L25">
        <v>214</v>
      </c>
      <c r="M25">
        <v>216</v>
      </c>
      <c r="N25">
        <v>218</v>
      </c>
      <c r="O25">
        <v>218</v>
      </c>
      <c r="P25">
        <v>218</v>
      </c>
      <c r="Q25">
        <v>218</v>
      </c>
      <c r="R25">
        <v>220</v>
      </c>
      <c r="S25">
        <v>220</v>
      </c>
      <c r="T25">
        <v>218</v>
      </c>
      <c r="U25">
        <v>217</v>
      </c>
      <c r="V25">
        <v>216</v>
      </c>
      <c r="W25">
        <v>215</v>
      </c>
      <c r="X25">
        <v>212</v>
      </c>
      <c r="Y25">
        <v>207</v>
      </c>
      <c r="Z25" s="2">
        <f>AVERAGE(Sheet1[[#This Row],[00:00:00]:[23:00:00]])</f>
        <v>206.20833333333334</v>
      </c>
      <c r="AA25" t="str" cm="1">
        <f t="array" ref="AA25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HAZARDOUS</v>
      </c>
    </row>
    <row r="26" spans="1:27" x14ac:dyDescent="0.3">
      <c r="A26" s="1">
        <v>45682</v>
      </c>
      <c r="B26">
        <v>201</v>
      </c>
      <c r="C26">
        <v>194</v>
      </c>
      <c r="D26">
        <v>192</v>
      </c>
      <c r="E26">
        <v>186</v>
      </c>
      <c r="F26">
        <v>170</v>
      </c>
      <c r="G26">
        <v>163</v>
      </c>
      <c r="H26">
        <v>157</v>
      </c>
      <c r="I26">
        <v>151</v>
      </c>
      <c r="J26">
        <v>145</v>
      </c>
      <c r="K26">
        <v>138</v>
      </c>
      <c r="L26">
        <v>132</v>
      </c>
      <c r="M26">
        <v>125</v>
      </c>
      <c r="N26">
        <v>120</v>
      </c>
      <c r="O26">
        <v>118</v>
      </c>
      <c r="P26">
        <v>127</v>
      </c>
      <c r="Q26">
        <v>130</v>
      </c>
      <c r="R26">
        <v>120</v>
      </c>
      <c r="S26">
        <v>122</v>
      </c>
      <c r="T26">
        <v>123</v>
      </c>
      <c r="U26">
        <v>124</v>
      </c>
      <c r="V26">
        <v>126</v>
      </c>
      <c r="W26">
        <v>131</v>
      </c>
      <c r="X26">
        <v>129</v>
      </c>
      <c r="Y26">
        <v>133</v>
      </c>
      <c r="Z26" s="2">
        <f>AVERAGE(Sheet1[[#This Row],[00:00:00]:[23:00:00]])</f>
        <v>144.04166666666666</v>
      </c>
      <c r="AA26" t="str" cm="1">
        <f t="array" ref="AA26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7" spans="1:27" x14ac:dyDescent="0.3">
      <c r="A27" s="1">
        <v>45683</v>
      </c>
      <c r="B27">
        <v>138</v>
      </c>
      <c r="C27">
        <v>144</v>
      </c>
      <c r="D27">
        <v>148</v>
      </c>
      <c r="E27">
        <v>151</v>
      </c>
      <c r="F27">
        <v>152</v>
      </c>
      <c r="G27">
        <v>152</v>
      </c>
      <c r="H27">
        <v>153</v>
      </c>
      <c r="I27">
        <v>153</v>
      </c>
      <c r="J27">
        <v>153</v>
      </c>
      <c r="K27">
        <v>153</v>
      </c>
      <c r="L27">
        <v>154</v>
      </c>
      <c r="M27">
        <v>155</v>
      </c>
      <c r="N27">
        <v>155</v>
      </c>
      <c r="O27">
        <v>153</v>
      </c>
      <c r="P27">
        <v>152</v>
      </c>
      <c r="Q27">
        <v>151</v>
      </c>
      <c r="R27">
        <v>150</v>
      </c>
      <c r="S27">
        <v>150</v>
      </c>
      <c r="T27">
        <v>150</v>
      </c>
      <c r="U27">
        <v>150</v>
      </c>
      <c r="V27">
        <v>150</v>
      </c>
      <c r="W27">
        <v>151</v>
      </c>
      <c r="X27">
        <v>150</v>
      </c>
      <c r="Y27">
        <v>149</v>
      </c>
      <c r="Z27" s="2">
        <f>AVERAGE(Sheet1[[#This Row],[00:00:00]:[23:00:00]])</f>
        <v>150.70833333333334</v>
      </c>
      <c r="AA27" t="str" cm="1">
        <f t="array" ref="AA27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28" spans="1:27" x14ac:dyDescent="0.3">
      <c r="A28" s="1">
        <v>45684</v>
      </c>
      <c r="B28">
        <v>148</v>
      </c>
      <c r="C28">
        <v>146</v>
      </c>
      <c r="D28">
        <v>145</v>
      </c>
      <c r="E28">
        <v>144</v>
      </c>
      <c r="F28">
        <v>143</v>
      </c>
      <c r="G28">
        <v>143</v>
      </c>
      <c r="H28">
        <v>142</v>
      </c>
      <c r="I28">
        <v>141</v>
      </c>
      <c r="J28">
        <v>141</v>
      </c>
      <c r="K28">
        <v>141</v>
      </c>
      <c r="L28">
        <v>141</v>
      </c>
      <c r="M28">
        <v>141</v>
      </c>
      <c r="N28">
        <v>140</v>
      </c>
      <c r="O28">
        <v>140</v>
      </c>
      <c r="P28">
        <v>139</v>
      </c>
      <c r="Q28">
        <v>145</v>
      </c>
      <c r="R28">
        <v>148</v>
      </c>
      <c r="S28">
        <v>146</v>
      </c>
      <c r="T28">
        <v>137</v>
      </c>
      <c r="U28">
        <v>136</v>
      </c>
      <c r="V28">
        <v>136</v>
      </c>
      <c r="W28">
        <v>132</v>
      </c>
      <c r="X28">
        <v>132</v>
      </c>
      <c r="Y28">
        <v>127</v>
      </c>
      <c r="Z28" s="2">
        <f>AVERAGE(Sheet1[[#This Row],[00:00:00]:[23:00:00]])</f>
        <v>140.58333333333334</v>
      </c>
      <c r="AA28" t="str" cm="1">
        <f t="array" ref="AA28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9" spans="1:27" x14ac:dyDescent="0.3">
      <c r="A29" s="1">
        <v>45685</v>
      </c>
      <c r="B29">
        <v>126</v>
      </c>
      <c r="C29">
        <v>125</v>
      </c>
      <c r="D29">
        <v>125</v>
      </c>
      <c r="E29">
        <v>125</v>
      </c>
      <c r="F29">
        <v>125</v>
      </c>
      <c r="G29">
        <v>125</v>
      </c>
      <c r="H29">
        <v>125</v>
      </c>
      <c r="I29">
        <v>125</v>
      </c>
      <c r="J29">
        <v>125</v>
      </c>
      <c r="K29">
        <v>125</v>
      </c>
      <c r="L29">
        <v>126</v>
      </c>
      <c r="M29">
        <v>126</v>
      </c>
      <c r="N29">
        <v>126</v>
      </c>
      <c r="O29">
        <v>125</v>
      </c>
      <c r="P29">
        <v>124</v>
      </c>
      <c r="Q29">
        <v>124</v>
      </c>
      <c r="R29">
        <v>123</v>
      </c>
      <c r="S29">
        <v>122</v>
      </c>
      <c r="T29">
        <v>122</v>
      </c>
      <c r="U29">
        <v>121</v>
      </c>
      <c r="V29">
        <v>120</v>
      </c>
      <c r="W29">
        <v>120</v>
      </c>
      <c r="X29">
        <v>120</v>
      </c>
      <c r="Y29">
        <v>120</v>
      </c>
      <c r="Z29" s="2">
        <f>AVERAGE(Sheet1[[#This Row],[00:00:00]:[23:00:00]])</f>
        <v>123.75</v>
      </c>
      <c r="AA29" t="str" cm="1">
        <f t="array" ref="AA29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30" spans="1:27" x14ac:dyDescent="0.3">
      <c r="A30" s="1">
        <v>45686</v>
      </c>
      <c r="B30">
        <v>120</v>
      </c>
      <c r="C30">
        <v>120</v>
      </c>
      <c r="D30">
        <v>121</v>
      </c>
      <c r="E30">
        <v>123</v>
      </c>
      <c r="F30">
        <v>128</v>
      </c>
      <c r="G30">
        <v>132</v>
      </c>
      <c r="H30">
        <v>135</v>
      </c>
      <c r="I30">
        <v>139</v>
      </c>
      <c r="J30">
        <v>142</v>
      </c>
      <c r="K30">
        <v>145</v>
      </c>
      <c r="L30">
        <v>148</v>
      </c>
      <c r="M30">
        <v>152</v>
      </c>
      <c r="N30">
        <v>153</v>
      </c>
      <c r="O30">
        <v>158</v>
      </c>
      <c r="P30">
        <v>158</v>
      </c>
      <c r="Q30">
        <v>162</v>
      </c>
      <c r="R30">
        <v>164</v>
      </c>
      <c r="S30">
        <v>166</v>
      </c>
      <c r="T30">
        <v>167</v>
      </c>
      <c r="U30">
        <v>168</v>
      </c>
      <c r="V30">
        <v>168</v>
      </c>
      <c r="W30">
        <v>168</v>
      </c>
      <c r="X30">
        <v>167</v>
      </c>
      <c r="Y30">
        <v>166</v>
      </c>
      <c r="Z30" s="2">
        <f>AVERAGE(Sheet1[[#This Row],[00:00:00]:[23:00:00]])</f>
        <v>148.75</v>
      </c>
      <c r="AA30" t="str" cm="1">
        <f t="array" ref="AA30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31" spans="1:27" x14ac:dyDescent="0.3">
      <c r="A31" s="1">
        <v>45687</v>
      </c>
      <c r="B31">
        <v>165</v>
      </c>
      <c r="C31">
        <v>163</v>
      </c>
      <c r="D31">
        <v>161</v>
      </c>
      <c r="E31">
        <v>156</v>
      </c>
      <c r="F31">
        <v>153</v>
      </c>
      <c r="G31">
        <v>151</v>
      </c>
      <c r="H31">
        <v>152</v>
      </c>
      <c r="I31">
        <v>152</v>
      </c>
      <c r="J31">
        <v>156</v>
      </c>
      <c r="K31">
        <v>160</v>
      </c>
      <c r="L31">
        <v>164</v>
      </c>
      <c r="M31">
        <v>168</v>
      </c>
      <c r="N31">
        <v>172</v>
      </c>
      <c r="O31">
        <v>175</v>
      </c>
      <c r="P31">
        <v>176</v>
      </c>
      <c r="Q31">
        <v>178</v>
      </c>
      <c r="R31">
        <v>177</v>
      </c>
      <c r="S31">
        <v>176</v>
      </c>
      <c r="U31">
        <v>180</v>
      </c>
      <c r="V31">
        <v>181</v>
      </c>
      <c r="W31">
        <v>180</v>
      </c>
      <c r="X31">
        <v>180</v>
      </c>
      <c r="Y31">
        <v>175</v>
      </c>
      <c r="Z31" s="2">
        <f>AVERAGE(Sheet1[[#This Row],[00:00:00]:[23:00:00]])</f>
        <v>167.43478260869566</v>
      </c>
      <c r="AA31" t="str" cm="1">
        <f t="array" ref="AA31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32" spans="1:27" x14ac:dyDescent="0.3">
      <c r="A32" s="1">
        <v>45688</v>
      </c>
      <c r="B32">
        <v>173</v>
      </c>
      <c r="C32">
        <v>170</v>
      </c>
      <c r="D32">
        <v>168</v>
      </c>
      <c r="E32">
        <v>166</v>
      </c>
      <c r="F32">
        <v>164</v>
      </c>
      <c r="G32">
        <v>161</v>
      </c>
      <c r="H32">
        <v>157</v>
      </c>
      <c r="I32">
        <v>154</v>
      </c>
      <c r="J32">
        <v>150</v>
      </c>
      <c r="K32">
        <v>144</v>
      </c>
      <c r="L32">
        <v>140</v>
      </c>
      <c r="M32">
        <v>136</v>
      </c>
      <c r="N32">
        <v>131</v>
      </c>
      <c r="O32">
        <v>131</v>
      </c>
      <c r="P32">
        <v>127</v>
      </c>
      <c r="Q32">
        <v>127</v>
      </c>
      <c r="R32">
        <v>126</v>
      </c>
      <c r="S32">
        <v>125</v>
      </c>
      <c r="T32">
        <v>124</v>
      </c>
      <c r="U32">
        <v>124</v>
      </c>
      <c r="V32">
        <v>124</v>
      </c>
      <c r="W32">
        <v>124</v>
      </c>
      <c r="X32">
        <v>124</v>
      </c>
      <c r="Y32">
        <v>125</v>
      </c>
      <c r="Z32" s="2">
        <f>AVERAGE(Sheet1[[#This Row],[00:00:00]:[23:00:00]])</f>
        <v>141.45833333333334</v>
      </c>
      <c r="AA32" t="str" cm="1">
        <f t="array" ref="AA32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33" spans="26:27" x14ac:dyDescent="0.3">
      <c r="Z33" s="2">
        <f>SUBTOTAL(101,Sheet1[AVERAGE AQI])</f>
        <v>152.17145862552593</v>
      </c>
      <c r="AA33" s="3"/>
    </row>
  </sheetData>
  <conditionalFormatting sqref="AA1:AA1048576">
    <cfRule type="containsText" dxfId="101" priority="4" operator="containsText" text="BAD">
      <formula>NOT(ISERROR(SEARCH("BAD",AA1)))</formula>
    </cfRule>
    <cfRule type="containsText" dxfId="102" priority="3" operator="containsText" text="MODERATE">
      <formula>NOT(ISERROR(SEARCH("MODERATE",AA1)))</formula>
    </cfRule>
    <cfRule type="containsText" dxfId="103" priority="2" operator="containsText" text="VERY BAD">
      <formula>NOT(ISERROR(SEARCH("VERY BAD",AA1)))</formula>
    </cfRule>
    <cfRule type="containsText" dxfId="104" priority="1" operator="containsText" text="HAZARDOUS">
      <formula>NOT(ISERROR(SEARCH("HAZARDOUS",AA1)))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8F6B-4E13-4C25-80CB-CD0D2214C2BD}">
  <dimension ref="A1:AA30"/>
  <sheetViews>
    <sheetView workbookViewId="0">
      <selection activeCell="AA8" sqref="AA8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8.332031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45689</v>
      </c>
      <c r="B2">
        <v>128</v>
      </c>
      <c r="C2">
        <v>129</v>
      </c>
      <c r="D2">
        <v>131</v>
      </c>
      <c r="E2">
        <v>132</v>
      </c>
      <c r="F2">
        <v>133</v>
      </c>
      <c r="G2">
        <v>135</v>
      </c>
      <c r="H2">
        <v>136</v>
      </c>
      <c r="I2">
        <v>138</v>
      </c>
      <c r="J2">
        <v>140</v>
      </c>
      <c r="K2">
        <v>141</v>
      </c>
      <c r="L2">
        <v>141</v>
      </c>
      <c r="M2">
        <v>143</v>
      </c>
      <c r="N2">
        <v>147</v>
      </c>
      <c r="O2">
        <v>146</v>
      </c>
      <c r="P2">
        <v>145</v>
      </c>
      <c r="Q2">
        <v>145</v>
      </c>
      <c r="R2">
        <v>141</v>
      </c>
      <c r="S2">
        <v>140</v>
      </c>
      <c r="T2">
        <v>139</v>
      </c>
      <c r="U2">
        <v>138</v>
      </c>
      <c r="V2">
        <v>138</v>
      </c>
      <c r="W2">
        <v>140</v>
      </c>
      <c r="X2">
        <v>142</v>
      </c>
      <c r="Y2">
        <v>134</v>
      </c>
      <c r="Z2" s="2">
        <f>AVERAGE(Sheet1__2[[#This Row],[00:00:00]:[23:00:00]])</f>
        <v>138.41666666666666</v>
      </c>
      <c r="AA2" t="str" cm="1">
        <f t="array" ref="AA2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3" spans="1:27" x14ac:dyDescent="0.3">
      <c r="A3" s="1">
        <v>45690</v>
      </c>
      <c r="B3">
        <v>132</v>
      </c>
      <c r="C3">
        <v>132</v>
      </c>
      <c r="D3">
        <v>130</v>
      </c>
      <c r="E3">
        <v>129</v>
      </c>
      <c r="F3">
        <v>127</v>
      </c>
      <c r="G3">
        <v>125</v>
      </c>
      <c r="H3">
        <v>122</v>
      </c>
      <c r="I3">
        <v>122</v>
      </c>
      <c r="J3">
        <v>116</v>
      </c>
      <c r="K3">
        <v>116</v>
      </c>
      <c r="L3">
        <v>112</v>
      </c>
      <c r="M3">
        <v>109</v>
      </c>
      <c r="N3">
        <v>107</v>
      </c>
      <c r="O3">
        <v>106</v>
      </c>
      <c r="P3">
        <v>106</v>
      </c>
      <c r="Q3">
        <v>106</v>
      </c>
      <c r="R3">
        <v>107</v>
      </c>
      <c r="S3">
        <v>108</v>
      </c>
      <c r="T3">
        <v>108</v>
      </c>
      <c r="U3">
        <v>108</v>
      </c>
      <c r="V3">
        <v>122</v>
      </c>
      <c r="W3">
        <v>118</v>
      </c>
      <c r="X3">
        <v>105</v>
      </c>
      <c r="Y3">
        <v>105</v>
      </c>
      <c r="Z3" s="2">
        <f>AVERAGE(Sheet1__2[[#This Row],[00:00:00]:[23:00:00]])</f>
        <v>115.75</v>
      </c>
      <c r="AA3" t="str" cm="1">
        <f t="array" ref="AA3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4" spans="1:27" x14ac:dyDescent="0.3">
      <c r="A4" s="1">
        <v>45691</v>
      </c>
      <c r="B4">
        <v>105</v>
      </c>
      <c r="C4">
        <v>105</v>
      </c>
      <c r="D4">
        <v>105</v>
      </c>
      <c r="E4">
        <v>105</v>
      </c>
      <c r="F4">
        <v>105</v>
      </c>
      <c r="G4">
        <v>105</v>
      </c>
      <c r="H4">
        <v>105</v>
      </c>
      <c r="I4">
        <v>105</v>
      </c>
      <c r="J4">
        <v>105</v>
      </c>
      <c r="K4">
        <v>106</v>
      </c>
      <c r="L4">
        <v>106</v>
      </c>
      <c r="M4">
        <v>106</v>
      </c>
      <c r="N4">
        <v>105</v>
      </c>
      <c r="O4">
        <v>105</v>
      </c>
      <c r="P4">
        <v>105</v>
      </c>
      <c r="Q4">
        <v>105</v>
      </c>
      <c r="R4">
        <v>105</v>
      </c>
      <c r="S4">
        <v>106</v>
      </c>
      <c r="T4">
        <v>107</v>
      </c>
      <c r="U4">
        <v>108</v>
      </c>
      <c r="V4">
        <v>109</v>
      </c>
      <c r="W4">
        <v>110</v>
      </c>
      <c r="X4">
        <v>124</v>
      </c>
      <c r="Y4">
        <v>112</v>
      </c>
      <c r="Z4" s="2">
        <f>AVERAGE(Sheet1__2[[#This Row],[00:00:00]:[23:00:00]])</f>
        <v>106.83333333333333</v>
      </c>
      <c r="AA4" t="str" cm="1">
        <f t="array" ref="AA4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5" spans="1:27" x14ac:dyDescent="0.3">
      <c r="A5" s="1">
        <v>45692</v>
      </c>
      <c r="B5">
        <v>112</v>
      </c>
      <c r="C5">
        <v>115</v>
      </c>
      <c r="D5">
        <v>117</v>
      </c>
      <c r="E5">
        <v>120</v>
      </c>
      <c r="F5">
        <v>124</v>
      </c>
      <c r="G5">
        <v>128</v>
      </c>
      <c r="H5">
        <v>133</v>
      </c>
      <c r="I5">
        <v>137</v>
      </c>
      <c r="J5">
        <v>141</v>
      </c>
      <c r="K5">
        <v>144</v>
      </c>
      <c r="L5">
        <v>149</v>
      </c>
      <c r="M5">
        <v>154</v>
      </c>
      <c r="N5">
        <v>154</v>
      </c>
      <c r="O5">
        <v>158</v>
      </c>
      <c r="P5">
        <v>164</v>
      </c>
      <c r="Q5">
        <v>167</v>
      </c>
      <c r="R5">
        <v>167</v>
      </c>
      <c r="S5">
        <v>166</v>
      </c>
      <c r="T5">
        <v>165</v>
      </c>
      <c r="U5">
        <v>164</v>
      </c>
      <c r="V5">
        <v>162</v>
      </c>
      <c r="W5">
        <v>161</v>
      </c>
      <c r="X5">
        <v>160</v>
      </c>
      <c r="Y5">
        <v>159</v>
      </c>
      <c r="Z5" s="2">
        <f>AVERAGE(Sheet1__2[[#This Row],[00:00:00]:[23:00:00]])</f>
        <v>146.70833333333334</v>
      </c>
      <c r="AA5" t="str" cm="1">
        <f t="array" ref="AA5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6" spans="1:27" x14ac:dyDescent="0.3">
      <c r="A6" s="1">
        <v>45693</v>
      </c>
      <c r="B6">
        <v>158</v>
      </c>
      <c r="C6">
        <v>157</v>
      </c>
      <c r="D6">
        <v>155</v>
      </c>
      <c r="E6">
        <v>151</v>
      </c>
      <c r="F6">
        <v>147</v>
      </c>
      <c r="G6">
        <v>142</v>
      </c>
      <c r="H6">
        <v>137</v>
      </c>
      <c r="I6">
        <v>136</v>
      </c>
      <c r="J6">
        <v>130</v>
      </c>
      <c r="K6">
        <v>128</v>
      </c>
      <c r="L6">
        <v>125</v>
      </c>
      <c r="M6">
        <v>122</v>
      </c>
      <c r="N6">
        <v>118</v>
      </c>
      <c r="O6">
        <v>116</v>
      </c>
      <c r="P6">
        <v>114</v>
      </c>
      <c r="Q6">
        <v>114</v>
      </c>
      <c r="R6">
        <v>114</v>
      </c>
      <c r="S6">
        <v>116</v>
      </c>
      <c r="T6">
        <v>116</v>
      </c>
      <c r="U6">
        <v>118</v>
      </c>
      <c r="V6">
        <v>118</v>
      </c>
      <c r="W6">
        <v>121</v>
      </c>
      <c r="X6">
        <v>121</v>
      </c>
      <c r="Y6">
        <v>121</v>
      </c>
      <c r="Z6" s="2">
        <f>AVERAGE(Sheet1__2[[#This Row],[00:00:00]:[23:00:00]])</f>
        <v>128.95833333333334</v>
      </c>
      <c r="AA6" t="str" cm="1">
        <f t="array" ref="AA6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7" spans="1:27" x14ac:dyDescent="0.3">
      <c r="A7" s="1">
        <v>45694</v>
      </c>
      <c r="B7">
        <v>119</v>
      </c>
      <c r="C7">
        <v>116</v>
      </c>
      <c r="D7">
        <v>114</v>
      </c>
      <c r="E7">
        <v>113</v>
      </c>
      <c r="F7">
        <v>112</v>
      </c>
      <c r="G7">
        <v>113</v>
      </c>
      <c r="H7">
        <v>114</v>
      </c>
      <c r="I7">
        <v>115</v>
      </c>
      <c r="J7">
        <v>118</v>
      </c>
      <c r="K7">
        <v>120</v>
      </c>
      <c r="L7">
        <v>121</v>
      </c>
      <c r="M7">
        <v>122</v>
      </c>
      <c r="N7">
        <v>124</v>
      </c>
      <c r="O7">
        <v>124</v>
      </c>
      <c r="P7">
        <v>125</v>
      </c>
      <c r="Q7">
        <v>124</v>
      </c>
      <c r="R7">
        <v>124</v>
      </c>
      <c r="S7">
        <v>124</v>
      </c>
      <c r="T7">
        <v>125</v>
      </c>
      <c r="U7">
        <v>125</v>
      </c>
      <c r="V7">
        <v>124</v>
      </c>
      <c r="W7">
        <v>122</v>
      </c>
      <c r="X7">
        <v>122</v>
      </c>
      <c r="Y7">
        <v>114</v>
      </c>
      <c r="Z7" s="2">
        <f>AVERAGE(Sheet1__2[[#This Row],[00:00:00]:[23:00:00]])</f>
        <v>119.75</v>
      </c>
      <c r="AA7" t="str" cm="1">
        <f t="array" ref="AA7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8" spans="1:27" x14ac:dyDescent="0.3">
      <c r="A8" s="1">
        <v>45695</v>
      </c>
      <c r="B8">
        <v>113</v>
      </c>
      <c r="C8">
        <v>113</v>
      </c>
      <c r="D8">
        <v>111</v>
      </c>
      <c r="E8">
        <v>110</v>
      </c>
      <c r="F8">
        <v>108</v>
      </c>
      <c r="G8">
        <v>106</v>
      </c>
      <c r="H8">
        <v>104</v>
      </c>
      <c r="I8">
        <v>101</v>
      </c>
      <c r="J8">
        <v>98</v>
      </c>
      <c r="K8">
        <v>96</v>
      </c>
      <c r="L8">
        <v>95</v>
      </c>
      <c r="M8">
        <v>94</v>
      </c>
      <c r="N8">
        <v>93</v>
      </c>
      <c r="O8">
        <v>93</v>
      </c>
      <c r="P8">
        <v>92</v>
      </c>
      <c r="Q8">
        <v>92</v>
      </c>
      <c r="R8">
        <v>91</v>
      </c>
      <c r="S8">
        <v>92</v>
      </c>
      <c r="T8">
        <v>92</v>
      </c>
      <c r="U8">
        <v>92</v>
      </c>
      <c r="V8">
        <v>93</v>
      </c>
      <c r="W8">
        <v>94</v>
      </c>
      <c r="X8">
        <v>97</v>
      </c>
      <c r="Y8">
        <v>100</v>
      </c>
      <c r="Z8" s="2">
        <f>AVERAGE(Sheet1__2[[#This Row],[00:00:00]:[23:00:00]])</f>
        <v>98.75</v>
      </c>
      <c r="AA8" t="str" cm="1">
        <f t="array" ref="AA8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9" spans="1:27" x14ac:dyDescent="0.3">
      <c r="A9" s="1">
        <v>45696</v>
      </c>
      <c r="B9">
        <v>102</v>
      </c>
      <c r="C9">
        <v>102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  <c r="K9">
        <v>111</v>
      </c>
      <c r="L9">
        <v>111</v>
      </c>
      <c r="M9">
        <v>111</v>
      </c>
      <c r="N9">
        <v>111</v>
      </c>
      <c r="O9">
        <v>111</v>
      </c>
      <c r="P9">
        <v>112</v>
      </c>
      <c r="Q9">
        <v>112</v>
      </c>
      <c r="R9">
        <v>112</v>
      </c>
      <c r="S9">
        <v>111</v>
      </c>
      <c r="T9">
        <v>111</v>
      </c>
      <c r="U9">
        <v>111</v>
      </c>
      <c r="V9">
        <v>112</v>
      </c>
      <c r="W9">
        <v>112</v>
      </c>
      <c r="X9">
        <v>122</v>
      </c>
      <c r="Y9">
        <v>115</v>
      </c>
      <c r="Z9" s="2">
        <f>AVERAGE(Sheet1__2[[#This Row],[00:00:00]:[23:00:00]])</f>
        <v>109.91666666666667</v>
      </c>
      <c r="AA9" t="str" cm="1">
        <f t="array" ref="AA9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0" spans="1:27" x14ac:dyDescent="0.3">
      <c r="A10" s="1">
        <v>45697</v>
      </c>
      <c r="B10">
        <v>116</v>
      </c>
      <c r="C10">
        <v>120</v>
      </c>
      <c r="D10">
        <v>121</v>
      </c>
      <c r="E10">
        <v>123</v>
      </c>
      <c r="F10">
        <v>124</v>
      </c>
      <c r="G10">
        <v>124</v>
      </c>
      <c r="H10">
        <v>124</v>
      </c>
      <c r="I10">
        <v>123</v>
      </c>
      <c r="J10">
        <v>123</v>
      </c>
      <c r="K10">
        <v>122</v>
      </c>
      <c r="L10">
        <v>121</v>
      </c>
      <c r="M10">
        <v>121</v>
      </c>
      <c r="N10">
        <v>120</v>
      </c>
      <c r="O10">
        <v>121</v>
      </c>
      <c r="P10">
        <v>121</v>
      </c>
      <c r="Q10">
        <v>128</v>
      </c>
      <c r="R10">
        <v>131</v>
      </c>
      <c r="S10">
        <v>132</v>
      </c>
      <c r="T10">
        <v>123</v>
      </c>
      <c r="U10">
        <v>123</v>
      </c>
      <c r="V10">
        <v>124</v>
      </c>
      <c r="W10">
        <v>125</v>
      </c>
      <c r="X10">
        <v>125</v>
      </c>
      <c r="Y10">
        <v>132</v>
      </c>
      <c r="Z10" s="2">
        <f>AVERAGE(Sheet1__2[[#This Row],[00:00:00]:[23:00:00]])</f>
        <v>123.625</v>
      </c>
      <c r="AA10" t="str" cm="1">
        <f t="array" ref="AA10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1" spans="1:27" x14ac:dyDescent="0.3">
      <c r="A11" s="1">
        <v>45698</v>
      </c>
      <c r="B11">
        <v>132</v>
      </c>
      <c r="C11">
        <v>126</v>
      </c>
      <c r="D11">
        <v>129</v>
      </c>
      <c r="E11">
        <v>132</v>
      </c>
      <c r="F11">
        <v>136</v>
      </c>
      <c r="G11">
        <v>140</v>
      </c>
      <c r="H11">
        <v>144</v>
      </c>
      <c r="I11">
        <v>149</v>
      </c>
      <c r="J11">
        <v>154</v>
      </c>
      <c r="K11">
        <v>158</v>
      </c>
      <c r="L11">
        <v>164</v>
      </c>
      <c r="M11">
        <v>169</v>
      </c>
      <c r="N11">
        <v>175</v>
      </c>
      <c r="O11">
        <v>180</v>
      </c>
      <c r="P11">
        <v>185</v>
      </c>
      <c r="Q11">
        <v>188</v>
      </c>
      <c r="R11">
        <v>189</v>
      </c>
      <c r="S11">
        <v>190</v>
      </c>
      <c r="T11">
        <v>190</v>
      </c>
      <c r="U11">
        <v>193</v>
      </c>
      <c r="V11">
        <v>194</v>
      </c>
      <c r="W11">
        <v>196</v>
      </c>
      <c r="X11">
        <v>196</v>
      </c>
      <c r="Y11">
        <v>196</v>
      </c>
      <c r="Z11" s="2">
        <f>AVERAGE(Sheet1__2[[#This Row],[00:00:00]:[23:00:00]])</f>
        <v>166.875</v>
      </c>
      <c r="AA11" t="str" cm="1">
        <f t="array" ref="AA11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VERY BAD</v>
      </c>
    </row>
    <row r="12" spans="1:27" x14ac:dyDescent="0.3">
      <c r="A12" s="1">
        <v>45699</v>
      </c>
      <c r="B12">
        <v>194</v>
      </c>
      <c r="C12">
        <v>193</v>
      </c>
      <c r="D12">
        <v>191</v>
      </c>
      <c r="E12">
        <v>189</v>
      </c>
      <c r="F12">
        <v>186</v>
      </c>
      <c r="G12">
        <v>184</v>
      </c>
      <c r="H12">
        <v>182</v>
      </c>
      <c r="I12">
        <v>180</v>
      </c>
      <c r="J12">
        <v>178</v>
      </c>
      <c r="K12">
        <v>176</v>
      </c>
      <c r="L12">
        <v>173</v>
      </c>
      <c r="M12">
        <v>170</v>
      </c>
      <c r="N12">
        <v>170</v>
      </c>
      <c r="O12">
        <v>169</v>
      </c>
      <c r="P12">
        <v>170</v>
      </c>
      <c r="Q12">
        <v>170</v>
      </c>
      <c r="R12">
        <v>167</v>
      </c>
      <c r="S12">
        <v>166</v>
      </c>
      <c r="T12">
        <v>166</v>
      </c>
      <c r="U12">
        <v>166</v>
      </c>
      <c r="V12">
        <v>164</v>
      </c>
      <c r="W12">
        <v>161</v>
      </c>
      <c r="X12">
        <v>158</v>
      </c>
      <c r="Y12">
        <v>158</v>
      </c>
      <c r="Z12" s="2">
        <f>AVERAGE(Sheet1__2[[#This Row],[00:00:00]:[23:00:00]])</f>
        <v>174.20833333333334</v>
      </c>
      <c r="AA12" t="str" cm="1">
        <f t="array" ref="AA12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VERY BAD</v>
      </c>
    </row>
    <row r="13" spans="1:27" x14ac:dyDescent="0.3">
      <c r="A13" s="1">
        <v>45700</v>
      </c>
      <c r="B13">
        <v>158</v>
      </c>
      <c r="C13">
        <v>156</v>
      </c>
      <c r="D13">
        <v>154</v>
      </c>
      <c r="E13">
        <v>152</v>
      </c>
      <c r="F13">
        <v>150</v>
      </c>
      <c r="G13">
        <v>149</v>
      </c>
      <c r="H13">
        <v>148</v>
      </c>
      <c r="I13">
        <v>147</v>
      </c>
      <c r="J13">
        <v>146</v>
      </c>
      <c r="K13">
        <v>144</v>
      </c>
      <c r="L13">
        <v>143</v>
      </c>
      <c r="M13">
        <v>142</v>
      </c>
      <c r="N13">
        <v>139</v>
      </c>
      <c r="O13">
        <v>134</v>
      </c>
      <c r="P13">
        <v>126</v>
      </c>
      <c r="Q13">
        <v>123</v>
      </c>
      <c r="R13">
        <v>123</v>
      </c>
      <c r="S13">
        <v>118</v>
      </c>
      <c r="T13">
        <v>118</v>
      </c>
      <c r="U13">
        <v>112</v>
      </c>
      <c r="V13">
        <v>110</v>
      </c>
      <c r="W13">
        <v>106</v>
      </c>
      <c r="X13">
        <v>106</v>
      </c>
      <c r="Y13">
        <v>98</v>
      </c>
      <c r="Z13" s="2">
        <f>AVERAGE(Sheet1__2[[#This Row],[00:00:00]:[23:00:00]])</f>
        <v>133.41666666666666</v>
      </c>
      <c r="AA13" t="str" cm="1">
        <f t="array" ref="AA13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4" spans="1:27" x14ac:dyDescent="0.3">
      <c r="A14" s="1">
        <v>45701</v>
      </c>
      <c r="B14">
        <v>94</v>
      </c>
      <c r="C14">
        <v>90</v>
      </c>
      <c r="D14">
        <v>88</v>
      </c>
      <c r="E14">
        <v>86</v>
      </c>
      <c r="F14">
        <v>83</v>
      </c>
      <c r="G14">
        <v>81</v>
      </c>
      <c r="H14">
        <v>79</v>
      </c>
      <c r="I14">
        <v>78</v>
      </c>
      <c r="J14">
        <v>77</v>
      </c>
      <c r="K14">
        <v>77</v>
      </c>
      <c r="L14">
        <v>76</v>
      </c>
      <c r="M14">
        <v>76</v>
      </c>
      <c r="N14">
        <v>77</v>
      </c>
      <c r="O14">
        <v>78</v>
      </c>
      <c r="P14">
        <v>79</v>
      </c>
      <c r="Q14">
        <v>80</v>
      </c>
      <c r="R14">
        <v>81</v>
      </c>
      <c r="S14">
        <v>82</v>
      </c>
      <c r="T14">
        <v>82</v>
      </c>
      <c r="U14">
        <v>82</v>
      </c>
      <c r="V14">
        <v>82</v>
      </c>
      <c r="W14">
        <v>84</v>
      </c>
      <c r="X14">
        <v>86</v>
      </c>
      <c r="Y14">
        <v>88</v>
      </c>
      <c r="Z14" s="2">
        <f>AVERAGE(Sheet1__2[[#This Row],[00:00:00]:[23:00:00]])</f>
        <v>81.916666666666671</v>
      </c>
      <c r="AA14" t="str" cm="1">
        <f t="array" ref="AA14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15" spans="1:27" x14ac:dyDescent="0.3">
      <c r="A15" s="1">
        <v>45702</v>
      </c>
      <c r="B15">
        <v>91</v>
      </c>
      <c r="C15">
        <v>93</v>
      </c>
      <c r="D15">
        <v>94</v>
      </c>
      <c r="E15">
        <v>95</v>
      </c>
      <c r="F15">
        <v>97</v>
      </c>
      <c r="G15">
        <v>98</v>
      </c>
      <c r="H15">
        <v>98</v>
      </c>
      <c r="I15">
        <v>99</v>
      </c>
      <c r="J15">
        <v>99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99</v>
      </c>
      <c r="U15">
        <v>99</v>
      </c>
      <c r="V15">
        <v>100</v>
      </c>
      <c r="W15">
        <v>101</v>
      </c>
      <c r="X15">
        <v>112</v>
      </c>
      <c r="Y15">
        <v>102</v>
      </c>
      <c r="Z15" s="2">
        <f>AVERAGE(Sheet1__2[[#This Row],[00:00:00]:[23:00:00]])</f>
        <v>99.041666666666671</v>
      </c>
      <c r="AA15" t="str" cm="1">
        <f t="array" ref="AA15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16" spans="1:27" x14ac:dyDescent="0.3">
      <c r="A16" s="1">
        <v>45703</v>
      </c>
      <c r="B16">
        <v>104</v>
      </c>
      <c r="C16">
        <v>105</v>
      </c>
      <c r="D16">
        <v>108</v>
      </c>
      <c r="E16">
        <v>109</v>
      </c>
      <c r="F16">
        <v>110</v>
      </c>
      <c r="G16">
        <v>112</v>
      </c>
      <c r="H16">
        <v>112</v>
      </c>
      <c r="I16">
        <v>113</v>
      </c>
      <c r="J16">
        <v>114</v>
      </c>
      <c r="K16">
        <v>114</v>
      </c>
      <c r="L16">
        <v>115</v>
      </c>
      <c r="M16">
        <v>115</v>
      </c>
      <c r="N16">
        <v>116</v>
      </c>
      <c r="O16">
        <v>116</v>
      </c>
      <c r="P16">
        <v>116</v>
      </c>
      <c r="Q16">
        <v>117</v>
      </c>
      <c r="R16">
        <v>117</v>
      </c>
      <c r="S16">
        <v>118</v>
      </c>
      <c r="T16">
        <v>120</v>
      </c>
      <c r="U16">
        <v>120</v>
      </c>
      <c r="V16">
        <v>120</v>
      </c>
      <c r="W16">
        <v>124</v>
      </c>
      <c r="X16">
        <v>125</v>
      </c>
      <c r="Y16">
        <v>125</v>
      </c>
      <c r="Z16" s="2">
        <f>AVERAGE(Sheet1__2[[#This Row],[00:00:00]:[23:00:00]])</f>
        <v>115.20833333333333</v>
      </c>
      <c r="AA16" t="str" cm="1">
        <f t="array" ref="AA16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7" spans="1:27" x14ac:dyDescent="0.3">
      <c r="A17" s="1">
        <v>45704</v>
      </c>
      <c r="B17">
        <v>125</v>
      </c>
      <c r="C17">
        <v>123</v>
      </c>
      <c r="D17">
        <v>122</v>
      </c>
      <c r="E17">
        <v>122</v>
      </c>
      <c r="F17">
        <v>122</v>
      </c>
      <c r="G17">
        <v>123</v>
      </c>
      <c r="H17">
        <v>124</v>
      </c>
      <c r="I17">
        <v>125</v>
      </c>
      <c r="J17">
        <v>126</v>
      </c>
      <c r="K17">
        <v>127</v>
      </c>
      <c r="L17">
        <v>128</v>
      </c>
      <c r="M17">
        <v>128</v>
      </c>
      <c r="N17">
        <v>128</v>
      </c>
      <c r="O17">
        <v>127</v>
      </c>
      <c r="P17">
        <v>126</v>
      </c>
      <c r="Q17">
        <v>125</v>
      </c>
      <c r="R17">
        <v>124</v>
      </c>
      <c r="S17">
        <v>124</v>
      </c>
      <c r="T17">
        <v>124</v>
      </c>
      <c r="U17">
        <v>123</v>
      </c>
      <c r="V17">
        <v>122</v>
      </c>
      <c r="W17">
        <v>124</v>
      </c>
      <c r="X17">
        <v>119</v>
      </c>
      <c r="Y17">
        <v>116</v>
      </c>
      <c r="Z17" s="2">
        <f>AVERAGE(Sheet1__2[[#This Row],[00:00:00]:[23:00:00]])</f>
        <v>124.04166666666667</v>
      </c>
      <c r="AA17" t="str" cm="1">
        <f t="array" ref="AA17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8" spans="1:27" x14ac:dyDescent="0.3">
      <c r="A18" s="1">
        <v>45705</v>
      </c>
      <c r="B18">
        <v>114</v>
      </c>
      <c r="C18">
        <v>112</v>
      </c>
      <c r="D18">
        <v>111</v>
      </c>
      <c r="E18">
        <v>109</v>
      </c>
      <c r="F18">
        <v>108</v>
      </c>
      <c r="G18">
        <v>106</v>
      </c>
      <c r="H18">
        <v>106</v>
      </c>
      <c r="I18">
        <v>105</v>
      </c>
      <c r="J18">
        <v>104</v>
      </c>
      <c r="K18">
        <v>104</v>
      </c>
      <c r="L18">
        <v>104</v>
      </c>
      <c r="M18">
        <v>104</v>
      </c>
      <c r="N18">
        <v>105</v>
      </c>
      <c r="O18">
        <v>106</v>
      </c>
      <c r="P18">
        <v>107</v>
      </c>
      <c r="Q18">
        <v>107</v>
      </c>
      <c r="R18">
        <v>122</v>
      </c>
      <c r="S18">
        <v>123</v>
      </c>
      <c r="T18">
        <v>113</v>
      </c>
      <c r="U18">
        <v>113</v>
      </c>
      <c r="V18">
        <v>114</v>
      </c>
      <c r="W18">
        <v>115</v>
      </c>
      <c r="X18">
        <v>115</v>
      </c>
      <c r="Y18">
        <v>115</v>
      </c>
      <c r="Z18" s="2">
        <f>AVERAGE(Sheet1__2[[#This Row],[00:00:00]:[23:00:00]])</f>
        <v>110.08333333333333</v>
      </c>
      <c r="AA18" t="str" cm="1">
        <f t="array" ref="AA18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9" spans="1:27" x14ac:dyDescent="0.3">
      <c r="A19" s="1">
        <v>45706</v>
      </c>
      <c r="B19">
        <v>119</v>
      </c>
      <c r="C19">
        <v>121</v>
      </c>
      <c r="D19">
        <v>122</v>
      </c>
      <c r="E19">
        <v>124</v>
      </c>
      <c r="F19">
        <v>125</v>
      </c>
      <c r="G19">
        <v>126</v>
      </c>
      <c r="H19">
        <v>127</v>
      </c>
      <c r="I19">
        <v>127</v>
      </c>
      <c r="J19">
        <v>126</v>
      </c>
      <c r="K19">
        <v>126</v>
      </c>
      <c r="L19">
        <v>125</v>
      </c>
      <c r="M19">
        <v>124</v>
      </c>
      <c r="N19">
        <v>124</v>
      </c>
      <c r="O19">
        <v>123</v>
      </c>
      <c r="P19">
        <v>123</v>
      </c>
      <c r="Q19">
        <v>124</v>
      </c>
      <c r="R19">
        <v>124</v>
      </c>
      <c r="S19">
        <v>124</v>
      </c>
      <c r="T19">
        <v>123</v>
      </c>
      <c r="U19">
        <v>122</v>
      </c>
      <c r="V19">
        <v>122</v>
      </c>
      <c r="W19">
        <v>125</v>
      </c>
      <c r="X19">
        <v>128</v>
      </c>
      <c r="Y19">
        <v>126</v>
      </c>
      <c r="Z19" s="2">
        <f>AVERAGE(Sheet1__2[[#This Row],[00:00:00]:[23:00:00]])</f>
        <v>124.16666666666667</v>
      </c>
      <c r="AA19" t="str" cm="1">
        <f t="array" ref="AA19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20" spans="1:27" x14ac:dyDescent="0.3">
      <c r="A20" s="1">
        <v>45707</v>
      </c>
      <c r="B20">
        <v>128</v>
      </c>
      <c r="C20">
        <v>130</v>
      </c>
      <c r="D20">
        <v>130</v>
      </c>
      <c r="E20">
        <v>130</v>
      </c>
      <c r="F20">
        <v>130</v>
      </c>
      <c r="G20">
        <v>130</v>
      </c>
      <c r="H20">
        <v>129</v>
      </c>
      <c r="I20">
        <v>129</v>
      </c>
      <c r="J20">
        <v>129</v>
      </c>
      <c r="K20">
        <v>129</v>
      </c>
      <c r="L20">
        <v>129</v>
      </c>
      <c r="M20">
        <v>129</v>
      </c>
      <c r="N20">
        <v>130</v>
      </c>
      <c r="O20">
        <v>130</v>
      </c>
      <c r="P20">
        <v>130</v>
      </c>
      <c r="Q20">
        <v>128</v>
      </c>
      <c r="R20">
        <v>128</v>
      </c>
      <c r="S20">
        <v>129</v>
      </c>
      <c r="T20">
        <v>130</v>
      </c>
      <c r="U20">
        <v>130</v>
      </c>
      <c r="V20">
        <v>130</v>
      </c>
      <c r="W20">
        <v>134</v>
      </c>
      <c r="X20">
        <v>137</v>
      </c>
      <c r="Y20">
        <v>138</v>
      </c>
      <c r="Z20" s="2">
        <f>AVERAGE(Sheet1__2[[#This Row],[00:00:00]:[23:00:00]])</f>
        <v>130.25</v>
      </c>
      <c r="AA20" t="str" cm="1">
        <f t="array" ref="AA20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21" spans="1:27" x14ac:dyDescent="0.3">
      <c r="A21" s="1">
        <v>45708</v>
      </c>
      <c r="B21">
        <v>132</v>
      </c>
      <c r="C21">
        <v>134</v>
      </c>
      <c r="D21">
        <v>134</v>
      </c>
      <c r="E21">
        <v>133</v>
      </c>
      <c r="F21">
        <v>132</v>
      </c>
      <c r="G21">
        <v>132</v>
      </c>
      <c r="H21">
        <v>131</v>
      </c>
      <c r="I21">
        <v>130</v>
      </c>
      <c r="J21">
        <v>130</v>
      </c>
      <c r="K21">
        <v>131</v>
      </c>
      <c r="L21">
        <v>132</v>
      </c>
      <c r="M21">
        <v>132</v>
      </c>
      <c r="N21">
        <v>132</v>
      </c>
      <c r="O21">
        <v>132</v>
      </c>
      <c r="P21">
        <v>131</v>
      </c>
      <c r="Q21">
        <v>129</v>
      </c>
      <c r="R21">
        <v>127</v>
      </c>
      <c r="S21">
        <v>125</v>
      </c>
      <c r="T21">
        <v>123</v>
      </c>
      <c r="U21">
        <v>120</v>
      </c>
      <c r="V21">
        <v>116</v>
      </c>
      <c r="W21">
        <v>110</v>
      </c>
      <c r="X21">
        <v>104</v>
      </c>
      <c r="Y21">
        <v>97</v>
      </c>
      <c r="Z21" s="2">
        <f>AVERAGE(Sheet1__2[[#This Row],[00:00:00]:[23:00:00]])</f>
        <v>126.20833333333333</v>
      </c>
      <c r="AA21" t="str" cm="1">
        <f t="array" ref="AA21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22" spans="1:27" x14ac:dyDescent="0.3">
      <c r="A22" s="1">
        <v>45709</v>
      </c>
      <c r="B22">
        <v>92</v>
      </c>
      <c r="C22">
        <v>89</v>
      </c>
      <c r="D22">
        <v>87</v>
      </c>
      <c r="E22">
        <v>86</v>
      </c>
      <c r="F22">
        <v>84</v>
      </c>
      <c r="G22">
        <v>84</v>
      </c>
      <c r="H22">
        <v>84</v>
      </c>
      <c r="I22">
        <v>83</v>
      </c>
      <c r="J22">
        <v>82</v>
      </c>
      <c r="K22">
        <v>82</v>
      </c>
      <c r="L22">
        <v>81</v>
      </c>
      <c r="M22">
        <v>81</v>
      </c>
      <c r="N22">
        <v>80</v>
      </c>
      <c r="O22">
        <v>80</v>
      </c>
      <c r="P22">
        <v>81</v>
      </c>
      <c r="Q22">
        <v>81</v>
      </c>
      <c r="R22">
        <v>81</v>
      </c>
      <c r="S22">
        <v>81</v>
      </c>
      <c r="T22">
        <v>81</v>
      </c>
      <c r="U22">
        <v>82</v>
      </c>
      <c r="V22">
        <v>81</v>
      </c>
      <c r="W22">
        <v>80</v>
      </c>
      <c r="X22">
        <v>81</v>
      </c>
      <c r="Y22">
        <v>82</v>
      </c>
      <c r="Z22" s="2">
        <f>AVERAGE(Sheet1__2[[#This Row],[00:00:00]:[23:00:00]])</f>
        <v>82.75</v>
      </c>
      <c r="AA22" t="str" cm="1">
        <f t="array" ref="AA22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23" spans="1:27" x14ac:dyDescent="0.3">
      <c r="A23" s="1">
        <v>45710</v>
      </c>
      <c r="B23">
        <v>81</v>
      </c>
      <c r="C23">
        <v>81</v>
      </c>
      <c r="D23">
        <v>81</v>
      </c>
      <c r="E23">
        <v>80</v>
      </c>
      <c r="F23">
        <v>80</v>
      </c>
      <c r="G23">
        <v>79</v>
      </c>
      <c r="H23">
        <v>79</v>
      </c>
      <c r="I23">
        <v>78</v>
      </c>
      <c r="J23">
        <v>78</v>
      </c>
      <c r="K23">
        <v>78</v>
      </c>
      <c r="L23">
        <v>78</v>
      </c>
      <c r="M23">
        <v>78</v>
      </c>
      <c r="N23">
        <v>77</v>
      </c>
      <c r="O23">
        <v>77</v>
      </c>
      <c r="P23">
        <v>78</v>
      </c>
      <c r="Q23">
        <v>79</v>
      </c>
      <c r="R23">
        <v>80</v>
      </c>
      <c r="S23">
        <v>81</v>
      </c>
      <c r="T23">
        <v>83</v>
      </c>
      <c r="U23">
        <v>84</v>
      </c>
      <c r="V23">
        <v>85</v>
      </c>
      <c r="W23">
        <v>87</v>
      </c>
      <c r="X23">
        <v>88</v>
      </c>
      <c r="Y23">
        <v>89</v>
      </c>
      <c r="Z23" s="2">
        <f>AVERAGE(Sheet1__2[[#This Row],[00:00:00]:[23:00:00]])</f>
        <v>80.791666666666671</v>
      </c>
      <c r="AA23" t="str" cm="1">
        <f t="array" ref="AA23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24" spans="1:27" x14ac:dyDescent="0.3">
      <c r="A24" s="1">
        <v>45711</v>
      </c>
      <c r="B24">
        <v>90</v>
      </c>
      <c r="C24">
        <v>91</v>
      </c>
      <c r="D24">
        <v>92</v>
      </c>
      <c r="E24">
        <v>94</v>
      </c>
      <c r="F24">
        <v>95</v>
      </c>
      <c r="G24">
        <v>96</v>
      </c>
      <c r="H24">
        <v>97</v>
      </c>
      <c r="I24">
        <v>98</v>
      </c>
      <c r="J24">
        <v>98</v>
      </c>
      <c r="K24">
        <v>98</v>
      </c>
      <c r="L24">
        <v>98</v>
      </c>
      <c r="M24">
        <v>98</v>
      </c>
      <c r="N24">
        <v>97</v>
      </c>
      <c r="O24">
        <v>96</v>
      </c>
      <c r="P24">
        <v>96</v>
      </c>
      <c r="Q24">
        <v>95</v>
      </c>
      <c r="R24">
        <v>94</v>
      </c>
      <c r="S24">
        <v>94</v>
      </c>
      <c r="T24">
        <v>93</v>
      </c>
      <c r="U24">
        <v>92</v>
      </c>
      <c r="V24">
        <v>91</v>
      </c>
      <c r="W24">
        <v>90</v>
      </c>
      <c r="X24">
        <v>89</v>
      </c>
      <c r="Y24">
        <v>88</v>
      </c>
      <c r="Z24" s="2">
        <f>AVERAGE(Sheet1__2[[#This Row],[00:00:00]:[23:00:00]])</f>
        <v>94.166666666666671</v>
      </c>
      <c r="AA24" t="str" cm="1">
        <f t="array" ref="AA24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25" spans="1:27" x14ac:dyDescent="0.3">
      <c r="A25" s="1">
        <v>45712</v>
      </c>
      <c r="B25">
        <v>88</v>
      </c>
      <c r="C25">
        <v>88</v>
      </c>
      <c r="D25">
        <v>88</v>
      </c>
      <c r="E25">
        <v>88</v>
      </c>
      <c r="F25">
        <v>88</v>
      </c>
      <c r="G25">
        <v>89</v>
      </c>
      <c r="H25">
        <v>89</v>
      </c>
      <c r="I25">
        <v>89</v>
      </c>
      <c r="J25">
        <v>90</v>
      </c>
      <c r="K25">
        <v>90</v>
      </c>
      <c r="L25">
        <v>90</v>
      </c>
      <c r="M25">
        <v>90</v>
      </c>
      <c r="N25">
        <v>91</v>
      </c>
      <c r="O25">
        <v>91</v>
      </c>
      <c r="P25">
        <v>91</v>
      </c>
      <c r="Q25">
        <v>92</v>
      </c>
      <c r="R25">
        <v>92</v>
      </c>
      <c r="S25">
        <v>93</v>
      </c>
      <c r="T25">
        <v>93</v>
      </c>
      <c r="U25">
        <v>96</v>
      </c>
      <c r="V25">
        <v>97</v>
      </c>
      <c r="W25">
        <v>95</v>
      </c>
      <c r="X25">
        <v>96</v>
      </c>
      <c r="Y25">
        <v>97</v>
      </c>
      <c r="Z25" s="2">
        <f>AVERAGE(Sheet1__2[[#This Row],[00:00:00]:[23:00:00]])</f>
        <v>91.291666666666671</v>
      </c>
      <c r="AA25" t="str" cm="1">
        <f t="array" ref="AA25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26" spans="1:27" x14ac:dyDescent="0.3">
      <c r="A26" s="1">
        <v>45713</v>
      </c>
      <c r="B26">
        <v>98</v>
      </c>
      <c r="C26">
        <v>99</v>
      </c>
      <c r="D26">
        <v>99</v>
      </c>
      <c r="E26">
        <v>99</v>
      </c>
      <c r="F26">
        <v>99</v>
      </c>
      <c r="G26">
        <v>99</v>
      </c>
      <c r="H26">
        <v>99</v>
      </c>
      <c r="I26">
        <v>99</v>
      </c>
      <c r="J26">
        <v>99</v>
      </c>
      <c r="K26">
        <v>98</v>
      </c>
      <c r="L26">
        <v>98</v>
      </c>
      <c r="M26">
        <v>98</v>
      </c>
      <c r="N26">
        <v>98</v>
      </c>
      <c r="O26">
        <v>98</v>
      </c>
      <c r="P26">
        <v>98</v>
      </c>
      <c r="Q26">
        <v>98</v>
      </c>
      <c r="R26">
        <v>98</v>
      </c>
      <c r="S26">
        <v>98</v>
      </c>
      <c r="T26">
        <v>98</v>
      </c>
      <c r="U26">
        <v>98</v>
      </c>
      <c r="V26">
        <v>99</v>
      </c>
      <c r="W26">
        <v>100</v>
      </c>
      <c r="X26">
        <v>101</v>
      </c>
      <c r="Y26">
        <v>104</v>
      </c>
      <c r="Z26" s="2">
        <f>AVERAGE(Sheet1__2[[#This Row],[00:00:00]:[23:00:00]])</f>
        <v>98.833333333333329</v>
      </c>
      <c r="AA26" t="str" cm="1">
        <f t="array" ref="AA26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27" spans="1:27" x14ac:dyDescent="0.3">
      <c r="A27" s="1">
        <v>45714</v>
      </c>
      <c r="B27">
        <v>106</v>
      </c>
      <c r="C27">
        <v>109</v>
      </c>
      <c r="D27">
        <v>112</v>
      </c>
      <c r="E27">
        <v>114</v>
      </c>
      <c r="F27">
        <v>114</v>
      </c>
      <c r="G27">
        <v>115</v>
      </c>
      <c r="H27">
        <v>115</v>
      </c>
      <c r="I27">
        <v>114</v>
      </c>
      <c r="J27">
        <v>114</v>
      </c>
      <c r="K27">
        <v>113</v>
      </c>
      <c r="L27">
        <v>114</v>
      </c>
      <c r="M27">
        <v>113</v>
      </c>
      <c r="N27">
        <v>112</v>
      </c>
      <c r="O27">
        <v>112</v>
      </c>
      <c r="P27">
        <v>111</v>
      </c>
      <c r="Q27">
        <v>110</v>
      </c>
      <c r="R27">
        <v>109</v>
      </c>
      <c r="S27">
        <v>109</v>
      </c>
      <c r="T27">
        <v>108</v>
      </c>
      <c r="U27">
        <v>106</v>
      </c>
      <c r="V27">
        <v>104</v>
      </c>
      <c r="W27">
        <v>112</v>
      </c>
      <c r="X27">
        <v>112</v>
      </c>
      <c r="Y27">
        <v>113</v>
      </c>
      <c r="Z27" s="2">
        <f>AVERAGE(Sheet1__2[[#This Row],[00:00:00]:[23:00:00]])</f>
        <v>111.29166666666667</v>
      </c>
      <c r="AA27" t="str" cm="1">
        <f t="array" ref="AA27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28" spans="1:27" x14ac:dyDescent="0.3">
      <c r="A28" s="1">
        <v>45715</v>
      </c>
      <c r="B28">
        <v>98</v>
      </c>
      <c r="C28">
        <v>98</v>
      </c>
      <c r="D28">
        <v>96</v>
      </c>
      <c r="E28">
        <v>94</v>
      </c>
      <c r="F28">
        <v>92</v>
      </c>
      <c r="G28">
        <v>92</v>
      </c>
      <c r="H28">
        <v>92</v>
      </c>
      <c r="I28">
        <v>93</v>
      </c>
      <c r="J28">
        <v>93</v>
      </c>
      <c r="K28">
        <v>93</v>
      </c>
      <c r="L28">
        <v>94</v>
      </c>
      <c r="M28">
        <v>95</v>
      </c>
      <c r="N28">
        <v>96</v>
      </c>
      <c r="O28">
        <v>97</v>
      </c>
      <c r="P28">
        <v>98</v>
      </c>
      <c r="Q28">
        <v>99</v>
      </c>
      <c r="R28">
        <v>100</v>
      </c>
      <c r="S28">
        <v>101</v>
      </c>
      <c r="T28">
        <v>102</v>
      </c>
      <c r="U28">
        <v>102</v>
      </c>
      <c r="V28">
        <v>103</v>
      </c>
      <c r="W28">
        <v>104</v>
      </c>
      <c r="X28">
        <v>105</v>
      </c>
      <c r="Y28">
        <v>104</v>
      </c>
      <c r="Z28" s="2">
        <f>AVERAGE(Sheet1__2[[#This Row],[00:00:00]:[23:00:00]])</f>
        <v>97.541666666666671</v>
      </c>
      <c r="AA28" t="str" cm="1">
        <f t="array" ref="AA28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29" spans="1:27" x14ac:dyDescent="0.3">
      <c r="A29" s="1">
        <v>45716</v>
      </c>
      <c r="B29">
        <v>104</v>
      </c>
      <c r="C29">
        <v>103</v>
      </c>
      <c r="D29">
        <v>101</v>
      </c>
      <c r="E29">
        <v>101</v>
      </c>
      <c r="F29">
        <v>102</v>
      </c>
      <c r="G29">
        <v>102</v>
      </c>
      <c r="H29">
        <v>104</v>
      </c>
      <c r="I29">
        <v>105</v>
      </c>
      <c r="J29">
        <v>106</v>
      </c>
      <c r="K29">
        <v>108</v>
      </c>
      <c r="L29">
        <v>111</v>
      </c>
      <c r="M29">
        <v>115</v>
      </c>
      <c r="N29">
        <v>118</v>
      </c>
      <c r="O29">
        <v>120</v>
      </c>
      <c r="P29">
        <v>123</v>
      </c>
      <c r="Q29">
        <v>125</v>
      </c>
      <c r="R29">
        <v>126</v>
      </c>
      <c r="S29">
        <v>127</v>
      </c>
      <c r="T29">
        <v>128</v>
      </c>
      <c r="U29">
        <v>129</v>
      </c>
      <c r="V29">
        <v>130</v>
      </c>
      <c r="W29">
        <v>131</v>
      </c>
      <c r="X29">
        <v>132</v>
      </c>
      <c r="Y29">
        <v>134</v>
      </c>
      <c r="Z29" s="2">
        <f>AVERAGE(Sheet1__2[[#This Row],[00:00:00]:[23:00:00]])</f>
        <v>116.04166666666667</v>
      </c>
      <c r="AA29" t="str" cm="1">
        <f t="array" ref="AA29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30" spans="1:27" x14ac:dyDescent="0.3">
      <c r="Z30" s="2">
        <f>SUBTOTAL(101,Sheet1__2[AVERAGE AQI])</f>
        <v>115.95833333333333</v>
      </c>
      <c r="AA30" s="3"/>
    </row>
  </sheetData>
  <conditionalFormatting sqref="AA1:AA1048576">
    <cfRule type="containsText" dxfId="92" priority="3" operator="containsText" text="MODERATE">
      <formula>NOT(ISERROR(SEARCH("MODERATE",AA1)))</formula>
    </cfRule>
    <cfRule type="containsText" dxfId="93" priority="2" operator="containsText" text="BAD">
      <formula>NOT(ISERROR(SEARCH("BAD",AA1)))</formula>
    </cfRule>
    <cfRule type="containsText" dxfId="94" priority="1" operator="containsText" text="VERY BAD">
      <formula>NOT(ISERROR(SEARCH("VERY BAD",AA1)))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CFF08-B7A6-4155-80A5-D84F15DD5798}">
  <dimension ref="A1:AA33"/>
  <sheetViews>
    <sheetView workbookViewId="0">
      <selection activeCell="AB11" sqref="AB11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7.441406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45717</v>
      </c>
      <c r="B2">
        <v>134</v>
      </c>
      <c r="C2">
        <v>134</v>
      </c>
      <c r="D2">
        <v>137</v>
      </c>
      <c r="E2">
        <v>138</v>
      </c>
      <c r="F2">
        <v>140</v>
      </c>
      <c r="G2">
        <v>144</v>
      </c>
      <c r="H2">
        <v>147</v>
      </c>
      <c r="I2">
        <v>150</v>
      </c>
      <c r="J2">
        <v>152</v>
      </c>
      <c r="K2">
        <v>154</v>
      </c>
      <c r="L2">
        <v>156</v>
      </c>
      <c r="M2">
        <v>156</v>
      </c>
      <c r="N2">
        <v>157</v>
      </c>
      <c r="O2">
        <v>157</v>
      </c>
      <c r="P2">
        <v>158</v>
      </c>
      <c r="Q2">
        <v>158</v>
      </c>
      <c r="R2">
        <v>159</v>
      </c>
      <c r="S2">
        <v>160</v>
      </c>
      <c r="T2">
        <v>161</v>
      </c>
      <c r="U2">
        <v>162</v>
      </c>
      <c r="V2">
        <v>162</v>
      </c>
      <c r="W2">
        <v>163</v>
      </c>
      <c r="X2">
        <v>163</v>
      </c>
      <c r="Y2">
        <v>165</v>
      </c>
      <c r="Z2" s="2">
        <f>AVERAGE(Sheet1__3[[#This Row],[00:00:00]:[23:00:00]])</f>
        <v>152.79166666666666</v>
      </c>
      <c r="AA2" t="str" cm="1">
        <f t="array" ref="AA2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VERY BAD</v>
      </c>
    </row>
    <row r="3" spans="1:27" x14ac:dyDescent="0.3">
      <c r="A3" s="1">
        <v>45718</v>
      </c>
      <c r="B3">
        <v>168</v>
      </c>
      <c r="C3">
        <v>169</v>
      </c>
      <c r="D3">
        <v>169</v>
      </c>
      <c r="E3">
        <v>169</v>
      </c>
      <c r="F3">
        <v>168</v>
      </c>
      <c r="G3">
        <v>165</v>
      </c>
      <c r="H3">
        <v>162</v>
      </c>
      <c r="I3">
        <v>162</v>
      </c>
      <c r="J3">
        <v>156</v>
      </c>
      <c r="K3">
        <v>152</v>
      </c>
      <c r="L3">
        <v>148</v>
      </c>
      <c r="M3">
        <v>148</v>
      </c>
      <c r="N3">
        <v>147</v>
      </c>
      <c r="O3">
        <v>147</v>
      </c>
      <c r="P3">
        <v>146</v>
      </c>
      <c r="Q3">
        <v>145</v>
      </c>
      <c r="R3">
        <v>144</v>
      </c>
      <c r="S3">
        <v>144</v>
      </c>
      <c r="T3">
        <v>144</v>
      </c>
      <c r="U3">
        <v>142</v>
      </c>
      <c r="V3">
        <v>141</v>
      </c>
      <c r="W3">
        <v>139</v>
      </c>
      <c r="X3">
        <v>137</v>
      </c>
      <c r="Y3">
        <v>134</v>
      </c>
      <c r="Z3" s="2">
        <f>AVERAGE(Sheet1__3[[#This Row],[00:00:00]:[23:00:00]])</f>
        <v>151.91666666666666</v>
      </c>
      <c r="AA3" t="str" cm="1">
        <f t="array" ref="AA3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VERY BAD</v>
      </c>
    </row>
    <row r="4" spans="1:27" x14ac:dyDescent="0.3">
      <c r="A4" s="1">
        <v>45719</v>
      </c>
      <c r="B4">
        <v>134</v>
      </c>
      <c r="C4">
        <v>129</v>
      </c>
      <c r="D4">
        <v>128</v>
      </c>
      <c r="E4">
        <v>127</v>
      </c>
      <c r="F4">
        <v>124</v>
      </c>
      <c r="G4">
        <v>124</v>
      </c>
      <c r="H4">
        <v>122</v>
      </c>
      <c r="I4">
        <v>122</v>
      </c>
      <c r="J4">
        <v>121</v>
      </c>
      <c r="K4">
        <v>120</v>
      </c>
      <c r="L4">
        <v>121</v>
      </c>
      <c r="M4">
        <v>118</v>
      </c>
      <c r="N4">
        <v>118</v>
      </c>
      <c r="O4">
        <v>114</v>
      </c>
      <c r="P4">
        <v>114</v>
      </c>
      <c r="Q4">
        <v>113</v>
      </c>
      <c r="R4">
        <v>112</v>
      </c>
      <c r="S4">
        <v>110</v>
      </c>
      <c r="T4">
        <v>110</v>
      </c>
      <c r="U4">
        <v>109</v>
      </c>
      <c r="V4">
        <v>109</v>
      </c>
      <c r="W4">
        <v>108</v>
      </c>
      <c r="X4">
        <v>108</v>
      </c>
      <c r="Y4">
        <v>108</v>
      </c>
      <c r="Z4" s="2">
        <f>AVERAGE(Sheet1__3[[#This Row],[00:00:00]:[23:00:00]])</f>
        <v>117.625</v>
      </c>
      <c r="AA4" t="str" cm="1">
        <f t="array" ref="AA4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5" spans="1:27" x14ac:dyDescent="0.3">
      <c r="A5" s="1">
        <v>45720</v>
      </c>
      <c r="B5">
        <v>108</v>
      </c>
      <c r="C5">
        <v>108</v>
      </c>
      <c r="D5">
        <v>109</v>
      </c>
      <c r="E5">
        <v>110</v>
      </c>
      <c r="F5">
        <v>110</v>
      </c>
      <c r="G5">
        <v>111</v>
      </c>
      <c r="H5">
        <v>111</v>
      </c>
      <c r="I5">
        <v>112</v>
      </c>
      <c r="J5">
        <v>112</v>
      </c>
      <c r="K5">
        <v>112</v>
      </c>
      <c r="L5">
        <v>112</v>
      </c>
      <c r="M5">
        <v>112</v>
      </c>
      <c r="N5">
        <v>112</v>
      </c>
      <c r="O5">
        <v>112</v>
      </c>
      <c r="P5">
        <v>111</v>
      </c>
      <c r="Q5">
        <v>111</v>
      </c>
      <c r="R5">
        <v>110</v>
      </c>
      <c r="S5">
        <v>110</v>
      </c>
      <c r="T5">
        <v>110</v>
      </c>
      <c r="U5">
        <v>110</v>
      </c>
      <c r="V5">
        <v>110</v>
      </c>
      <c r="W5">
        <v>108</v>
      </c>
      <c r="X5">
        <v>107</v>
      </c>
      <c r="Y5">
        <v>107</v>
      </c>
      <c r="Z5" s="2">
        <f>AVERAGE(Sheet1__3[[#This Row],[00:00:00]:[23:00:00]])</f>
        <v>110.20833333333333</v>
      </c>
      <c r="AA5" t="str" cm="1">
        <f t="array" ref="AA5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6" spans="1:27" x14ac:dyDescent="0.3">
      <c r="A6" s="1">
        <v>45721</v>
      </c>
      <c r="B6">
        <v>106</v>
      </c>
      <c r="C6">
        <v>105</v>
      </c>
      <c r="D6">
        <v>105</v>
      </c>
      <c r="E6">
        <v>104</v>
      </c>
      <c r="F6">
        <v>104</v>
      </c>
      <c r="G6">
        <v>104</v>
      </c>
      <c r="H6">
        <v>103</v>
      </c>
      <c r="I6">
        <v>103</v>
      </c>
      <c r="J6">
        <v>103</v>
      </c>
      <c r="K6">
        <v>103</v>
      </c>
      <c r="L6">
        <v>103</v>
      </c>
      <c r="M6">
        <v>103</v>
      </c>
      <c r="N6">
        <v>103</v>
      </c>
      <c r="O6">
        <v>104</v>
      </c>
      <c r="P6">
        <v>104</v>
      </c>
      <c r="Q6">
        <v>104</v>
      </c>
      <c r="R6">
        <v>104</v>
      </c>
      <c r="S6">
        <v>104</v>
      </c>
      <c r="T6">
        <v>104</v>
      </c>
      <c r="U6">
        <v>103</v>
      </c>
      <c r="V6">
        <v>103</v>
      </c>
      <c r="W6">
        <v>103</v>
      </c>
      <c r="X6">
        <v>103</v>
      </c>
      <c r="Y6">
        <v>101</v>
      </c>
      <c r="Z6" s="2">
        <f>AVERAGE(Sheet1__3[[#This Row],[00:00:00]:[23:00:00]])</f>
        <v>103.58333333333333</v>
      </c>
      <c r="AA6" t="str" cm="1">
        <f t="array" ref="AA6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7" spans="1:27" x14ac:dyDescent="0.3">
      <c r="A7" s="1">
        <v>45722</v>
      </c>
      <c r="B7">
        <v>101</v>
      </c>
      <c r="C7">
        <v>98</v>
      </c>
      <c r="D7">
        <v>98</v>
      </c>
      <c r="E7">
        <v>96</v>
      </c>
      <c r="G7">
        <v>92</v>
      </c>
      <c r="H7">
        <v>90</v>
      </c>
      <c r="I7">
        <v>90</v>
      </c>
      <c r="J7">
        <v>88</v>
      </c>
      <c r="K7">
        <v>86</v>
      </c>
      <c r="L7">
        <v>86</v>
      </c>
      <c r="M7">
        <v>85</v>
      </c>
      <c r="N7">
        <v>84</v>
      </c>
      <c r="O7">
        <v>83</v>
      </c>
      <c r="P7">
        <v>83</v>
      </c>
      <c r="Q7">
        <v>83</v>
      </c>
      <c r="R7">
        <v>84</v>
      </c>
      <c r="S7">
        <v>84</v>
      </c>
      <c r="T7">
        <v>84</v>
      </c>
      <c r="U7">
        <v>85</v>
      </c>
      <c r="V7">
        <v>85</v>
      </c>
      <c r="W7">
        <v>85</v>
      </c>
      <c r="X7">
        <v>87</v>
      </c>
      <c r="Y7">
        <v>89</v>
      </c>
      <c r="Z7" s="2">
        <f>AVERAGE(Sheet1__3[[#This Row],[00:00:00]:[23:00:00]])</f>
        <v>88.086956521739125</v>
      </c>
      <c r="AA7" t="str" cm="1">
        <f t="array" ref="AA7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8" spans="1:27" x14ac:dyDescent="0.3">
      <c r="A8" s="1">
        <v>45723</v>
      </c>
      <c r="B8">
        <v>92</v>
      </c>
      <c r="C8">
        <v>95</v>
      </c>
      <c r="D8">
        <v>97</v>
      </c>
      <c r="E8">
        <v>98</v>
      </c>
      <c r="F8">
        <v>102</v>
      </c>
      <c r="G8">
        <v>103</v>
      </c>
      <c r="H8">
        <v>103</v>
      </c>
      <c r="I8">
        <v>103</v>
      </c>
      <c r="J8">
        <v>105</v>
      </c>
      <c r="K8">
        <v>106</v>
      </c>
      <c r="L8">
        <v>106</v>
      </c>
      <c r="M8">
        <v>107</v>
      </c>
      <c r="N8">
        <v>107</v>
      </c>
      <c r="O8">
        <v>105</v>
      </c>
      <c r="P8">
        <v>105</v>
      </c>
      <c r="Q8">
        <v>103</v>
      </c>
      <c r="R8">
        <v>103</v>
      </c>
      <c r="S8">
        <v>101</v>
      </c>
      <c r="T8">
        <v>100</v>
      </c>
      <c r="U8">
        <v>100</v>
      </c>
      <c r="V8">
        <v>98</v>
      </c>
      <c r="W8">
        <v>94</v>
      </c>
      <c r="X8">
        <v>93</v>
      </c>
      <c r="Y8">
        <v>93</v>
      </c>
      <c r="Z8" s="2">
        <f>AVERAGE(Sheet1__3[[#This Row],[00:00:00]:[23:00:00]])</f>
        <v>100.79166666666667</v>
      </c>
      <c r="AA8" t="str" cm="1">
        <f t="array" ref="AA8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9" spans="1:27" x14ac:dyDescent="0.3">
      <c r="A9" s="1">
        <v>45724</v>
      </c>
      <c r="B9">
        <v>90</v>
      </c>
      <c r="C9">
        <v>90</v>
      </c>
      <c r="D9">
        <v>89</v>
      </c>
      <c r="E9">
        <v>89</v>
      </c>
      <c r="F9">
        <v>89</v>
      </c>
      <c r="G9">
        <v>89</v>
      </c>
      <c r="H9">
        <v>89</v>
      </c>
      <c r="I9">
        <v>89</v>
      </c>
      <c r="J9">
        <v>89</v>
      </c>
      <c r="K9">
        <v>89</v>
      </c>
      <c r="L9">
        <v>90</v>
      </c>
      <c r="M9">
        <v>90</v>
      </c>
      <c r="N9">
        <v>90</v>
      </c>
      <c r="O9">
        <v>91</v>
      </c>
      <c r="P9">
        <v>91</v>
      </c>
      <c r="Q9">
        <v>93</v>
      </c>
      <c r="R9">
        <v>92</v>
      </c>
      <c r="S9">
        <v>99</v>
      </c>
      <c r="T9">
        <v>101</v>
      </c>
      <c r="U9">
        <v>101</v>
      </c>
      <c r="V9">
        <v>97</v>
      </c>
      <c r="W9">
        <v>95</v>
      </c>
      <c r="X9">
        <v>95</v>
      </c>
      <c r="Y9">
        <v>96</v>
      </c>
      <c r="Z9" s="2">
        <f>AVERAGE(Sheet1__3[[#This Row],[00:00:00]:[23:00:00]])</f>
        <v>92.208333333333329</v>
      </c>
      <c r="AA9" t="str" cm="1">
        <f t="array" ref="AA9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10" spans="1:27" x14ac:dyDescent="0.3">
      <c r="A10" s="1">
        <v>45725</v>
      </c>
      <c r="B10">
        <v>96</v>
      </c>
      <c r="C10">
        <v>95</v>
      </c>
      <c r="D10">
        <v>95</v>
      </c>
      <c r="E10">
        <v>96</v>
      </c>
      <c r="F10">
        <v>96</v>
      </c>
      <c r="G10">
        <v>96</v>
      </c>
      <c r="H10">
        <v>106</v>
      </c>
      <c r="I10">
        <v>105</v>
      </c>
      <c r="J10">
        <v>104</v>
      </c>
      <c r="K10">
        <v>104</v>
      </c>
      <c r="L10">
        <v>103</v>
      </c>
      <c r="M10">
        <v>103</v>
      </c>
      <c r="N10">
        <v>103</v>
      </c>
      <c r="O10">
        <v>103</v>
      </c>
      <c r="P10">
        <v>104</v>
      </c>
      <c r="Q10">
        <v>104</v>
      </c>
      <c r="R10">
        <v>106</v>
      </c>
      <c r="S10">
        <v>109</v>
      </c>
      <c r="T10">
        <v>109</v>
      </c>
      <c r="U10">
        <v>110</v>
      </c>
      <c r="V10">
        <v>110</v>
      </c>
      <c r="W10">
        <v>108</v>
      </c>
      <c r="X10">
        <v>108</v>
      </c>
      <c r="Y10">
        <v>105</v>
      </c>
      <c r="Z10" s="2">
        <f>AVERAGE(Sheet1__3[[#This Row],[00:00:00]:[23:00:00]])</f>
        <v>103.25</v>
      </c>
      <c r="AA10" t="str" cm="1">
        <f t="array" ref="AA10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11" spans="1:27" x14ac:dyDescent="0.3">
      <c r="A11" s="1">
        <v>45726</v>
      </c>
      <c r="B11">
        <v>106</v>
      </c>
      <c r="C11">
        <v>106</v>
      </c>
      <c r="D11">
        <v>106</v>
      </c>
      <c r="E11">
        <v>104</v>
      </c>
      <c r="F11">
        <v>103</v>
      </c>
      <c r="G11">
        <v>103</v>
      </c>
      <c r="H11">
        <v>102</v>
      </c>
      <c r="I11">
        <v>102</v>
      </c>
      <c r="J11">
        <v>102</v>
      </c>
      <c r="K11">
        <v>102</v>
      </c>
      <c r="L11">
        <v>102</v>
      </c>
      <c r="M11">
        <v>102</v>
      </c>
      <c r="N11">
        <v>104</v>
      </c>
      <c r="O11">
        <v>104</v>
      </c>
      <c r="P11">
        <v>104</v>
      </c>
      <c r="Q11">
        <v>105</v>
      </c>
      <c r="R11">
        <v>105</v>
      </c>
      <c r="S11">
        <v>122</v>
      </c>
      <c r="T11">
        <v>122</v>
      </c>
      <c r="U11">
        <v>115</v>
      </c>
      <c r="V11">
        <v>115</v>
      </c>
      <c r="W11">
        <v>115</v>
      </c>
      <c r="X11">
        <v>116</v>
      </c>
      <c r="Y11">
        <v>115</v>
      </c>
      <c r="Z11" s="2">
        <f>AVERAGE(Sheet1__3[[#This Row],[00:00:00]:[23:00:00]])</f>
        <v>107.58333333333333</v>
      </c>
      <c r="AA11" t="str" cm="1">
        <f t="array" ref="AA11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12" spans="1:27" x14ac:dyDescent="0.3">
      <c r="A12" s="1">
        <v>45727</v>
      </c>
      <c r="B12">
        <v>117</v>
      </c>
      <c r="C12">
        <v>121</v>
      </c>
      <c r="D12">
        <v>126</v>
      </c>
      <c r="E12">
        <v>130</v>
      </c>
      <c r="F12">
        <v>134</v>
      </c>
      <c r="G12">
        <v>138</v>
      </c>
      <c r="H12">
        <v>140</v>
      </c>
      <c r="I12">
        <v>142</v>
      </c>
      <c r="J12">
        <v>144</v>
      </c>
      <c r="K12">
        <v>146</v>
      </c>
      <c r="L12">
        <v>148</v>
      </c>
      <c r="M12">
        <v>148</v>
      </c>
      <c r="N12">
        <v>149</v>
      </c>
      <c r="O12">
        <v>150</v>
      </c>
      <c r="P12">
        <v>152</v>
      </c>
      <c r="Q12">
        <v>152</v>
      </c>
      <c r="R12">
        <v>152</v>
      </c>
      <c r="S12">
        <v>153</v>
      </c>
      <c r="T12">
        <v>153</v>
      </c>
      <c r="U12">
        <v>153</v>
      </c>
      <c r="V12">
        <v>154</v>
      </c>
      <c r="W12">
        <v>154</v>
      </c>
      <c r="Z12" s="2">
        <f>AVERAGE(Sheet1__3[[#This Row],[00:00:00]:[23:00:00]])</f>
        <v>143.45454545454547</v>
      </c>
      <c r="AA12" t="str" cm="1">
        <f t="array" ref="AA12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13" spans="1:27" x14ac:dyDescent="0.3">
      <c r="A13" s="1">
        <v>45728</v>
      </c>
      <c r="B13">
        <v>149</v>
      </c>
      <c r="C13">
        <v>146</v>
      </c>
      <c r="D13">
        <v>144</v>
      </c>
      <c r="E13">
        <v>143</v>
      </c>
      <c r="F13">
        <v>142</v>
      </c>
      <c r="G13">
        <v>143</v>
      </c>
      <c r="H13">
        <v>145</v>
      </c>
      <c r="I13">
        <v>148</v>
      </c>
      <c r="J13">
        <v>151</v>
      </c>
      <c r="K13">
        <v>154</v>
      </c>
      <c r="L13">
        <v>156</v>
      </c>
      <c r="M13">
        <v>157</v>
      </c>
      <c r="N13">
        <v>158</v>
      </c>
      <c r="O13">
        <v>158</v>
      </c>
      <c r="P13">
        <v>160</v>
      </c>
      <c r="Q13">
        <v>160</v>
      </c>
      <c r="R13">
        <v>160</v>
      </c>
      <c r="S13">
        <v>159</v>
      </c>
      <c r="T13">
        <v>158</v>
      </c>
      <c r="U13">
        <v>156</v>
      </c>
      <c r="V13">
        <v>156</v>
      </c>
      <c r="W13">
        <v>156</v>
      </c>
      <c r="X13">
        <v>157</v>
      </c>
      <c r="Y13">
        <v>158</v>
      </c>
      <c r="Z13" s="2">
        <f>AVERAGE(Sheet1__3[[#This Row],[00:00:00]:[23:00:00]])</f>
        <v>153.08333333333334</v>
      </c>
      <c r="AA13" t="str" cm="1">
        <f t="array" ref="AA13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VERY BAD</v>
      </c>
    </row>
    <row r="14" spans="1:27" x14ac:dyDescent="0.3">
      <c r="A14" s="1">
        <v>45729</v>
      </c>
      <c r="B14">
        <v>157</v>
      </c>
      <c r="C14">
        <v>158</v>
      </c>
      <c r="D14">
        <v>161</v>
      </c>
      <c r="E14">
        <v>163</v>
      </c>
      <c r="F14">
        <v>165</v>
      </c>
      <c r="G14">
        <v>168</v>
      </c>
      <c r="H14">
        <v>168</v>
      </c>
      <c r="I14">
        <v>168</v>
      </c>
      <c r="J14">
        <v>168</v>
      </c>
      <c r="K14">
        <v>167</v>
      </c>
      <c r="L14">
        <v>166</v>
      </c>
      <c r="M14">
        <v>164</v>
      </c>
      <c r="N14">
        <v>160</v>
      </c>
      <c r="O14">
        <v>157</v>
      </c>
      <c r="P14">
        <v>153</v>
      </c>
      <c r="Q14">
        <v>151</v>
      </c>
      <c r="R14">
        <v>150</v>
      </c>
      <c r="S14">
        <v>149</v>
      </c>
      <c r="T14">
        <v>148</v>
      </c>
      <c r="U14">
        <v>146</v>
      </c>
      <c r="V14">
        <v>145</v>
      </c>
      <c r="W14">
        <v>143</v>
      </c>
      <c r="X14">
        <v>143</v>
      </c>
      <c r="Y14">
        <v>144</v>
      </c>
      <c r="Z14" s="2">
        <f>AVERAGE(Sheet1__3[[#This Row],[00:00:00]:[23:00:00]])</f>
        <v>156.75</v>
      </c>
      <c r="AA14" t="str" cm="1">
        <f t="array" ref="AA14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VERY BAD</v>
      </c>
    </row>
    <row r="15" spans="1:27" x14ac:dyDescent="0.3">
      <c r="A15" s="1">
        <v>45730</v>
      </c>
      <c r="B15">
        <v>149</v>
      </c>
      <c r="C15">
        <v>153</v>
      </c>
      <c r="D15">
        <v>158</v>
      </c>
      <c r="E15">
        <v>161</v>
      </c>
      <c r="F15">
        <v>166</v>
      </c>
      <c r="G15">
        <v>170</v>
      </c>
      <c r="H15">
        <v>171</v>
      </c>
      <c r="I15">
        <v>172</v>
      </c>
      <c r="J15">
        <v>175</v>
      </c>
      <c r="K15">
        <v>178</v>
      </c>
      <c r="L15">
        <v>183</v>
      </c>
      <c r="M15">
        <v>183</v>
      </c>
      <c r="N15">
        <v>182</v>
      </c>
      <c r="O15">
        <v>182</v>
      </c>
      <c r="P15">
        <v>180</v>
      </c>
      <c r="Q15">
        <v>180</v>
      </c>
      <c r="R15">
        <v>178</v>
      </c>
      <c r="S15">
        <v>178</v>
      </c>
      <c r="T15">
        <v>177</v>
      </c>
      <c r="U15">
        <v>178</v>
      </c>
      <c r="V15">
        <v>178</v>
      </c>
      <c r="W15">
        <v>177</v>
      </c>
      <c r="X15">
        <v>175</v>
      </c>
      <c r="Y15">
        <v>171</v>
      </c>
      <c r="Z15" s="2">
        <f>AVERAGE(Sheet1__3[[#This Row],[00:00:00]:[23:00:00]])</f>
        <v>173.125</v>
      </c>
      <c r="AA15" t="str" cm="1">
        <f t="array" ref="AA15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VERY BAD</v>
      </c>
    </row>
    <row r="16" spans="1:27" x14ac:dyDescent="0.3">
      <c r="A16" s="1">
        <v>45731</v>
      </c>
      <c r="B16">
        <v>163</v>
      </c>
      <c r="C16">
        <v>154</v>
      </c>
      <c r="D16">
        <v>144</v>
      </c>
      <c r="E16">
        <v>135</v>
      </c>
      <c r="F16">
        <v>125</v>
      </c>
      <c r="G16">
        <v>115</v>
      </c>
      <c r="H16">
        <v>110</v>
      </c>
      <c r="I16">
        <v>106</v>
      </c>
      <c r="J16">
        <v>102</v>
      </c>
      <c r="K16">
        <v>99</v>
      </c>
      <c r="L16">
        <v>96</v>
      </c>
      <c r="M16">
        <v>97</v>
      </c>
      <c r="N16">
        <v>99</v>
      </c>
      <c r="O16">
        <v>99</v>
      </c>
      <c r="P16">
        <v>105</v>
      </c>
      <c r="Q16">
        <v>108</v>
      </c>
      <c r="R16">
        <v>111</v>
      </c>
      <c r="S16">
        <v>114</v>
      </c>
      <c r="T16">
        <v>115</v>
      </c>
      <c r="U16">
        <v>116</v>
      </c>
      <c r="V16">
        <v>117</v>
      </c>
      <c r="W16">
        <v>119</v>
      </c>
      <c r="X16">
        <v>121</v>
      </c>
      <c r="Y16">
        <v>122</v>
      </c>
      <c r="Z16" s="2">
        <f>AVERAGE(Sheet1__3[[#This Row],[00:00:00]:[23:00:00]])</f>
        <v>116.33333333333333</v>
      </c>
      <c r="AA16" t="str" cm="1">
        <f t="array" ref="AA16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17" spans="1:27" x14ac:dyDescent="0.3">
      <c r="A17" s="1">
        <v>45732</v>
      </c>
      <c r="B17">
        <v>124</v>
      </c>
      <c r="C17">
        <v>124</v>
      </c>
      <c r="D17">
        <v>125</v>
      </c>
      <c r="E17">
        <v>125</v>
      </c>
      <c r="F17">
        <v>125</v>
      </c>
      <c r="G17">
        <v>125</v>
      </c>
      <c r="H17">
        <v>126</v>
      </c>
      <c r="I17">
        <v>126</v>
      </c>
      <c r="J17">
        <v>126</v>
      </c>
      <c r="K17">
        <v>127</v>
      </c>
      <c r="L17">
        <v>126</v>
      </c>
      <c r="M17">
        <v>124</v>
      </c>
      <c r="N17">
        <v>122</v>
      </c>
      <c r="O17">
        <v>120</v>
      </c>
      <c r="P17">
        <v>118</v>
      </c>
      <c r="Q17">
        <v>117</v>
      </c>
      <c r="R17">
        <v>116</v>
      </c>
      <c r="S17">
        <v>116</v>
      </c>
      <c r="T17">
        <v>116</v>
      </c>
      <c r="U17">
        <v>117</v>
      </c>
      <c r="V17">
        <v>118</v>
      </c>
      <c r="W17">
        <v>119</v>
      </c>
      <c r="X17">
        <v>119</v>
      </c>
      <c r="Y17">
        <v>119</v>
      </c>
      <c r="Z17" s="2">
        <f>AVERAGE(Sheet1__3[[#This Row],[00:00:00]:[23:00:00]])</f>
        <v>121.66666666666667</v>
      </c>
      <c r="AA17" t="str" cm="1">
        <f t="array" ref="AA17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18" spans="1:27" x14ac:dyDescent="0.3">
      <c r="A18" s="1">
        <v>45733</v>
      </c>
      <c r="B18">
        <v>120</v>
      </c>
      <c r="C18">
        <v>120</v>
      </c>
      <c r="D18">
        <v>121</v>
      </c>
      <c r="E18">
        <v>122</v>
      </c>
      <c r="F18">
        <v>122</v>
      </c>
      <c r="G18">
        <v>123</v>
      </c>
      <c r="H18">
        <v>124</v>
      </c>
      <c r="I18">
        <v>124</v>
      </c>
      <c r="J18">
        <v>124</v>
      </c>
      <c r="K18">
        <v>124</v>
      </c>
      <c r="L18">
        <v>123</v>
      </c>
      <c r="M18">
        <v>121</v>
      </c>
      <c r="N18">
        <v>121</v>
      </c>
      <c r="O18">
        <v>117</v>
      </c>
      <c r="P18">
        <v>117</v>
      </c>
      <c r="Q18">
        <v>115</v>
      </c>
      <c r="R18">
        <v>114</v>
      </c>
      <c r="S18">
        <v>113</v>
      </c>
      <c r="T18">
        <v>110</v>
      </c>
      <c r="U18">
        <v>108</v>
      </c>
      <c r="V18">
        <v>104</v>
      </c>
      <c r="W18">
        <v>104</v>
      </c>
      <c r="X18">
        <v>98</v>
      </c>
      <c r="Y18">
        <v>96</v>
      </c>
      <c r="Z18" s="2">
        <f>AVERAGE(Sheet1__3[[#This Row],[00:00:00]:[23:00:00]])</f>
        <v>116.04166666666667</v>
      </c>
      <c r="AA18" t="str" cm="1">
        <f t="array" ref="AA18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19" spans="1:27" x14ac:dyDescent="0.3">
      <c r="A19" s="1">
        <v>45734</v>
      </c>
      <c r="B19">
        <v>95</v>
      </c>
      <c r="C19">
        <v>94</v>
      </c>
      <c r="D19">
        <v>93</v>
      </c>
      <c r="F19">
        <v>92</v>
      </c>
      <c r="G19">
        <v>91</v>
      </c>
      <c r="H19">
        <v>90</v>
      </c>
      <c r="I19">
        <v>89</v>
      </c>
      <c r="J19">
        <v>89</v>
      </c>
      <c r="K19">
        <v>88</v>
      </c>
      <c r="L19">
        <v>89</v>
      </c>
      <c r="M19">
        <v>89</v>
      </c>
      <c r="N19">
        <v>90</v>
      </c>
      <c r="O19">
        <v>91</v>
      </c>
      <c r="P19">
        <v>91</v>
      </c>
      <c r="R19">
        <v>97</v>
      </c>
      <c r="S19">
        <v>101</v>
      </c>
      <c r="T19">
        <v>102</v>
      </c>
      <c r="U19">
        <v>102</v>
      </c>
      <c r="V19">
        <v>102</v>
      </c>
      <c r="W19">
        <v>102</v>
      </c>
      <c r="X19">
        <v>102</v>
      </c>
      <c r="Y19">
        <v>104</v>
      </c>
      <c r="Z19" s="2">
        <f>AVERAGE(Sheet1__3[[#This Row],[00:00:00]:[23:00:00]])</f>
        <v>94.681818181818187</v>
      </c>
      <c r="AA19" t="str" cm="1">
        <f t="array" ref="AA19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20" spans="1:27" x14ac:dyDescent="0.3">
      <c r="A20" s="1">
        <v>45735</v>
      </c>
      <c r="B20">
        <v>106</v>
      </c>
      <c r="C20">
        <v>107</v>
      </c>
      <c r="D20">
        <v>108</v>
      </c>
      <c r="E20">
        <v>108</v>
      </c>
      <c r="F20">
        <v>108</v>
      </c>
      <c r="G20">
        <v>108</v>
      </c>
      <c r="H20">
        <v>108</v>
      </c>
      <c r="I20">
        <v>108</v>
      </c>
      <c r="J20">
        <v>109</v>
      </c>
      <c r="K20">
        <v>109</v>
      </c>
      <c r="L20">
        <v>110</v>
      </c>
      <c r="M20">
        <v>110</v>
      </c>
      <c r="N20">
        <v>111</v>
      </c>
      <c r="O20">
        <v>112</v>
      </c>
      <c r="P20">
        <v>113</v>
      </c>
      <c r="Q20">
        <v>113</v>
      </c>
      <c r="R20">
        <v>113</v>
      </c>
      <c r="S20">
        <v>114</v>
      </c>
      <c r="T20">
        <v>114</v>
      </c>
      <c r="U20">
        <v>114</v>
      </c>
      <c r="V20">
        <v>114</v>
      </c>
      <c r="W20">
        <v>112</v>
      </c>
      <c r="X20">
        <v>111</v>
      </c>
      <c r="Y20">
        <v>109</v>
      </c>
      <c r="Z20" s="2">
        <f>AVERAGE(Sheet1__3[[#This Row],[00:00:00]:[23:00:00]])</f>
        <v>110.375</v>
      </c>
      <c r="AA20" t="str" cm="1">
        <f t="array" ref="AA20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21" spans="1:27" x14ac:dyDescent="0.3">
      <c r="A21" s="1">
        <v>45736</v>
      </c>
      <c r="B21">
        <v>106</v>
      </c>
      <c r="C21">
        <v>106</v>
      </c>
      <c r="D21">
        <v>105</v>
      </c>
      <c r="E21">
        <v>104</v>
      </c>
      <c r="F21">
        <v>103</v>
      </c>
      <c r="G21">
        <v>102</v>
      </c>
      <c r="H21">
        <v>102</v>
      </c>
      <c r="I21">
        <v>101</v>
      </c>
      <c r="J21">
        <v>100</v>
      </c>
      <c r="K21">
        <v>99</v>
      </c>
      <c r="L21">
        <v>98</v>
      </c>
      <c r="M21">
        <v>94</v>
      </c>
      <c r="N21">
        <v>93</v>
      </c>
      <c r="O21">
        <v>89</v>
      </c>
      <c r="P21">
        <v>88</v>
      </c>
      <c r="Q21">
        <v>86</v>
      </c>
      <c r="R21">
        <v>85</v>
      </c>
      <c r="S21">
        <v>84</v>
      </c>
      <c r="T21">
        <v>83</v>
      </c>
      <c r="U21">
        <v>84</v>
      </c>
      <c r="V21">
        <v>84</v>
      </c>
      <c r="W21">
        <v>83</v>
      </c>
      <c r="X21">
        <v>82</v>
      </c>
      <c r="Y21">
        <v>80</v>
      </c>
      <c r="Z21" s="2">
        <f>AVERAGE(Sheet1__3[[#This Row],[00:00:00]:[23:00:00]])</f>
        <v>93.375</v>
      </c>
      <c r="AA21" t="str" cm="1">
        <f t="array" ref="AA21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22" spans="1:27" x14ac:dyDescent="0.3">
      <c r="A22" s="1">
        <v>45737</v>
      </c>
      <c r="B22">
        <v>80</v>
      </c>
      <c r="C22">
        <v>79</v>
      </c>
      <c r="D22">
        <v>78</v>
      </c>
      <c r="E22">
        <v>78</v>
      </c>
      <c r="F22">
        <v>77</v>
      </c>
      <c r="G22">
        <v>76</v>
      </c>
      <c r="H22">
        <v>76</v>
      </c>
      <c r="I22">
        <v>76</v>
      </c>
      <c r="J22">
        <v>76</v>
      </c>
      <c r="K22">
        <v>76</v>
      </c>
      <c r="L22">
        <v>77</v>
      </c>
      <c r="M22">
        <v>77</v>
      </c>
      <c r="N22">
        <v>80</v>
      </c>
      <c r="O22">
        <v>83</v>
      </c>
      <c r="P22">
        <v>85</v>
      </c>
      <c r="Q22">
        <v>85</v>
      </c>
      <c r="R22">
        <v>87</v>
      </c>
      <c r="S22">
        <v>89</v>
      </c>
      <c r="T22">
        <v>90</v>
      </c>
      <c r="U22">
        <v>92</v>
      </c>
      <c r="V22">
        <v>93</v>
      </c>
      <c r="W22">
        <v>92</v>
      </c>
      <c r="X22">
        <v>93</v>
      </c>
      <c r="Y22">
        <v>94</v>
      </c>
      <c r="Z22" s="2">
        <f>AVERAGE(Sheet1__3[[#This Row],[00:00:00]:[23:00:00]])</f>
        <v>82.875</v>
      </c>
      <c r="AA22" t="str" cm="1">
        <f t="array" ref="AA22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23" spans="1:27" x14ac:dyDescent="0.3">
      <c r="A23" s="1">
        <v>45738</v>
      </c>
      <c r="B23">
        <v>94</v>
      </c>
      <c r="C23">
        <v>94</v>
      </c>
      <c r="D23">
        <v>94</v>
      </c>
      <c r="E23">
        <v>94</v>
      </c>
      <c r="F23">
        <v>93</v>
      </c>
      <c r="G23">
        <v>92</v>
      </c>
      <c r="H23">
        <v>92</v>
      </c>
      <c r="I23">
        <v>92</v>
      </c>
      <c r="J23">
        <v>92</v>
      </c>
      <c r="K23">
        <v>92</v>
      </c>
      <c r="L23">
        <v>94</v>
      </c>
      <c r="M23">
        <v>96</v>
      </c>
      <c r="N23">
        <v>97</v>
      </c>
      <c r="O23">
        <v>97</v>
      </c>
      <c r="P23">
        <v>114</v>
      </c>
      <c r="Q23">
        <v>114</v>
      </c>
      <c r="R23">
        <v>115</v>
      </c>
      <c r="S23">
        <v>103</v>
      </c>
      <c r="T23">
        <v>110</v>
      </c>
      <c r="U23">
        <v>109</v>
      </c>
      <c r="V23">
        <v>105</v>
      </c>
      <c r="W23">
        <v>104</v>
      </c>
      <c r="X23">
        <v>104</v>
      </c>
      <c r="Y23">
        <v>105</v>
      </c>
      <c r="Z23" s="2">
        <f>AVERAGE(Sheet1__3[[#This Row],[00:00:00]:[23:00:00]])</f>
        <v>99.833333333333329</v>
      </c>
      <c r="AA23" t="str" cm="1">
        <f t="array" ref="AA23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24" spans="1:27" x14ac:dyDescent="0.3">
      <c r="A24" s="1">
        <v>45739</v>
      </c>
      <c r="B24">
        <v>106</v>
      </c>
      <c r="C24">
        <v>107</v>
      </c>
      <c r="D24">
        <v>108</v>
      </c>
      <c r="E24">
        <v>111</v>
      </c>
      <c r="F24">
        <v>114</v>
      </c>
      <c r="G24">
        <v>118</v>
      </c>
      <c r="H24">
        <v>121</v>
      </c>
      <c r="I24">
        <v>123</v>
      </c>
      <c r="J24">
        <v>126</v>
      </c>
      <c r="K24">
        <v>128</v>
      </c>
      <c r="L24">
        <v>130</v>
      </c>
      <c r="M24">
        <v>133</v>
      </c>
      <c r="N24">
        <v>134</v>
      </c>
      <c r="O24">
        <v>133</v>
      </c>
      <c r="P24">
        <v>134</v>
      </c>
      <c r="Q24">
        <v>133</v>
      </c>
      <c r="R24">
        <v>134</v>
      </c>
      <c r="S24">
        <v>134</v>
      </c>
      <c r="T24">
        <v>134</v>
      </c>
      <c r="U24">
        <v>134</v>
      </c>
      <c r="V24">
        <v>132</v>
      </c>
      <c r="W24">
        <v>131</v>
      </c>
      <c r="X24">
        <v>131</v>
      </c>
      <c r="Y24">
        <v>128</v>
      </c>
      <c r="Z24" s="2">
        <f>AVERAGE(Sheet1__3[[#This Row],[00:00:00]:[23:00:00]])</f>
        <v>125.70833333333333</v>
      </c>
      <c r="AA24" t="str" cm="1">
        <f t="array" ref="AA24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25" spans="1:27" x14ac:dyDescent="0.3">
      <c r="A25" s="1">
        <v>45740</v>
      </c>
      <c r="B25">
        <v>125</v>
      </c>
      <c r="C25">
        <v>122</v>
      </c>
      <c r="D25">
        <v>118</v>
      </c>
      <c r="E25">
        <v>115</v>
      </c>
      <c r="F25">
        <v>113</v>
      </c>
      <c r="G25">
        <v>110</v>
      </c>
      <c r="H25">
        <v>108</v>
      </c>
      <c r="I25">
        <v>105</v>
      </c>
      <c r="J25">
        <v>104</v>
      </c>
      <c r="K25">
        <v>101</v>
      </c>
      <c r="L25">
        <v>98</v>
      </c>
      <c r="N25">
        <v>95</v>
      </c>
      <c r="O25">
        <v>95</v>
      </c>
      <c r="P25">
        <v>95</v>
      </c>
      <c r="Q25">
        <v>97</v>
      </c>
      <c r="R25">
        <v>98</v>
      </c>
      <c r="S25">
        <v>116</v>
      </c>
      <c r="T25">
        <v>116</v>
      </c>
      <c r="U25">
        <v>106</v>
      </c>
      <c r="V25">
        <v>104</v>
      </c>
      <c r="W25">
        <v>104</v>
      </c>
      <c r="X25">
        <v>104</v>
      </c>
      <c r="Y25">
        <v>106</v>
      </c>
      <c r="Z25" s="2">
        <f>AVERAGE(Sheet1__3[[#This Row],[00:00:00]:[23:00:00]])</f>
        <v>106.73913043478261</v>
      </c>
      <c r="AA25" t="str" cm="1">
        <f t="array" ref="AA25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26" spans="1:27" x14ac:dyDescent="0.3">
      <c r="A26" s="1">
        <v>45741</v>
      </c>
      <c r="B26">
        <v>109</v>
      </c>
      <c r="C26">
        <v>112</v>
      </c>
      <c r="D26">
        <v>115</v>
      </c>
      <c r="E26">
        <v>116</v>
      </c>
      <c r="F26">
        <v>119</v>
      </c>
      <c r="H26">
        <v>122</v>
      </c>
      <c r="I26">
        <v>124</v>
      </c>
      <c r="J26">
        <v>125</v>
      </c>
      <c r="K26">
        <v>127</v>
      </c>
      <c r="L26">
        <v>128</v>
      </c>
      <c r="M26">
        <v>129</v>
      </c>
      <c r="N26">
        <v>129</v>
      </c>
      <c r="O26">
        <v>139</v>
      </c>
      <c r="P26">
        <v>129</v>
      </c>
      <c r="Q26">
        <v>142</v>
      </c>
      <c r="R26">
        <v>141</v>
      </c>
      <c r="S26">
        <v>134</v>
      </c>
      <c r="T26">
        <v>134</v>
      </c>
      <c r="U26">
        <v>132</v>
      </c>
      <c r="V26">
        <v>130</v>
      </c>
      <c r="W26">
        <v>129</v>
      </c>
      <c r="X26">
        <v>128</v>
      </c>
      <c r="Y26">
        <v>128</v>
      </c>
      <c r="Z26" s="2">
        <f>AVERAGE(Sheet1__3[[#This Row],[00:00:00]:[23:00:00]])</f>
        <v>127</v>
      </c>
      <c r="AA26" t="str" cm="1">
        <f t="array" ref="AA26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27" spans="1:27" x14ac:dyDescent="0.3">
      <c r="A27" s="1">
        <v>45742</v>
      </c>
      <c r="B27">
        <v>127</v>
      </c>
      <c r="C27">
        <v>126</v>
      </c>
      <c r="D27">
        <v>128</v>
      </c>
      <c r="E27">
        <v>129</v>
      </c>
      <c r="F27">
        <v>132</v>
      </c>
      <c r="G27">
        <v>134</v>
      </c>
      <c r="H27">
        <v>136</v>
      </c>
      <c r="I27">
        <v>140</v>
      </c>
      <c r="J27">
        <v>144</v>
      </c>
      <c r="K27">
        <v>148</v>
      </c>
      <c r="L27">
        <v>154</v>
      </c>
      <c r="M27">
        <v>160</v>
      </c>
      <c r="N27">
        <v>164</v>
      </c>
      <c r="O27">
        <v>168</v>
      </c>
      <c r="P27">
        <v>172</v>
      </c>
      <c r="Q27">
        <v>170</v>
      </c>
      <c r="R27">
        <v>172</v>
      </c>
      <c r="S27">
        <v>172</v>
      </c>
      <c r="T27">
        <v>169</v>
      </c>
      <c r="U27">
        <v>169</v>
      </c>
      <c r="V27">
        <v>169</v>
      </c>
      <c r="W27">
        <v>169</v>
      </c>
      <c r="X27">
        <v>173</v>
      </c>
      <c r="Y27">
        <v>175</v>
      </c>
      <c r="Z27" s="2">
        <f>AVERAGE(Sheet1__3[[#This Row],[00:00:00]:[23:00:00]])</f>
        <v>154.16666666666666</v>
      </c>
      <c r="AA27" t="str" cm="1">
        <f t="array" ref="AA27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VERY BAD</v>
      </c>
    </row>
    <row r="28" spans="1:27" x14ac:dyDescent="0.3">
      <c r="A28" s="1">
        <v>45743</v>
      </c>
      <c r="B28">
        <v>178</v>
      </c>
      <c r="C28">
        <v>178</v>
      </c>
      <c r="D28">
        <v>178</v>
      </c>
      <c r="E28">
        <v>178</v>
      </c>
      <c r="F28">
        <v>178</v>
      </c>
      <c r="G28">
        <v>176</v>
      </c>
      <c r="H28">
        <v>176</v>
      </c>
      <c r="I28">
        <v>176</v>
      </c>
      <c r="J28">
        <v>174</v>
      </c>
      <c r="K28">
        <v>172</v>
      </c>
      <c r="L28">
        <v>170</v>
      </c>
      <c r="M28">
        <v>170</v>
      </c>
      <c r="N28">
        <v>164</v>
      </c>
      <c r="O28">
        <v>160</v>
      </c>
      <c r="P28">
        <v>160</v>
      </c>
      <c r="Q28">
        <v>158</v>
      </c>
      <c r="R28">
        <v>158</v>
      </c>
      <c r="S28">
        <v>158</v>
      </c>
      <c r="T28">
        <v>158</v>
      </c>
      <c r="U28">
        <v>159</v>
      </c>
      <c r="V28">
        <v>158</v>
      </c>
      <c r="W28">
        <v>158</v>
      </c>
      <c r="X28">
        <v>156</v>
      </c>
      <c r="Y28">
        <v>153</v>
      </c>
      <c r="Z28" s="2">
        <f>AVERAGE(Sheet1__3[[#This Row],[00:00:00]:[23:00:00]])</f>
        <v>166.83333333333334</v>
      </c>
      <c r="AA28" t="str" cm="1">
        <f t="array" ref="AA28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VERY BAD</v>
      </c>
    </row>
    <row r="29" spans="1:27" x14ac:dyDescent="0.3">
      <c r="A29" s="1">
        <v>45744</v>
      </c>
      <c r="B29">
        <v>151</v>
      </c>
      <c r="C29">
        <v>149</v>
      </c>
      <c r="D29">
        <v>148</v>
      </c>
      <c r="E29">
        <v>146</v>
      </c>
      <c r="F29">
        <v>144</v>
      </c>
      <c r="G29">
        <v>143</v>
      </c>
      <c r="H29">
        <v>140</v>
      </c>
      <c r="I29">
        <v>137</v>
      </c>
      <c r="J29">
        <v>134</v>
      </c>
      <c r="K29">
        <v>130</v>
      </c>
      <c r="L29">
        <v>127</v>
      </c>
      <c r="M29">
        <v>125</v>
      </c>
      <c r="N29">
        <v>123</v>
      </c>
      <c r="O29">
        <v>123</v>
      </c>
      <c r="P29">
        <v>122</v>
      </c>
      <c r="Q29">
        <v>123</v>
      </c>
      <c r="R29">
        <v>124</v>
      </c>
      <c r="S29">
        <v>124</v>
      </c>
      <c r="T29">
        <v>124</v>
      </c>
      <c r="U29">
        <v>123</v>
      </c>
      <c r="V29">
        <v>130</v>
      </c>
      <c r="W29">
        <v>121</v>
      </c>
      <c r="X29">
        <v>120</v>
      </c>
      <c r="Y29">
        <v>120</v>
      </c>
      <c r="Z29" s="2">
        <f>AVERAGE(Sheet1__3[[#This Row],[00:00:00]:[23:00:00]])</f>
        <v>131.29166666666666</v>
      </c>
      <c r="AA29" t="str" cm="1">
        <f t="array" ref="AA29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30" spans="1:27" x14ac:dyDescent="0.3">
      <c r="A30" s="1">
        <v>45745</v>
      </c>
      <c r="B30">
        <v>122</v>
      </c>
      <c r="C30">
        <v>122</v>
      </c>
      <c r="D30">
        <v>121</v>
      </c>
      <c r="E30">
        <v>120</v>
      </c>
      <c r="F30">
        <v>118</v>
      </c>
      <c r="G30">
        <v>118</v>
      </c>
      <c r="H30">
        <v>117</v>
      </c>
      <c r="I30">
        <v>118</v>
      </c>
      <c r="J30">
        <v>116</v>
      </c>
      <c r="K30">
        <v>116</v>
      </c>
      <c r="L30">
        <v>116</v>
      </c>
      <c r="M30">
        <v>116</v>
      </c>
      <c r="N30">
        <v>117</v>
      </c>
      <c r="O30">
        <v>118</v>
      </c>
      <c r="P30">
        <v>118</v>
      </c>
      <c r="Q30">
        <v>118</v>
      </c>
      <c r="R30">
        <v>118</v>
      </c>
      <c r="S30">
        <v>120</v>
      </c>
      <c r="T30">
        <v>122</v>
      </c>
      <c r="U30">
        <v>123</v>
      </c>
      <c r="V30">
        <v>124</v>
      </c>
      <c r="W30">
        <v>133</v>
      </c>
      <c r="X30">
        <v>127</v>
      </c>
      <c r="Y30">
        <v>127</v>
      </c>
      <c r="Z30" s="2">
        <f>AVERAGE(Sheet1__3[[#This Row],[00:00:00]:[23:00:00]])</f>
        <v>120.20833333333333</v>
      </c>
      <c r="AA30" t="str" cm="1">
        <f t="array" ref="AA30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31" spans="1:27" x14ac:dyDescent="0.3">
      <c r="A31" s="1">
        <v>45746</v>
      </c>
      <c r="B31">
        <v>130</v>
      </c>
      <c r="C31">
        <v>131</v>
      </c>
      <c r="D31">
        <v>132</v>
      </c>
      <c r="E31">
        <v>132</v>
      </c>
      <c r="F31">
        <v>133</v>
      </c>
      <c r="G31">
        <v>132</v>
      </c>
      <c r="H31">
        <v>132</v>
      </c>
      <c r="I31">
        <v>132</v>
      </c>
      <c r="J31">
        <v>132</v>
      </c>
      <c r="K31">
        <v>133</v>
      </c>
      <c r="L31">
        <v>132</v>
      </c>
      <c r="M31">
        <v>132</v>
      </c>
      <c r="N31">
        <v>131</v>
      </c>
      <c r="O31">
        <v>130</v>
      </c>
      <c r="P31">
        <v>139</v>
      </c>
      <c r="Q31">
        <v>141</v>
      </c>
      <c r="R31">
        <v>140</v>
      </c>
      <c r="S31">
        <v>130</v>
      </c>
      <c r="T31">
        <v>129</v>
      </c>
      <c r="U31">
        <v>126</v>
      </c>
      <c r="V31">
        <v>126</v>
      </c>
      <c r="W31">
        <v>128</v>
      </c>
      <c r="X31">
        <v>128</v>
      </c>
      <c r="Y31">
        <v>127</v>
      </c>
      <c r="Z31" s="2">
        <f>AVERAGE(Sheet1__3[[#This Row],[00:00:00]:[23:00:00]])</f>
        <v>131.58333333333334</v>
      </c>
      <c r="AA31" t="str" cm="1">
        <f t="array" ref="AA31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32" spans="1:27" x14ac:dyDescent="0.3">
      <c r="A32" s="1">
        <v>45747</v>
      </c>
      <c r="B32">
        <v>126</v>
      </c>
      <c r="C32">
        <v>126</v>
      </c>
      <c r="D32">
        <v>127</v>
      </c>
      <c r="E32">
        <v>126</v>
      </c>
      <c r="F32">
        <v>126</v>
      </c>
      <c r="G32">
        <v>126</v>
      </c>
      <c r="H32">
        <v>125</v>
      </c>
      <c r="I32">
        <v>125</v>
      </c>
      <c r="J32">
        <v>125</v>
      </c>
      <c r="K32">
        <v>125</v>
      </c>
      <c r="L32">
        <v>125</v>
      </c>
      <c r="M32">
        <v>127</v>
      </c>
      <c r="N32">
        <v>128</v>
      </c>
      <c r="O32">
        <v>139</v>
      </c>
      <c r="P32">
        <v>145</v>
      </c>
      <c r="Q32">
        <v>146</v>
      </c>
      <c r="R32">
        <v>158</v>
      </c>
      <c r="S32">
        <v>156</v>
      </c>
      <c r="T32">
        <v>156</v>
      </c>
      <c r="U32">
        <v>159</v>
      </c>
      <c r="V32">
        <v>162</v>
      </c>
      <c r="W32">
        <v>164</v>
      </c>
      <c r="X32">
        <v>164</v>
      </c>
      <c r="Y32">
        <v>166</v>
      </c>
      <c r="Z32" s="2">
        <f>AVERAGE(Sheet1__3[[#This Row],[00:00:00]:[23:00:00]])</f>
        <v>139.66666666666666</v>
      </c>
      <c r="AA32" t="str" cm="1">
        <f t="array" ref="AA32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33" spans="26:27" x14ac:dyDescent="0.3">
      <c r="Z33" s="2">
        <f>SUBTOTAL(101,Sheet1__3[AVERAGE AQI])</f>
        <v>122.34959518041566</v>
      </c>
      <c r="AA33" s="3"/>
    </row>
  </sheetData>
  <conditionalFormatting sqref="AA1:AA1048576">
    <cfRule type="containsText" dxfId="85" priority="3" operator="containsText" text="MODERATE">
      <formula>NOT(ISERROR(SEARCH("MODERATE",AA1)))</formula>
    </cfRule>
    <cfRule type="containsText" dxfId="86" priority="2" operator="containsText" text="BAD">
      <formula>NOT(ISERROR(SEARCH("BAD",AA1)))</formula>
    </cfRule>
    <cfRule type="containsText" dxfId="87" priority="1" operator="containsText" text="VERY BAD">
      <formula>NOT(ISERROR(SEARCH("VERY BAD",AA1)))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A9EF-F605-4E1D-A110-C88B61926D76}">
  <dimension ref="A1:AA31"/>
  <sheetViews>
    <sheetView topLeftCell="A3" workbookViewId="0">
      <selection activeCell="AB10" sqref="AB10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8.332031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45748</v>
      </c>
      <c r="B2">
        <v>169</v>
      </c>
      <c r="C2">
        <v>172</v>
      </c>
      <c r="D2">
        <v>175</v>
      </c>
      <c r="E2">
        <v>178</v>
      </c>
      <c r="F2">
        <v>181</v>
      </c>
      <c r="G2">
        <v>183</v>
      </c>
      <c r="H2">
        <v>183</v>
      </c>
      <c r="I2">
        <v>185</v>
      </c>
      <c r="J2">
        <v>185</v>
      </c>
      <c r="K2">
        <v>185</v>
      </c>
      <c r="L2">
        <v>184</v>
      </c>
      <c r="M2">
        <v>184</v>
      </c>
      <c r="N2">
        <v>182</v>
      </c>
      <c r="O2">
        <v>180</v>
      </c>
      <c r="P2">
        <v>178</v>
      </c>
      <c r="Q2">
        <v>177</v>
      </c>
      <c r="R2">
        <v>177</v>
      </c>
      <c r="S2">
        <v>178</v>
      </c>
      <c r="T2">
        <v>176</v>
      </c>
      <c r="U2">
        <v>176</v>
      </c>
      <c r="V2">
        <v>176</v>
      </c>
      <c r="W2">
        <v>171</v>
      </c>
      <c r="X2">
        <v>171</v>
      </c>
      <c r="Y2">
        <v>171</v>
      </c>
      <c r="Z2" s="2">
        <f>AVERAGE(Sheet1__4[[#This Row],[00:00:00]:[23:00:00]])</f>
        <v>178.20833333333334</v>
      </c>
      <c r="AA2" t="str" cm="1">
        <f t="array" ref="AA2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VERY BAD</v>
      </c>
    </row>
    <row r="3" spans="1:27" x14ac:dyDescent="0.3">
      <c r="A3" s="1">
        <v>45749</v>
      </c>
      <c r="B3">
        <v>169</v>
      </c>
      <c r="C3">
        <v>168</v>
      </c>
      <c r="D3">
        <v>166</v>
      </c>
      <c r="E3">
        <v>166</v>
      </c>
      <c r="F3">
        <v>179</v>
      </c>
      <c r="G3">
        <v>180</v>
      </c>
      <c r="H3">
        <v>182</v>
      </c>
      <c r="I3">
        <v>181</v>
      </c>
      <c r="J3">
        <v>181</v>
      </c>
      <c r="K3">
        <v>180</v>
      </c>
      <c r="L3">
        <v>177</v>
      </c>
      <c r="M3">
        <v>173</v>
      </c>
      <c r="N3">
        <v>170</v>
      </c>
      <c r="O3">
        <v>170</v>
      </c>
      <c r="P3">
        <v>162</v>
      </c>
      <c r="Q3">
        <v>156</v>
      </c>
      <c r="R3">
        <v>148</v>
      </c>
      <c r="S3">
        <v>141</v>
      </c>
      <c r="T3">
        <v>141</v>
      </c>
      <c r="V3">
        <v>138</v>
      </c>
      <c r="W3">
        <v>136</v>
      </c>
      <c r="X3">
        <v>131</v>
      </c>
      <c r="Y3">
        <v>124</v>
      </c>
      <c r="Z3" s="2">
        <f>AVERAGE(Sheet1__4[[#This Row],[00:00:00]:[23:00:00]])</f>
        <v>161.69565217391303</v>
      </c>
      <c r="AA3" t="str" cm="1">
        <f t="array" ref="AA3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VERY BAD</v>
      </c>
    </row>
    <row r="4" spans="1:27" x14ac:dyDescent="0.3">
      <c r="A4" s="1">
        <v>45750</v>
      </c>
      <c r="B4">
        <v>121</v>
      </c>
      <c r="C4">
        <v>119</v>
      </c>
      <c r="D4">
        <v>117</v>
      </c>
      <c r="E4">
        <v>112</v>
      </c>
      <c r="F4">
        <v>104</v>
      </c>
      <c r="G4">
        <v>104</v>
      </c>
      <c r="H4">
        <v>103</v>
      </c>
      <c r="I4">
        <v>102</v>
      </c>
      <c r="J4">
        <v>103</v>
      </c>
      <c r="K4">
        <v>106</v>
      </c>
      <c r="L4">
        <v>108</v>
      </c>
      <c r="M4">
        <v>109</v>
      </c>
      <c r="N4">
        <v>112</v>
      </c>
      <c r="P4">
        <v>114</v>
      </c>
      <c r="Q4">
        <v>117</v>
      </c>
      <c r="R4">
        <v>118</v>
      </c>
      <c r="S4">
        <v>119</v>
      </c>
      <c r="T4">
        <v>118</v>
      </c>
      <c r="U4">
        <v>116</v>
      </c>
      <c r="V4">
        <v>114</v>
      </c>
      <c r="W4">
        <v>113</v>
      </c>
      <c r="X4">
        <v>112</v>
      </c>
      <c r="Y4">
        <v>109</v>
      </c>
      <c r="Z4" s="2">
        <f>AVERAGE(Sheet1__4[[#This Row],[00:00:00]:[23:00:00]])</f>
        <v>111.73913043478261</v>
      </c>
      <c r="AA4" t="str" cm="1">
        <f t="array" ref="AA4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5" spans="1:27" x14ac:dyDescent="0.3">
      <c r="A5" s="1">
        <v>45751</v>
      </c>
      <c r="B5">
        <v>107</v>
      </c>
      <c r="C5">
        <v>106</v>
      </c>
      <c r="D5">
        <v>104</v>
      </c>
      <c r="E5">
        <v>103</v>
      </c>
      <c r="F5">
        <v>101</v>
      </c>
      <c r="G5">
        <v>101</v>
      </c>
      <c r="H5">
        <v>101</v>
      </c>
      <c r="I5">
        <v>101</v>
      </c>
      <c r="J5">
        <v>101</v>
      </c>
      <c r="K5">
        <v>101</v>
      </c>
      <c r="L5">
        <v>100</v>
      </c>
      <c r="M5">
        <v>100</v>
      </c>
      <c r="N5">
        <v>99</v>
      </c>
      <c r="O5">
        <v>99</v>
      </c>
      <c r="P5">
        <v>98</v>
      </c>
      <c r="Q5">
        <v>98</v>
      </c>
      <c r="R5">
        <v>98</v>
      </c>
      <c r="S5">
        <v>97</v>
      </c>
      <c r="T5">
        <v>99</v>
      </c>
      <c r="U5">
        <v>100</v>
      </c>
      <c r="V5">
        <v>100</v>
      </c>
      <c r="W5">
        <v>92</v>
      </c>
      <c r="Y5">
        <v>97</v>
      </c>
      <c r="Z5" s="2">
        <f>AVERAGE(Sheet1__4[[#This Row],[00:00:00]:[23:00:00]])</f>
        <v>100.1304347826087</v>
      </c>
      <c r="AA5" t="str" cm="1">
        <f t="array" ref="AA5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6" spans="1:27" x14ac:dyDescent="0.3">
      <c r="A6" s="1">
        <v>45752</v>
      </c>
      <c r="B6">
        <v>97</v>
      </c>
      <c r="C6">
        <v>100</v>
      </c>
      <c r="D6">
        <v>102</v>
      </c>
      <c r="E6">
        <v>104</v>
      </c>
      <c r="F6">
        <v>105</v>
      </c>
      <c r="G6">
        <v>106</v>
      </c>
      <c r="H6">
        <v>107</v>
      </c>
      <c r="I6">
        <v>108</v>
      </c>
      <c r="J6">
        <v>109</v>
      </c>
      <c r="K6">
        <v>109</v>
      </c>
      <c r="L6">
        <v>111</v>
      </c>
      <c r="M6">
        <v>111</v>
      </c>
      <c r="N6">
        <v>112</v>
      </c>
      <c r="O6">
        <v>112</v>
      </c>
      <c r="P6">
        <v>113</v>
      </c>
      <c r="Q6">
        <v>113</v>
      </c>
      <c r="R6">
        <v>113</v>
      </c>
      <c r="S6">
        <v>114</v>
      </c>
      <c r="T6">
        <v>115</v>
      </c>
      <c r="U6">
        <v>114</v>
      </c>
      <c r="V6">
        <v>115</v>
      </c>
      <c r="W6">
        <v>114</v>
      </c>
      <c r="X6">
        <v>116</v>
      </c>
      <c r="Y6">
        <v>117</v>
      </c>
      <c r="Z6" s="2">
        <f>AVERAGE(Sheet1__4[[#This Row],[00:00:00]:[23:00:00]])</f>
        <v>109.875</v>
      </c>
      <c r="AA6" t="str" cm="1">
        <f t="array" ref="AA6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7" spans="1:27" x14ac:dyDescent="0.3">
      <c r="A7" s="1">
        <v>45753</v>
      </c>
      <c r="B7">
        <v>118</v>
      </c>
      <c r="C7">
        <v>120</v>
      </c>
      <c r="D7">
        <v>124</v>
      </c>
      <c r="E7">
        <v>127</v>
      </c>
      <c r="F7">
        <v>131</v>
      </c>
      <c r="G7">
        <v>133</v>
      </c>
      <c r="H7">
        <v>134</v>
      </c>
      <c r="I7">
        <v>134</v>
      </c>
      <c r="J7">
        <v>134</v>
      </c>
      <c r="K7">
        <v>133</v>
      </c>
      <c r="L7">
        <v>134</v>
      </c>
      <c r="M7">
        <v>134</v>
      </c>
      <c r="N7">
        <v>134</v>
      </c>
      <c r="O7">
        <v>134</v>
      </c>
      <c r="P7">
        <v>134</v>
      </c>
      <c r="Q7">
        <v>134</v>
      </c>
      <c r="R7">
        <v>134</v>
      </c>
      <c r="S7">
        <v>134</v>
      </c>
      <c r="T7">
        <v>132</v>
      </c>
      <c r="U7">
        <v>130</v>
      </c>
      <c r="V7">
        <v>129</v>
      </c>
      <c r="W7">
        <v>128</v>
      </c>
      <c r="X7">
        <v>127</v>
      </c>
      <c r="Y7">
        <v>127</v>
      </c>
      <c r="Z7" s="2">
        <f>AVERAGE(Sheet1__4[[#This Row],[00:00:00]:[23:00:00]])</f>
        <v>130.54166666666666</v>
      </c>
      <c r="AA7" t="str" cm="1">
        <f t="array" ref="AA7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8" spans="1:27" x14ac:dyDescent="0.3">
      <c r="A8" s="1">
        <v>45754</v>
      </c>
      <c r="B8">
        <v>128</v>
      </c>
      <c r="C8">
        <v>128</v>
      </c>
      <c r="D8">
        <v>126</v>
      </c>
      <c r="E8">
        <v>125</v>
      </c>
      <c r="F8">
        <v>128</v>
      </c>
      <c r="G8">
        <v>130</v>
      </c>
      <c r="H8">
        <v>133</v>
      </c>
      <c r="I8">
        <v>136</v>
      </c>
      <c r="J8">
        <v>139</v>
      </c>
      <c r="K8">
        <v>143</v>
      </c>
      <c r="L8">
        <v>146</v>
      </c>
      <c r="M8">
        <v>150</v>
      </c>
      <c r="N8">
        <v>153</v>
      </c>
      <c r="O8">
        <v>155</v>
      </c>
      <c r="P8">
        <v>155</v>
      </c>
      <c r="Q8">
        <v>155</v>
      </c>
      <c r="R8">
        <v>155</v>
      </c>
      <c r="S8">
        <v>156</v>
      </c>
      <c r="T8">
        <v>157</v>
      </c>
      <c r="U8">
        <v>158</v>
      </c>
      <c r="V8">
        <v>160</v>
      </c>
      <c r="W8">
        <v>161</v>
      </c>
      <c r="X8">
        <v>163</v>
      </c>
      <c r="Y8">
        <v>163</v>
      </c>
      <c r="Z8" s="2">
        <f>AVERAGE(Sheet1__4[[#This Row],[00:00:00]:[23:00:00]])</f>
        <v>145.95833333333334</v>
      </c>
      <c r="AA8" t="str" cm="1">
        <f t="array" ref="AA8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9" spans="1:27" x14ac:dyDescent="0.3">
      <c r="A9" s="1">
        <v>45755</v>
      </c>
      <c r="B9">
        <v>164</v>
      </c>
      <c r="C9">
        <v>163</v>
      </c>
      <c r="D9">
        <v>163</v>
      </c>
      <c r="E9">
        <v>159</v>
      </c>
      <c r="F9">
        <v>156</v>
      </c>
      <c r="G9">
        <v>154</v>
      </c>
      <c r="H9">
        <v>154</v>
      </c>
      <c r="I9">
        <v>154</v>
      </c>
      <c r="J9">
        <v>156</v>
      </c>
      <c r="K9">
        <v>158</v>
      </c>
      <c r="L9">
        <v>157</v>
      </c>
      <c r="M9">
        <v>157</v>
      </c>
      <c r="N9">
        <v>150</v>
      </c>
      <c r="O9">
        <v>148</v>
      </c>
      <c r="P9">
        <v>147</v>
      </c>
      <c r="Q9">
        <v>148</v>
      </c>
      <c r="R9">
        <v>148</v>
      </c>
      <c r="S9">
        <v>148</v>
      </c>
      <c r="T9">
        <v>149</v>
      </c>
      <c r="U9">
        <v>149</v>
      </c>
      <c r="V9">
        <v>148</v>
      </c>
      <c r="W9">
        <v>148</v>
      </c>
      <c r="X9">
        <v>145</v>
      </c>
      <c r="Y9">
        <v>145</v>
      </c>
      <c r="Z9" s="2">
        <f>AVERAGE(Sheet1__4[[#This Row],[00:00:00]:[23:00:00]])</f>
        <v>152.83333333333334</v>
      </c>
      <c r="AA9" t="str" cm="1">
        <f t="array" ref="AA9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VERY BAD</v>
      </c>
    </row>
    <row r="10" spans="1:27" x14ac:dyDescent="0.3">
      <c r="A10" s="1">
        <v>45756</v>
      </c>
      <c r="B10">
        <v>140</v>
      </c>
      <c r="C10">
        <v>136</v>
      </c>
      <c r="D10">
        <v>133</v>
      </c>
      <c r="E10">
        <v>131</v>
      </c>
      <c r="F10">
        <v>128</v>
      </c>
      <c r="G10">
        <v>125</v>
      </c>
      <c r="H10">
        <v>121</v>
      </c>
      <c r="I10">
        <v>117</v>
      </c>
      <c r="J10">
        <v>113</v>
      </c>
      <c r="K10">
        <v>109</v>
      </c>
      <c r="L10">
        <v>106</v>
      </c>
      <c r="N10">
        <v>105</v>
      </c>
      <c r="O10">
        <v>103</v>
      </c>
      <c r="P10">
        <v>102</v>
      </c>
      <c r="Q10">
        <v>101</v>
      </c>
      <c r="R10">
        <v>101</v>
      </c>
      <c r="S10">
        <v>100</v>
      </c>
      <c r="T10">
        <v>101</v>
      </c>
      <c r="U10">
        <v>102</v>
      </c>
      <c r="V10">
        <v>102</v>
      </c>
      <c r="W10">
        <v>101</v>
      </c>
      <c r="X10">
        <v>99</v>
      </c>
      <c r="Y10">
        <v>97</v>
      </c>
      <c r="Z10" s="2">
        <f>AVERAGE(Sheet1__4[[#This Row],[00:00:00]:[23:00:00]])</f>
        <v>111.8695652173913</v>
      </c>
      <c r="AA10" t="str" cm="1">
        <f t="array" ref="AA10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11" spans="1:27" x14ac:dyDescent="0.3">
      <c r="A11" s="1">
        <v>45757</v>
      </c>
      <c r="B11">
        <v>96</v>
      </c>
      <c r="C11">
        <v>94</v>
      </c>
      <c r="D11">
        <v>93</v>
      </c>
      <c r="E11">
        <v>94</v>
      </c>
      <c r="F11">
        <v>94</v>
      </c>
      <c r="G11">
        <v>94</v>
      </c>
      <c r="H11">
        <v>94</v>
      </c>
      <c r="I11">
        <v>87</v>
      </c>
      <c r="J11">
        <v>87</v>
      </c>
      <c r="K11">
        <v>86</v>
      </c>
      <c r="L11">
        <v>85</v>
      </c>
      <c r="M11">
        <v>85</v>
      </c>
      <c r="N11">
        <v>93</v>
      </c>
      <c r="O11">
        <v>93</v>
      </c>
      <c r="P11">
        <v>94</v>
      </c>
      <c r="Q11">
        <v>95</v>
      </c>
      <c r="R11">
        <v>95</v>
      </c>
      <c r="S11">
        <v>94</v>
      </c>
      <c r="T11">
        <v>92</v>
      </c>
      <c r="U11">
        <v>92</v>
      </c>
      <c r="V11">
        <v>92</v>
      </c>
      <c r="W11">
        <v>88</v>
      </c>
      <c r="X11">
        <v>88</v>
      </c>
      <c r="Y11">
        <v>88</v>
      </c>
      <c r="Z11" s="2">
        <f>AVERAGE(Sheet1__4[[#This Row],[00:00:00]:[23:00:00]])</f>
        <v>91.375</v>
      </c>
      <c r="AA11" t="str" cm="1">
        <f t="array" ref="AA11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12" spans="1:27" x14ac:dyDescent="0.3">
      <c r="A12" s="1">
        <v>45758</v>
      </c>
      <c r="B12">
        <v>88</v>
      </c>
      <c r="C12">
        <v>88</v>
      </c>
      <c r="D12">
        <v>87</v>
      </c>
      <c r="E12">
        <v>87</v>
      </c>
      <c r="G12">
        <v>86</v>
      </c>
      <c r="H12">
        <v>86</v>
      </c>
      <c r="I12">
        <v>87</v>
      </c>
      <c r="J12">
        <v>89</v>
      </c>
      <c r="K12">
        <v>90</v>
      </c>
      <c r="L12">
        <v>92</v>
      </c>
      <c r="M12">
        <v>92</v>
      </c>
      <c r="N12">
        <v>92</v>
      </c>
      <c r="O12">
        <v>92</v>
      </c>
      <c r="P12">
        <v>92</v>
      </c>
      <c r="Q12">
        <v>91</v>
      </c>
      <c r="R12">
        <v>91</v>
      </c>
      <c r="S12">
        <v>91</v>
      </c>
      <c r="T12">
        <v>91</v>
      </c>
      <c r="U12">
        <v>90</v>
      </c>
      <c r="V12">
        <v>90</v>
      </c>
      <c r="W12">
        <v>107</v>
      </c>
      <c r="X12">
        <v>92</v>
      </c>
      <c r="Y12">
        <v>93</v>
      </c>
      <c r="Z12" s="2">
        <f>AVERAGE(Sheet1__4[[#This Row],[00:00:00]:[23:00:00]])</f>
        <v>90.608695652173907</v>
      </c>
      <c r="AA12" t="str" cm="1">
        <f t="array" ref="AA12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13" spans="1:27" x14ac:dyDescent="0.3">
      <c r="A13" s="1">
        <v>45759</v>
      </c>
      <c r="B13">
        <v>94</v>
      </c>
      <c r="C13">
        <v>94</v>
      </c>
      <c r="D13">
        <v>96</v>
      </c>
      <c r="E13">
        <v>96</v>
      </c>
      <c r="F13">
        <v>97</v>
      </c>
      <c r="G13">
        <v>98</v>
      </c>
      <c r="H13">
        <v>98</v>
      </c>
      <c r="I13">
        <v>98</v>
      </c>
      <c r="J13">
        <v>97</v>
      </c>
      <c r="K13">
        <v>96</v>
      </c>
      <c r="L13">
        <v>95</v>
      </c>
      <c r="M13">
        <v>94</v>
      </c>
      <c r="N13">
        <v>93</v>
      </c>
      <c r="O13">
        <v>92</v>
      </c>
      <c r="P13">
        <v>92</v>
      </c>
      <c r="Q13">
        <v>91</v>
      </c>
      <c r="R13">
        <v>90</v>
      </c>
      <c r="S13">
        <v>90</v>
      </c>
      <c r="T13">
        <v>89</v>
      </c>
      <c r="U13">
        <v>90</v>
      </c>
      <c r="V13">
        <v>89</v>
      </c>
      <c r="W13">
        <v>87</v>
      </c>
      <c r="X13">
        <v>84</v>
      </c>
      <c r="Y13">
        <v>82</v>
      </c>
      <c r="Z13" s="2">
        <f>AVERAGE(Sheet1__4[[#This Row],[00:00:00]:[23:00:00]])</f>
        <v>92.583333333333329</v>
      </c>
      <c r="AA13" t="str" cm="1">
        <f t="array" ref="AA13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14" spans="1:27" x14ac:dyDescent="0.3">
      <c r="A14" s="1">
        <v>45760</v>
      </c>
      <c r="B14">
        <v>80</v>
      </c>
      <c r="C14">
        <v>79</v>
      </c>
      <c r="D14">
        <v>77</v>
      </c>
      <c r="E14">
        <v>75</v>
      </c>
      <c r="F14">
        <v>74</v>
      </c>
      <c r="G14">
        <v>72</v>
      </c>
      <c r="H14">
        <v>71</v>
      </c>
      <c r="I14">
        <v>70</v>
      </c>
      <c r="J14">
        <v>69</v>
      </c>
      <c r="K14">
        <v>69</v>
      </c>
      <c r="L14">
        <v>69</v>
      </c>
      <c r="M14">
        <v>69</v>
      </c>
      <c r="N14">
        <v>69</v>
      </c>
      <c r="O14">
        <v>70</v>
      </c>
      <c r="P14">
        <v>71</v>
      </c>
      <c r="Q14">
        <v>74</v>
      </c>
      <c r="R14">
        <v>78</v>
      </c>
      <c r="S14">
        <v>82</v>
      </c>
      <c r="T14">
        <v>84</v>
      </c>
      <c r="U14">
        <v>84</v>
      </c>
      <c r="V14">
        <v>83</v>
      </c>
      <c r="W14">
        <v>83</v>
      </c>
      <c r="X14">
        <v>77</v>
      </c>
      <c r="Y14">
        <v>80</v>
      </c>
      <c r="Z14" s="2">
        <f>AVERAGE(Sheet1__4[[#This Row],[00:00:00]:[23:00:00]])</f>
        <v>75.375</v>
      </c>
      <c r="AA14" t="str" cm="1">
        <f t="array" ref="AA14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15" spans="1:27" x14ac:dyDescent="0.3">
      <c r="A15" s="1">
        <v>45761</v>
      </c>
      <c r="B15">
        <v>82</v>
      </c>
      <c r="C15">
        <v>85</v>
      </c>
      <c r="D15">
        <v>98</v>
      </c>
      <c r="E15">
        <v>99</v>
      </c>
      <c r="F15">
        <v>99</v>
      </c>
      <c r="G15">
        <v>100</v>
      </c>
      <c r="H15">
        <v>100</v>
      </c>
      <c r="I15">
        <v>101</v>
      </c>
      <c r="J15">
        <v>101</v>
      </c>
      <c r="K15">
        <v>102</v>
      </c>
      <c r="L15">
        <v>101</v>
      </c>
      <c r="M15">
        <v>99</v>
      </c>
      <c r="N15">
        <v>99</v>
      </c>
      <c r="O15">
        <v>98</v>
      </c>
      <c r="P15">
        <v>97</v>
      </c>
      <c r="Q15">
        <v>97</v>
      </c>
      <c r="R15">
        <v>96</v>
      </c>
      <c r="S15">
        <v>99</v>
      </c>
      <c r="T15">
        <v>102</v>
      </c>
      <c r="U15">
        <v>101</v>
      </c>
      <c r="V15">
        <v>100</v>
      </c>
      <c r="W15">
        <v>97</v>
      </c>
      <c r="X15">
        <v>96</v>
      </c>
      <c r="Y15">
        <v>94</v>
      </c>
      <c r="Z15" s="2">
        <f>AVERAGE(Sheet1__4[[#This Row],[00:00:00]:[23:00:00]])</f>
        <v>97.625</v>
      </c>
      <c r="AA15" t="str" cm="1">
        <f t="array" ref="AA15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16" spans="1:27" x14ac:dyDescent="0.3">
      <c r="A16" s="1">
        <v>45762</v>
      </c>
      <c r="B16">
        <v>94</v>
      </c>
      <c r="C16">
        <v>94</v>
      </c>
      <c r="D16">
        <v>94</v>
      </c>
      <c r="E16">
        <v>95</v>
      </c>
      <c r="F16">
        <v>96</v>
      </c>
      <c r="G16">
        <v>98</v>
      </c>
      <c r="H16">
        <v>100</v>
      </c>
      <c r="I16">
        <v>102</v>
      </c>
      <c r="J16">
        <v>104</v>
      </c>
      <c r="K16">
        <v>104</v>
      </c>
      <c r="L16">
        <v>108</v>
      </c>
      <c r="M16">
        <v>109</v>
      </c>
      <c r="N16">
        <v>110</v>
      </c>
      <c r="O16">
        <v>110</v>
      </c>
      <c r="P16">
        <v>111</v>
      </c>
      <c r="Q16">
        <v>111</v>
      </c>
      <c r="R16">
        <v>111</v>
      </c>
      <c r="S16">
        <v>111</v>
      </c>
      <c r="T16">
        <v>111</v>
      </c>
      <c r="U16">
        <v>112</v>
      </c>
      <c r="V16">
        <v>112</v>
      </c>
      <c r="W16">
        <v>112</v>
      </c>
      <c r="X16">
        <v>113</v>
      </c>
      <c r="Y16">
        <v>113</v>
      </c>
      <c r="Z16" s="2">
        <f>AVERAGE(Sheet1__4[[#This Row],[00:00:00]:[23:00:00]])</f>
        <v>105.625</v>
      </c>
      <c r="AA16" t="str" cm="1">
        <f t="array" ref="AA16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17" spans="1:27" x14ac:dyDescent="0.3">
      <c r="A17" s="1">
        <v>45763</v>
      </c>
      <c r="B17">
        <v>112</v>
      </c>
      <c r="C17">
        <v>112</v>
      </c>
      <c r="D17">
        <v>110</v>
      </c>
      <c r="E17">
        <v>110</v>
      </c>
      <c r="F17">
        <v>108</v>
      </c>
      <c r="G17">
        <v>105</v>
      </c>
      <c r="H17">
        <v>102</v>
      </c>
      <c r="I17">
        <v>98</v>
      </c>
      <c r="J17">
        <v>95</v>
      </c>
      <c r="K17">
        <v>92</v>
      </c>
      <c r="L17">
        <v>90</v>
      </c>
      <c r="M17">
        <v>88</v>
      </c>
      <c r="N17">
        <v>86</v>
      </c>
      <c r="O17">
        <v>86</v>
      </c>
      <c r="P17">
        <v>86</v>
      </c>
      <c r="Q17">
        <v>85</v>
      </c>
      <c r="R17">
        <v>85</v>
      </c>
      <c r="S17">
        <v>85</v>
      </c>
      <c r="T17">
        <v>86</v>
      </c>
      <c r="U17">
        <v>86</v>
      </c>
      <c r="V17">
        <v>87</v>
      </c>
      <c r="W17">
        <v>87</v>
      </c>
      <c r="X17">
        <v>86</v>
      </c>
      <c r="Y17">
        <v>86</v>
      </c>
      <c r="Z17" s="2">
        <f>AVERAGE(Sheet1__4[[#This Row],[00:00:00]:[23:00:00]])</f>
        <v>93.875</v>
      </c>
      <c r="AA17" t="str" cm="1">
        <f t="array" ref="AA17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18" spans="1:27" x14ac:dyDescent="0.3">
      <c r="A18" s="1">
        <v>45764</v>
      </c>
      <c r="B18">
        <v>86</v>
      </c>
      <c r="C18">
        <v>86</v>
      </c>
      <c r="D18">
        <v>87</v>
      </c>
      <c r="E18">
        <v>87</v>
      </c>
      <c r="F18">
        <v>88</v>
      </c>
      <c r="G18">
        <v>90</v>
      </c>
      <c r="H18">
        <v>92</v>
      </c>
      <c r="I18">
        <v>94</v>
      </c>
      <c r="J18">
        <v>95</v>
      </c>
      <c r="K18">
        <v>96</v>
      </c>
      <c r="L18">
        <v>96</v>
      </c>
      <c r="M18">
        <v>97</v>
      </c>
      <c r="N18">
        <v>98</v>
      </c>
      <c r="O18">
        <v>98</v>
      </c>
      <c r="P18">
        <v>99</v>
      </c>
      <c r="Q18">
        <v>99</v>
      </c>
      <c r="R18">
        <v>99</v>
      </c>
      <c r="S18">
        <v>99</v>
      </c>
      <c r="T18">
        <v>99</v>
      </c>
      <c r="U18">
        <v>98</v>
      </c>
      <c r="V18">
        <v>96</v>
      </c>
      <c r="W18">
        <v>96</v>
      </c>
      <c r="X18">
        <v>98</v>
      </c>
      <c r="Y18">
        <v>100</v>
      </c>
      <c r="Z18" s="2">
        <f>AVERAGE(Sheet1__4[[#This Row],[00:00:00]:[23:00:00]])</f>
        <v>94.708333333333329</v>
      </c>
      <c r="AA18" t="str" cm="1">
        <f t="array" ref="AA18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19" spans="1:27" x14ac:dyDescent="0.3">
      <c r="A19" s="1">
        <v>45765</v>
      </c>
      <c r="B19">
        <v>102</v>
      </c>
      <c r="C19">
        <v>103</v>
      </c>
      <c r="D19">
        <v>105</v>
      </c>
      <c r="E19">
        <v>106</v>
      </c>
      <c r="F19">
        <v>107</v>
      </c>
      <c r="G19">
        <v>107</v>
      </c>
      <c r="H19">
        <v>108</v>
      </c>
      <c r="I19">
        <v>108</v>
      </c>
      <c r="J19">
        <v>109</v>
      </c>
      <c r="K19">
        <v>110</v>
      </c>
      <c r="L19">
        <v>111</v>
      </c>
      <c r="M19">
        <v>111</v>
      </c>
      <c r="N19">
        <v>112</v>
      </c>
      <c r="O19">
        <v>111</v>
      </c>
      <c r="P19">
        <v>111</v>
      </c>
      <c r="Q19">
        <v>110</v>
      </c>
      <c r="R19">
        <v>110</v>
      </c>
      <c r="S19">
        <v>110</v>
      </c>
      <c r="T19">
        <v>110</v>
      </c>
      <c r="U19">
        <v>109</v>
      </c>
      <c r="V19">
        <v>108</v>
      </c>
      <c r="W19">
        <v>107</v>
      </c>
      <c r="X19">
        <v>106</v>
      </c>
      <c r="Y19">
        <v>104</v>
      </c>
      <c r="Z19" s="2">
        <f>AVERAGE(Sheet1__4[[#This Row],[00:00:00]:[23:00:00]])</f>
        <v>108.125</v>
      </c>
      <c r="AA19" t="str" cm="1">
        <f t="array" ref="AA19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20" spans="1:27" x14ac:dyDescent="0.3">
      <c r="A20" s="1">
        <v>45766</v>
      </c>
      <c r="B20">
        <v>102</v>
      </c>
      <c r="C20">
        <v>101</v>
      </c>
      <c r="D20">
        <v>100</v>
      </c>
      <c r="E20">
        <v>99</v>
      </c>
      <c r="F20">
        <v>99</v>
      </c>
      <c r="G20">
        <v>97</v>
      </c>
      <c r="H20">
        <v>96</v>
      </c>
      <c r="I20">
        <v>96</v>
      </c>
      <c r="J20">
        <v>94</v>
      </c>
      <c r="K20">
        <v>94</v>
      </c>
      <c r="L20">
        <v>94</v>
      </c>
      <c r="M20">
        <v>94</v>
      </c>
      <c r="N20">
        <v>94</v>
      </c>
      <c r="O20">
        <v>99</v>
      </c>
      <c r="P20">
        <v>102</v>
      </c>
      <c r="Q20">
        <v>104</v>
      </c>
      <c r="R20">
        <v>104</v>
      </c>
      <c r="S20">
        <v>106</v>
      </c>
      <c r="T20">
        <v>106</v>
      </c>
      <c r="U20">
        <v>107</v>
      </c>
      <c r="V20">
        <v>109</v>
      </c>
      <c r="W20">
        <v>111</v>
      </c>
      <c r="X20">
        <v>108</v>
      </c>
      <c r="Y20">
        <v>109</v>
      </c>
      <c r="Z20" s="2">
        <f>AVERAGE(Sheet1__4[[#This Row],[00:00:00]:[23:00:00]])</f>
        <v>101.04166666666667</v>
      </c>
      <c r="AA20" t="str" cm="1">
        <f t="array" ref="AA20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21" spans="1:27" x14ac:dyDescent="0.3">
      <c r="A21" s="1">
        <v>45767</v>
      </c>
      <c r="B21">
        <v>112</v>
      </c>
      <c r="C21">
        <v>114</v>
      </c>
      <c r="D21">
        <v>115</v>
      </c>
      <c r="E21">
        <v>117</v>
      </c>
      <c r="F21">
        <v>118</v>
      </c>
      <c r="G21">
        <v>118</v>
      </c>
      <c r="H21">
        <v>118</v>
      </c>
      <c r="I21">
        <v>118</v>
      </c>
      <c r="J21">
        <v>117</v>
      </c>
      <c r="K21">
        <v>117</v>
      </c>
      <c r="L21">
        <v>116</v>
      </c>
      <c r="M21">
        <v>116</v>
      </c>
      <c r="N21">
        <v>115</v>
      </c>
      <c r="O21">
        <v>112</v>
      </c>
      <c r="P21">
        <v>109</v>
      </c>
      <c r="Q21">
        <v>108</v>
      </c>
      <c r="R21">
        <v>107</v>
      </c>
      <c r="S21">
        <v>107</v>
      </c>
      <c r="T21">
        <v>107</v>
      </c>
      <c r="U21">
        <v>106</v>
      </c>
      <c r="V21">
        <v>107</v>
      </c>
      <c r="W21">
        <v>107</v>
      </c>
      <c r="X21">
        <v>106</v>
      </c>
      <c r="Y21">
        <v>106</v>
      </c>
      <c r="Z21" s="2">
        <f>AVERAGE(Sheet1__4[[#This Row],[00:00:00]:[23:00:00]])</f>
        <v>112.20833333333333</v>
      </c>
      <c r="AA21" t="str" cm="1">
        <f t="array" ref="AA21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22" spans="1:27" x14ac:dyDescent="0.3">
      <c r="A22" s="1">
        <v>45768</v>
      </c>
      <c r="B22">
        <v>105</v>
      </c>
      <c r="C22">
        <v>104</v>
      </c>
      <c r="D22">
        <v>104</v>
      </c>
      <c r="E22">
        <v>103</v>
      </c>
      <c r="F22">
        <v>103</v>
      </c>
      <c r="G22">
        <v>105</v>
      </c>
      <c r="H22">
        <v>106</v>
      </c>
      <c r="I22">
        <v>108</v>
      </c>
      <c r="J22">
        <v>110</v>
      </c>
      <c r="K22">
        <v>114</v>
      </c>
      <c r="L22">
        <v>115</v>
      </c>
      <c r="M22">
        <v>115</v>
      </c>
      <c r="N22">
        <v>119</v>
      </c>
      <c r="O22">
        <v>121</v>
      </c>
      <c r="P22">
        <v>124</v>
      </c>
      <c r="Q22">
        <v>126</v>
      </c>
      <c r="R22">
        <v>128</v>
      </c>
      <c r="S22">
        <v>128</v>
      </c>
      <c r="T22">
        <v>129</v>
      </c>
      <c r="U22">
        <v>130</v>
      </c>
      <c r="V22">
        <v>130</v>
      </c>
      <c r="W22">
        <v>131</v>
      </c>
      <c r="X22">
        <v>131</v>
      </c>
      <c r="Y22">
        <v>131</v>
      </c>
      <c r="Z22" s="2">
        <f>AVERAGE(Sheet1__4[[#This Row],[00:00:00]:[23:00:00]])</f>
        <v>117.5</v>
      </c>
      <c r="AA22" t="str" cm="1">
        <f t="array" ref="AA22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23" spans="1:27" x14ac:dyDescent="0.3">
      <c r="A23" s="1">
        <v>45769</v>
      </c>
      <c r="B23">
        <v>131</v>
      </c>
      <c r="C23">
        <v>130</v>
      </c>
      <c r="D23">
        <v>130</v>
      </c>
      <c r="E23">
        <v>131</v>
      </c>
      <c r="F23">
        <v>130</v>
      </c>
      <c r="G23">
        <v>130</v>
      </c>
      <c r="H23">
        <v>130</v>
      </c>
      <c r="I23">
        <v>129</v>
      </c>
      <c r="J23">
        <v>130</v>
      </c>
      <c r="K23">
        <v>131</v>
      </c>
      <c r="L23">
        <v>133</v>
      </c>
      <c r="M23">
        <v>132</v>
      </c>
      <c r="N23">
        <v>133</v>
      </c>
      <c r="O23">
        <v>132</v>
      </c>
      <c r="P23">
        <v>139</v>
      </c>
      <c r="Q23">
        <v>139</v>
      </c>
      <c r="R23">
        <v>139</v>
      </c>
      <c r="S23">
        <v>133</v>
      </c>
      <c r="T23">
        <v>141</v>
      </c>
      <c r="U23">
        <v>134</v>
      </c>
      <c r="V23">
        <v>136</v>
      </c>
      <c r="W23">
        <v>139</v>
      </c>
      <c r="X23">
        <v>136</v>
      </c>
      <c r="Y23">
        <v>138</v>
      </c>
      <c r="Z23" s="2">
        <f>AVERAGE(Sheet1__4[[#This Row],[00:00:00]:[23:00:00]])</f>
        <v>133.58333333333334</v>
      </c>
      <c r="AA23" t="str" cm="1">
        <f t="array" ref="AA23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24" spans="1:27" x14ac:dyDescent="0.3">
      <c r="A24" s="1">
        <v>45770</v>
      </c>
      <c r="B24">
        <v>139</v>
      </c>
      <c r="C24">
        <v>139</v>
      </c>
      <c r="D24">
        <v>139</v>
      </c>
      <c r="G24">
        <v>140</v>
      </c>
      <c r="H24">
        <v>140</v>
      </c>
      <c r="I24">
        <v>140</v>
      </c>
      <c r="J24">
        <v>140</v>
      </c>
      <c r="K24">
        <v>139</v>
      </c>
      <c r="L24">
        <v>139</v>
      </c>
      <c r="M24">
        <v>138</v>
      </c>
      <c r="N24">
        <v>139</v>
      </c>
      <c r="O24">
        <v>147</v>
      </c>
      <c r="P24">
        <v>150</v>
      </c>
      <c r="Q24">
        <v>150</v>
      </c>
      <c r="R24">
        <v>139</v>
      </c>
      <c r="S24">
        <v>138</v>
      </c>
      <c r="T24">
        <v>140</v>
      </c>
      <c r="U24">
        <v>136</v>
      </c>
      <c r="V24">
        <v>136</v>
      </c>
      <c r="W24">
        <v>134</v>
      </c>
      <c r="X24">
        <v>132</v>
      </c>
      <c r="Y24">
        <v>129</v>
      </c>
      <c r="Z24" s="2">
        <f>AVERAGE(Sheet1__4[[#This Row],[00:00:00]:[23:00:00]])</f>
        <v>139.22727272727272</v>
      </c>
      <c r="AA24" t="str" cm="1">
        <f t="array" ref="AA24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25" spans="1:27" x14ac:dyDescent="0.3">
      <c r="A25" s="1">
        <v>45771</v>
      </c>
      <c r="B25">
        <v>129</v>
      </c>
      <c r="C25">
        <v>126</v>
      </c>
      <c r="D25">
        <v>125</v>
      </c>
      <c r="E25">
        <v>124</v>
      </c>
      <c r="F25">
        <v>122</v>
      </c>
      <c r="G25">
        <v>121</v>
      </c>
      <c r="H25">
        <v>120</v>
      </c>
      <c r="I25">
        <v>120</v>
      </c>
      <c r="J25">
        <v>119</v>
      </c>
      <c r="K25">
        <v>119</v>
      </c>
      <c r="L25">
        <v>118</v>
      </c>
      <c r="M25">
        <v>116</v>
      </c>
      <c r="N25">
        <v>114</v>
      </c>
      <c r="O25">
        <v>130</v>
      </c>
      <c r="P25">
        <v>130</v>
      </c>
      <c r="Q25">
        <v>128</v>
      </c>
      <c r="R25">
        <v>114</v>
      </c>
      <c r="S25">
        <v>116</v>
      </c>
      <c r="U25">
        <v>116</v>
      </c>
      <c r="V25">
        <v>121</v>
      </c>
      <c r="W25">
        <v>109</v>
      </c>
      <c r="X25">
        <v>115</v>
      </c>
      <c r="Y25">
        <v>108</v>
      </c>
      <c r="Z25" s="2">
        <f>AVERAGE(Sheet1__4[[#This Row],[00:00:00]:[23:00:00]])</f>
        <v>120</v>
      </c>
      <c r="AA25" t="str" cm="1">
        <f t="array" ref="AA25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26" spans="1:27" x14ac:dyDescent="0.3">
      <c r="A26" s="1">
        <v>45772</v>
      </c>
      <c r="B26">
        <v>109</v>
      </c>
      <c r="C26">
        <v>110</v>
      </c>
      <c r="D26">
        <v>112</v>
      </c>
      <c r="E26">
        <v>113</v>
      </c>
      <c r="F26">
        <v>116</v>
      </c>
      <c r="G26">
        <v>118</v>
      </c>
      <c r="H26">
        <v>121</v>
      </c>
      <c r="I26">
        <v>123</v>
      </c>
      <c r="J26">
        <v>125</v>
      </c>
      <c r="K26">
        <v>127</v>
      </c>
      <c r="L26">
        <v>131</v>
      </c>
      <c r="M26">
        <v>136</v>
      </c>
      <c r="N26">
        <v>140</v>
      </c>
      <c r="O26">
        <v>144</v>
      </c>
      <c r="P26">
        <v>145</v>
      </c>
      <c r="Q26">
        <v>146</v>
      </c>
      <c r="R26">
        <v>147</v>
      </c>
      <c r="S26">
        <v>148</v>
      </c>
      <c r="T26">
        <v>146</v>
      </c>
      <c r="U26">
        <v>146</v>
      </c>
      <c r="V26">
        <v>145</v>
      </c>
      <c r="W26">
        <v>146</v>
      </c>
      <c r="X26">
        <v>146</v>
      </c>
      <c r="Y26">
        <v>147</v>
      </c>
      <c r="Z26" s="2">
        <f>AVERAGE(Sheet1__4[[#This Row],[00:00:00]:[23:00:00]])</f>
        <v>132.79166666666666</v>
      </c>
      <c r="AA26" t="str" cm="1">
        <f t="array" ref="AA26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27" spans="1:27" x14ac:dyDescent="0.3">
      <c r="A27" s="1">
        <v>45773</v>
      </c>
      <c r="B27">
        <v>148</v>
      </c>
      <c r="C27">
        <v>147</v>
      </c>
      <c r="D27">
        <v>146</v>
      </c>
      <c r="E27">
        <v>145</v>
      </c>
      <c r="F27">
        <v>142</v>
      </c>
      <c r="G27">
        <v>139</v>
      </c>
      <c r="H27">
        <v>137</v>
      </c>
      <c r="I27">
        <v>134</v>
      </c>
      <c r="J27">
        <v>132</v>
      </c>
      <c r="K27">
        <v>129</v>
      </c>
      <c r="L27">
        <v>125</v>
      </c>
      <c r="M27">
        <v>121</v>
      </c>
      <c r="N27">
        <v>118</v>
      </c>
      <c r="O27">
        <v>115</v>
      </c>
      <c r="P27">
        <v>115</v>
      </c>
      <c r="Q27">
        <v>112</v>
      </c>
      <c r="R27">
        <v>111</v>
      </c>
      <c r="S27">
        <v>111</v>
      </c>
      <c r="T27">
        <v>110</v>
      </c>
      <c r="U27">
        <v>110</v>
      </c>
      <c r="V27">
        <v>111</v>
      </c>
      <c r="W27">
        <v>110</v>
      </c>
      <c r="X27">
        <v>107</v>
      </c>
      <c r="Y27">
        <v>104</v>
      </c>
      <c r="Z27" s="2">
        <f>AVERAGE(Sheet1__4[[#This Row],[00:00:00]:[23:00:00]])</f>
        <v>124.125</v>
      </c>
      <c r="AA27" t="str" cm="1">
        <f t="array" ref="AA27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28" spans="1:27" x14ac:dyDescent="0.3">
      <c r="A28" s="1">
        <v>45774</v>
      </c>
      <c r="B28">
        <v>102</v>
      </c>
      <c r="C28">
        <v>100</v>
      </c>
      <c r="D28">
        <v>99</v>
      </c>
      <c r="E28">
        <v>99</v>
      </c>
      <c r="F28">
        <v>98</v>
      </c>
      <c r="G28">
        <v>98</v>
      </c>
      <c r="H28">
        <v>98</v>
      </c>
      <c r="I28">
        <v>96</v>
      </c>
      <c r="J28">
        <v>96</v>
      </c>
      <c r="K28">
        <v>94</v>
      </c>
      <c r="L28">
        <v>92</v>
      </c>
      <c r="M28">
        <v>90</v>
      </c>
      <c r="N28">
        <v>90</v>
      </c>
      <c r="O28">
        <v>89</v>
      </c>
      <c r="P28">
        <v>87</v>
      </c>
      <c r="Q28">
        <v>86</v>
      </c>
      <c r="R28">
        <v>85</v>
      </c>
      <c r="S28">
        <v>84</v>
      </c>
      <c r="T28">
        <v>83</v>
      </c>
      <c r="U28">
        <v>82</v>
      </c>
      <c r="V28">
        <v>78</v>
      </c>
      <c r="W28">
        <v>77</v>
      </c>
      <c r="X28">
        <v>77</v>
      </c>
      <c r="Y28">
        <v>77</v>
      </c>
      <c r="Z28" s="2">
        <f>AVERAGE(Sheet1__4[[#This Row],[00:00:00]:[23:00:00]])</f>
        <v>89.875</v>
      </c>
      <c r="AA28" t="str" cm="1">
        <f t="array" ref="AA28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29" spans="1:27" x14ac:dyDescent="0.3">
      <c r="A29" s="1">
        <v>45775</v>
      </c>
      <c r="B29">
        <v>76</v>
      </c>
      <c r="C29">
        <v>75</v>
      </c>
      <c r="D29">
        <v>74</v>
      </c>
      <c r="E29">
        <v>72</v>
      </c>
      <c r="F29">
        <v>70</v>
      </c>
      <c r="G29">
        <v>69</v>
      </c>
      <c r="H29">
        <v>68</v>
      </c>
      <c r="I29">
        <v>68</v>
      </c>
      <c r="J29">
        <v>69</v>
      </c>
      <c r="K29">
        <v>70</v>
      </c>
      <c r="L29">
        <v>70</v>
      </c>
      <c r="M29">
        <v>72</v>
      </c>
      <c r="N29">
        <v>72</v>
      </c>
      <c r="O29">
        <v>72</v>
      </c>
      <c r="P29">
        <v>72</v>
      </c>
      <c r="Q29">
        <v>73</v>
      </c>
      <c r="R29">
        <v>74</v>
      </c>
      <c r="S29">
        <v>74</v>
      </c>
      <c r="T29">
        <v>76</v>
      </c>
      <c r="U29">
        <v>77</v>
      </c>
      <c r="V29">
        <v>78</v>
      </c>
      <c r="W29">
        <v>78</v>
      </c>
      <c r="X29">
        <v>78</v>
      </c>
      <c r="Y29">
        <v>79</v>
      </c>
      <c r="Z29" s="2">
        <f>AVERAGE(Sheet1__4[[#This Row],[00:00:00]:[23:00:00]])</f>
        <v>73.166666666666671</v>
      </c>
      <c r="AA29" t="str" cm="1">
        <f t="array" ref="AA29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30" spans="1:27" x14ac:dyDescent="0.3">
      <c r="A30" s="1">
        <v>45776</v>
      </c>
      <c r="B30">
        <v>80</v>
      </c>
      <c r="C30">
        <v>81</v>
      </c>
      <c r="D30">
        <v>82</v>
      </c>
      <c r="E30">
        <v>84</v>
      </c>
      <c r="F30">
        <v>86</v>
      </c>
      <c r="G30">
        <v>87</v>
      </c>
      <c r="H30">
        <v>88</v>
      </c>
      <c r="I30">
        <v>88</v>
      </c>
      <c r="J30">
        <v>88</v>
      </c>
      <c r="K30">
        <v>89</v>
      </c>
      <c r="L30">
        <v>89</v>
      </c>
      <c r="M30">
        <v>88</v>
      </c>
      <c r="N30">
        <v>89</v>
      </c>
      <c r="O30">
        <v>89</v>
      </c>
      <c r="P30">
        <v>89</v>
      </c>
      <c r="Q30">
        <v>89</v>
      </c>
      <c r="R30">
        <v>90</v>
      </c>
      <c r="S30">
        <v>90</v>
      </c>
      <c r="T30">
        <v>92</v>
      </c>
      <c r="U30">
        <v>94</v>
      </c>
      <c r="V30">
        <v>94</v>
      </c>
      <c r="W30">
        <v>94</v>
      </c>
      <c r="X30">
        <v>94</v>
      </c>
      <c r="Y30">
        <v>92</v>
      </c>
      <c r="Z30" s="2">
        <f>AVERAGE(Sheet1__4[[#This Row],[00:00:00]:[23:00:00]])</f>
        <v>88.583333333333329</v>
      </c>
      <c r="AA30" t="str" cm="1">
        <f t="array" ref="AA30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31" spans="1:27" x14ac:dyDescent="0.3">
      <c r="A31" s="1">
        <v>45777</v>
      </c>
      <c r="B31">
        <v>92</v>
      </c>
      <c r="C31">
        <v>91</v>
      </c>
      <c r="D31">
        <v>90</v>
      </c>
      <c r="E31">
        <v>89</v>
      </c>
      <c r="F31">
        <v>88</v>
      </c>
      <c r="G31">
        <v>88</v>
      </c>
      <c r="H31">
        <v>87</v>
      </c>
      <c r="I31">
        <v>87</v>
      </c>
      <c r="J31">
        <v>86</v>
      </c>
      <c r="K31">
        <v>86</v>
      </c>
      <c r="L31">
        <v>86</v>
      </c>
      <c r="M31">
        <v>86</v>
      </c>
      <c r="N31">
        <v>86</v>
      </c>
      <c r="O31">
        <v>87</v>
      </c>
      <c r="P31">
        <v>87</v>
      </c>
      <c r="Q31">
        <v>106</v>
      </c>
      <c r="R31">
        <v>106</v>
      </c>
      <c r="S31">
        <v>107</v>
      </c>
      <c r="T31">
        <v>95</v>
      </c>
      <c r="U31">
        <v>96</v>
      </c>
      <c r="V31">
        <v>96</v>
      </c>
      <c r="W31">
        <v>95</v>
      </c>
      <c r="X31">
        <v>93</v>
      </c>
      <c r="Y31">
        <v>92</v>
      </c>
      <c r="Z31" s="2">
        <f>AVERAGE(Sheet1__4[[#This Row],[00:00:00]:[23:00:00]])</f>
        <v>91.75</v>
      </c>
      <c r="AA31" t="str" cm="1">
        <f t="array" ref="AA31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</sheetData>
  <conditionalFormatting sqref="AA1:AA1048576">
    <cfRule type="containsText" dxfId="80" priority="3" operator="containsText" text="BAD">
      <formula>NOT(ISERROR(SEARCH("BAD",AA1)))</formula>
    </cfRule>
    <cfRule type="containsText" dxfId="81" priority="2" operator="containsText" text="MODERATE">
      <formula>NOT(ISERROR(SEARCH("MODERATE",AA1)))</formula>
    </cfRule>
    <cfRule type="containsText" dxfId="82" priority="1" operator="containsText" text="VERY BAD">
      <formula>NOT(ISERROR(SEARCH("VERY BAD",AA1)))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97C62-707E-4DC8-9E7A-F32C7E0520BC}">
  <dimension ref="A1:AA33"/>
  <sheetViews>
    <sheetView topLeftCell="A10" workbookViewId="0">
      <selection activeCell="AC28" sqref="AC28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21.5546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45778</v>
      </c>
      <c r="B2">
        <v>92</v>
      </c>
      <c r="C2">
        <v>94</v>
      </c>
      <c r="D2">
        <v>95</v>
      </c>
      <c r="E2">
        <v>96</v>
      </c>
      <c r="F2">
        <v>96</v>
      </c>
      <c r="G2">
        <v>96</v>
      </c>
      <c r="H2">
        <v>97</v>
      </c>
      <c r="I2">
        <v>97</v>
      </c>
      <c r="J2">
        <v>97</v>
      </c>
      <c r="K2">
        <v>96</v>
      </c>
      <c r="L2">
        <v>95</v>
      </c>
      <c r="M2">
        <v>94</v>
      </c>
      <c r="N2">
        <v>93</v>
      </c>
      <c r="O2">
        <v>93</v>
      </c>
      <c r="P2">
        <v>91</v>
      </c>
      <c r="Q2">
        <v>90</v>
      </c>
      <c r="R2">
        <v>88</v>
      </c>
      <c r="S2">
        <v>87</v>
      </c>
      <c r="T2">
        <v>87</v>
      </c>
      <c r="U2">
        <v>87</v>
      </c>
      <c r="V2">
        <v>89</v>
      </c>
      <c r="W2">
        <v>89</v>
      </c>
      <c r="X2">
        <v>89</v>
      </c>
      <c r="Y2">
        <v>88</v>
      </c>
      <c r="Z2" s="2">
        <f>AVERAGE(Sheet1__5[[#This Row],[00:00:00]:[23:00:00]])</f>
        <v>92.333333333333329</v>
      </c>
      <c r="AA2" t="str" cm="1">
        <f t="array" ref="AA2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3" spans="1:27" x14ac:dyDescent="0.3">
      <c r="A3" s="1">
        <v>45779</v>
      </c>
      <c r="B3">
        <v>82</v>
      </c>
      <c r="C3">
        <v>80</v>
      </c>
      <c r="D3">
        <v>77</v>
      </c>
      <c r="E3">
        <v>76</v>
      </c>
      <c r="F3">
        <v>74</v>
      </c>
      <c r="G3">
        <v>74</v>
      </c>
      <c r="H3">
        <v>74</v>
      </c>
      <c r="I3">
        <v>74</v>
      </c>
      <c r="J3">
        <v>73</v>
      </c>
      <c r="K3">
        <v>72</v>
      </c>
      <c r="L3">
        <v>73</v>
      </c>
      <c r="M3">
        <v>73</v>
      </c>
      <c r="N3">
        <v>74</v>
      </c>
      <c r="O3">
        <v>74</v>
      </c>
      <c r="P3">
        <v>74</v>
      </c>
      <c r="Q3">
        <v>77</v>
      </c>
      <c r="R3">
        <v>80</v>
      </c>
      <c r="S3">
        <v>82</v>
      </c>
      <c r="T3">
        <v>86</v>
      </c>
      <c r="U3">
        <v>88</v>
      </c>
      <c r="V3">
        <v>86</v>
      </c>
      <c r="W3">
        <v>85</v>
      </c>
      <c r="X3">
        <v>84</v>
      </c>
      <c r="Y3">
        <v>82</v>
      </c>
      <c r="Z3" s="2">
        <f>AVERAGE(Sheet1__5[[#This Row],[00:00:00]:[23:00:00]])</f>
        <v>78.083333333333329</v>
      </c>
      <c r="AA3" t="str" cm="1">
        <f t="array" ref="AA3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4" spans="1:27" x14ac:dyDescent="0.3">
      <c r="A4" s="1">
        <v>45780</v>
      </c>
      <c r="B4">
        <v>80</v>
      </c>
      <c r="C4">
        <v>79</v>
      </c>
      <c r="D4">
        <v>80</v>
      </c>
      <c r="E4">
        <v>81</v>
      </c>
      <c r="F4">
        <v>82</v>
      </c>
      <c r="G4">
        <v>84</v>
      </c>
      <c r="H4">
        <v>85</v>
      </c>
      <c r="I4">
        <v>86</v>
      </c>
      <c r="J4">
        <v>88</v>
      </c>
      <c r="K4">
        <v>90</v>
      </c>
      <c r="L4">
        <v>90</v>
      </c>
      <c r="M4">
        <v>90</v>
      </c>
      <c r="N4">
        <v>91</v>
      </c>
      <c r="O4">
        <v>92</v>
      </c>
      <c r="P4">
        <v>92</v>
      </c>
      <c r="Q4">
        <v>92</v>
      </c>
      <c r="R4">
        <v>93</v>
      </c>
      <c r="S4">
        <v>94</v>
      </c>
      <c r="T4">
        <v>95</v>
      </c>
      <c r="U4">
        <v>96</v>
      </c>
      <c r="V4">
        <v>97</v>
      </c>
      <c r="W4">
        <v>96</v>
      </c>
      <c r="X4">
        <v>96</v>
      </c>
      <c r="Y4">
        <v>96</v>
      </c>
      <c r="Z4" s="2">
        <f>AVERAGE(Sheet1__5[[#This Row],[00:00:00]:[23:00:00]])</f>
        <v>89.375</v>
      </c>
      <c r="AA4" t="str" cm="1">
        <f t="array" ref="AA4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5" spans="1:27" x14ac:dyDescent="0.3">
      <c r="A5" s="1">
        <v>45781</v>
      </c>
      <c r="B5">
        <v>95</v>
      </c>
      <c r="C5">
        <v>94</v>
      </c>
      <c r="D5">
        <v>93</v>
      </c>
      <c r="E5">
        <v>93</v>
      </c>
      <c r="F5">
        <v>92</v>
      </c>
      <c r="G5">
        <v>91</v>
      </c>
      <c r="H5">
        <v>90</v>
      </c>
      <c r="I5">
        <v>88</v>
      </c>
      <c r="J5">
        <v>86</v>
      </c>
      <c r="K5">
        <v>84</v>
      </c>
      <c r="L5">
        <v>83</v>
      </c>
      <c r="M5">
        <v>82</v>
      </c>
      <c r="N5">
        <v>82</v>
      </c>
      <c r="O5">
        <v>82</v>
      </c>
      <c r="P5">
        <v>82</v>
      </c>
      <c r="Q5">
        <v>82</v>
      </c>
      <c r="R5">
        <v>83</v>
      </c>
      <c r="S5">
        <v>83</v>
      </c>
      <c r="T5">
        <v>82</v>
      </c>
      <c r="U5">
        <v>82</v>
      </c>
      <c r="V5">
        <v>79</v>
      </c>
      <c r="W5">
        <v>77</v>
      </c>
      <c r="X5">
        <v>76</v>
      </c>
      <c r="Y5">
        <v>76</v>
      </c>
      <c r="Z5" s="2">
        <f>AVERAGE(Sheet1__5[[#This Row],[00:00:00]:[23:00:00]])</f>
        <v>84.875</v>
      </c>
      <c r="AA5" t="str" cm="1">
        <f t="array" ref="AA5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6" spans="1:27" x14ac:dyDescent="0.3">
      <c r="A6" s="1">
        <v>45782</v>
      </c>
      <c r="B6">
        <v>74</v>
      </c>
      <c r="C6">
        <v>73</v>
      </c>
      <c r="D6">
        <v>72</v>
      </c>
      <c r="E6">
        <v>71</v>
      </c>
      <c r="F6">
        <v>70</v>
      </c>
      <c r="G6">
        <v>69</v>
      </c>
      <c r="H6">
        <v>69</v>
      </c>
      <c r="I6">
        <v>68</v>
      </c>
      <c r="J6">
        <v>68</v>
      </c>
      <c r="K6">
        <v>67</v>
      </c>
      <c r="L6">
        <v>66</v>
      </c>
      <c r="M6">
        <v>66</v>
      </c>
      <c r="N6">
        <v>65</v>
      </c>
      <c r="O6">
        <v>64</v>
      </c>
      <c r="P6">
        <v>63</v>
      </c>
      <c r="Q6">
        <v>62</v>
      </c>
      <c r="R6">
        <v>60</v>
      </c>
      <c r="S6">
        <v>60</v>
      </c>
      <c r="T6">
        <v>60</v>
      </c>
      <c r="U6">
        <v>63</v>
      </c>
      <c r="V6">
        <v>65</v>
      </c>
      <c r="W6">
        <v>65</v>
      </c>
      <c r="X6">
        <v>124</v>
      </c>
      <c r="Y6">
        <v>122</v>
      </c>
      <c r="Z6" s="2">
        <f>AVERAGE(Sheet1__5[[#This Row],[00:00:00]:[23:00:00]])</f>
        <v>71.083333333333329</v>
      </c>
      <c r="AA6" t="str" cm="1">
        <f t="array" ref="AA6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7" spans="1:27" x14ac:dyDescent="0.3">
      <c r="A7" s="1">
        <v>45783</v>
      </c>
      <c r="B7">
        <v>74</v>
      </c>
      <c r="C7">
        <v>76</v>
      </c>
      <c r="D7">
        <v>73</v>
      </c>
      <c r="E7">
        <v>73</v>
      </c>
      <c r="F7">
        <v>71</v>
      </c>
      <c r="G7">
        <v>70</v>
      </c>
      <c r="H7">
        <v>68</v>
      </c>
      <c r="I7">
        <v>65</v>
      </c>
      <c r="J7">
        <v>66</v>
      </c>
      <c r="K7">
        <v>67</v>
      </c>
      <c r="L7">
        <v>68</v>
      </c>
      <c r="M7">
        <v>69</v>
      </c>
      <c r="N7">
        <v>70</v>
      </c>
      <c r="O7">
        <v>70</v>
      </c>
      <c r="P7">
        <v>70</v>
      </c>
      <c r="Q7">
        <v>70</v>
      </c>
      <c r="R7">
        <v>71</v>
      </c>
      <c r="S7">
        <v>73</v>
      </c>
      <c r="T7">
        <v>74</v>
      </c>
      <c r="U7">
        <v>74</v>
      </c>
      <c r="V7">
        <v>73</v>
      </c>
      <c r="W7">
        <v>72</v>
      </c>
      <c r="X7">
        <v>69</v>
      </c>
      <c r="Y7">
        <v>69</v>
      </c>
      <c r="Z7" s="2">
        <f>AVERAGE(Sheet1__5[[#This Row],[00:00:00]:[23:00:00]])</f>
        <v>70.625</v>
      </c>
      <c r="AA7" t="str" cm="1">
        <f t="array" ref="AA7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8" spans="1:27" x14ac:dyDescent="0.3">
      <c r="A8" s="1">
        <v>45784</v>
      </c>
      <c r="B8">
        <v>70</v>
      </c>
      <c r="C8">
        <v>71</v>
      </c>
      <c r="D8">
        <v>79</v>
      </c>
      <c r="E8">
        <v>79</v>
      </c>
      <c r="F8">
        <v>78</v>
      </c>
      <c r="G8">
        <v>78</v>
      </c>
      <c r="H8">
        <v>77</v>
      </c>
      <c r="I8">
        <v>77</v>
      </c>
      <c r="J8">
        <v>77</v>
      </c>
      <c r="K8">
        <v>77</v>
      </c>
      <c r="L8">
        <v>76</v>
      </c>
      <c r="M8">
        <v>76</v>
      </c>
      <c r="N8">
        <v>76</v>
      </c>
      <c r="O8">
        <v>75</v>
      </c>
      <c r="P8">
        <v>75</v>
      </c>
      <c r="Q8">
        <v>74</v>
      </c>
      <c r="R8">
        <v>76</v>
      </c>
      <c r="S8">
        <v>77</v>
      </c>
      <c r="T8">
        <v>77</v>
      </c>
      <c r="U8">
        <v>77</v>
      </c>
      <c r="V8">
        <v>76</v>
      </c>
      <c r="W8">
        <v>66</v>
      </c>
      <c r="X8">
        <v>64</v>
      </c>
      <c r="Y8">
        <v>63</v>
      </c>
      <c r="Z8" s="2">
        <f>AVERAGE(Sheet1__5[[#This Row],[00:00:00]:[23:00:00]])</f>
        <v>74.625</v>
      </c>
      <c r="AA8" t="str" cm="1">
        <f t="array" ref="AA8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9" spans="1:27" x14ac:dyDescent="0.3">
      <c r="A9" s="1">
        <v>45785</v>
      </c>
      <c r="B9">
        <v>61</v>
      </c>
      <c r="C9">
        <v>60</v>
      </c>
      <c r="D9">
        <v>60</v>
      </c>
      <c r="E9">
        <v>60</v>
      </c>
      <c r="F9">
        <v>60</v>
      </c>
      <c r="G9">
        <v>60</v>
      </c>
      <c r="H9">
        <v>60</v>
      </c>
      <c r="I9">
        <v>61</v>
      </c>
      <c r="J9">
        <v>61</v>
      </c>
      <c r="K9">
        <v>62</v>
      </c>
      <c r="L9">
        <v>62</v>
      </c>
      <c r="M9">
        <v>62</v>
      </c>
      <c r="N9">
        <v>61</v>
      </c>
      <c r="O9">
        <v>61</v>
      </c>
      <c r="P9">
        <v>60</v>
      </c>
      <c r="Q9">
        <v>60</v>
      </c>
      <c r="R9">
        <v>59</v>
      </c>
      <c r="S9">
        <v>59</v>
      </c>
      <c r="T9">
        <v>59</v>
      </c>
      <c r="U9">
        <v>59</v>
      </c>
      <c r="V9">
        <v>58</v>
      </c>
      <c r="W9">
        <v>59</v>
      </c>
      <c r="X9">
        <v>60</v>
      </c>
      <c r="Y9">
        <v>60</v>
      </c>
      <c r="Z9" s="2">
        <f>AVERAGE(Sheet1__5[[#This Row],[00:00:00]:[23:00:00]])</f>
        <v>60.166666666666664</v>
      </c>
      <c r="AA9" t="str" cm="1">
        <f t="array" ref="AA9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0" spans="1:27" x14ac:dyDescent="0.3">
      <c r="A10" s="1">
        <v>45786</v>
      </c>
      <c r="B10">
        <v>60</v>
      </c>
      <c r="C10">
        <v>62</v>
      </c>
      <c r="D10">
        <v>63</v>
      </c>
      <c r="E10">
        <v>64</v>
      </c>
      <c r="F10">
        <v>66</v>
      </c>
      <c r="G10">
        <v>66</v>
      </c>
      <c r="H10">
        <v>63</v>
      </c>
      <c r="I10">
        <v>62</v>
      </c>
      <c r="J10">
        <v>62</v>
      </c>
      <c r="K10">
        <v>60</v>
      </c>
      <c r="M10">
        <v>66</v>
      </c>
      <c r="N10">
        <v>68</v>
      </c>
      <c r="O10">
        <v>68</v>
      </c>
      <c r="P10">
        <v>69</v>
      </c>
      <c r="Q10">
        <v>70</v>
      </c>
      <c r="R10">
        <v>70</v>
      </c>
      <c r="S10">
        <v>71</v>
      </c>
      <c r="T10">
        <v>71</v>
      </c>
      <c r="U10">
        <v>77</v>
      </c>
      <c r="V10">
        <v>78</v>
      </c>
      <c r="W10">
        <v>80</v>
      </c>
      <c r="X10">
        <v>81</v>
      </c>
      <c r="Y10">
        <v>82</v>
      </c>
      <c r="Z10" s="2">
        <f>AVERAGE(Sheet1__5[[#This Row],[00:00:00]:[23:00:00]])</f>
        <v>68.652173913043484</v>
      </c>
      <c r="AA10" t="str" cm="1">
        <f t="array" ref="AA10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1" spans="1:27" x14ac:dyDescent="0.3">
      <c r="A11" s="1">
        <v>45787</v>
      </c>
      <c r="B11">
        <v>82</v>
      </c>
      <c r="C11">
        <v>82</v>
      </c>
      <c r="D11">
        <v>82</v>
      </c>
      <c r="E11">
        <v>80</v>
      </c>
      <c r="F11">
        <v>82</v>
      </c>
      <c r="G11">
        <v>79</v>
      </c>
      <c r="H11">
        <v>80</v>
      </c>
      <c r="I11">
        <v>83</v>
      </c>
      <c r="J11">
        <v>85</v>
      </c>
      <c r="K11">
        <v>86</v>
      </c>
      <c r="L11">
        <v>134</v>
      </c>
      <c r="M11">
        <v>112</v>
      </c>
      <c r="N11">
        <v>130</v>
      </c>
      <c r="O11">
        <v>144</v>
      </c>
      <c r="P11">
        <v>144</v>
      </c>
      <c r="Q11">
        <v>106</v>
      </c>
      <c r="R11">
        <v>112</v>
      </c>
      <c r="S11">
        <v>145</v>
      </c>
      <c r="T11">
        <v>120</v>
      </c>
      <c r="U11">
        <v>120</v>
      </c>
      <c r="V11">
        <v>108</v>
      </c>
      <c r="W11">
        <v>108</v>
      </c>
      <c r="X11">
        <v>92</v>
      </c>
      <c r="Y11">
        <v>92</v>
      </c>
      <c r="Z11" s="2">
        <f>AVERAGE(Sheet1__5[[#This Row],[00:00:00]:[23:00:00]])</f>
        <v>103.66666666666667</v>
      </c>
      <c r="AA11" t="str" cm="1">
        <f t="array" ref="AA11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BAD</v>
      </c>
    </row>
    <row r="12" spans="1:27" x14ac:dyDescent="0.3">
      <c r="A12" s="1">
        <v>45788</v>
      </c>
      <c r="B12">
        <v>92</v>
      </c>
      <c r="C12">
        <v>96</v>
      </c>
      <c r="D12">
        <v>99</v>
      </c>
      <c r="E12">
        <v>99</v>
      </c>
      <c r="F12">
        <v>99</v>
      </c>
      <c r="G12">
        <v>98</v>
      </c>
      <c r="H12">
        <v>97</v>
      </c>
      <c r="I12">
        <v>96</v>
      </c>
      <c r="J12">
        <v>95</v>
      </c>
      <c r="K12">
        <v>93</v>
      </c>
      <c r="L12">
        <v>92</v>
      </c>
      <c r="M12">
        <v>93</v>
      </c>
      <c r="N12">
        <v>93</v>
      </c>
      <c r="O12">
        <v>92</v>
      </c>
      <c r="P12">
        <v>92</v>
      </c>
      <c r="Q12">
        <v>91</v>
      </c>
      <c r="R12">
        <v>92</v>
      </c>
      <c r="S12">
        <v>92</v>
      </c>
      <c r="T12">
        <v>91</v>
      </c>
      <c r="U12">
        <v>90</v>
      </c>
      <c r="V12">
        <v>90</v>
      </c>
      <c r="W12">
        <v>90</v>
      </c>
      <c r="X12">
        <v>92</v>
      </c>
      <c r="Y12">
        <v>94</v>
      </c>
      <c r="Z12" s="2">
        <f>AVERAGE(Sheet1__5[[#This Row],[00:00:00]:[23:00:00]])</f>
        <v>93.666666666666671</v>
      </c>
      <c r="AA12" t="str" cm="1">
        <f t="array" ref="AA12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3" spans="1:27" x14ac:dyDescent="0.3">
      <c r="A13" s="1">
        <v>45789</v>
      </c>
      <c r="B13">
        <v>98</v>
      </c>
      <c r="D13">
        <v>95</v>
      </c>
      <c r="E13">
        <v>95</v>
      </c>
      <c r="F13">
        <v>94</v>
      </c>
      <c r="G13">
        <v>93</v>
      </c>
      <c r="H13">
        <v>93</v>
      </c>
      <c r="I13">
        <v>92</v>
      </c>
      <c r="J13">
        <v>91</v>
      </c>
      <c r="K13">
        <v>91</v>
      </c>
      <c r="L13">
        <v>92</v>
      </c>
      <c r="M13">
        <v>91</v>
      </c>
      <c r="N13">
        <v>90</v>
      </c>
      <c r="O13">
        <v>89</v>
      </c>
      <c r="P13">
        <v>88</v>
      </c>
      <c r="Q13">
        <v>88</v>
      </c>
      <c r="R13">
        <v>88</v>
      </c>
      <c r="S13">
        <v>87</v>
      </c>
      <c r="T13">
        <v>86</v>
      </c>
      <c r="U13">
        <v>85</v>
      </c>
      <c r="V13">
        <v>85</v>
      </c>
      <c r="W13">
        <v>83</v>
      </c>
      <c r="X13">
        <v>82</v>
      </c>
      <c r="Y13">
        <v>84</v>
      </c>
      <c r="Z13" s="2">
        <f>AVERAGE(Sheet1__5[[#This Row],[00:00:00]:[23:00:00]])</f>
        <v>89.565217391304344</v>
      </c>
      <c r="AA13" t="str" cm="1">
        <f t="array" ref="AA13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4" spans="1:27" x14ac:dyDescent="0.3">
      <c r="A14" s="1">
        <v>45790</v>
      </c>
      <c r="B14">
        <v>86</v>
      </c>
      <c r="C14">
        <v>87</v>
      </c>
      <c r="D14">
        <v>87</v>
      </c>
      <c r="E14">
        <v>86</v>
      </c>
      <c r="F14">
        <v>84</v>
      </c>
      <c r="G14">
        <v>82</v>
      </c>
      <c r="H14">
        <v>80</v>
      </c>
      <c r="I14">
        <v>80</v>
      </c>
      <c r="J14">
        <v>81</v>
      </c>
      <c r="K14">
        <v>82</v>
      </c>
      <c r="L14">
        <v>83</v>
      </c>
      <c r="M14">
        <v>84</v>
      </c>
      <c r="N14">
        <v>85</v>
      </c>
      <c r="O14">
        <v>85</v>
      </c>
      <c r="P14">
        <v>86</v>
      </c>
      <c r="Q14">
        <v>86</v>
      </c>
      <c r="R14">
        <v>86</v>
      </c>
      <c r="S14">
        <v>88</v>
      </c>
      <c r="T14">
        <v>89</v>
      </c>
      <c r="U14">
        <v>90</v>
      </c>
      <c r="V14">
        <v>90</v>
      </c>
      <c r="W14">
        <v>89</v>
      </c>
      <c r="X14">
        <v>87</v>
      </c>
      <c r="Y14">
        <v>84</v>
      </c>
      <c r="Z14" s="2">
        <f>AVERAGE(Sheet1__5[[#This Row],[00:00:00]:[23:00:00]])</f>
        <v>85.291666666666671</v>
      </c>
      <c r="AA14" t="str" cm="1">
        <f t="array" ref="AA14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5" spans="1:27" x14ac:dyDescent="0.3">
      <c r="A15" s="1">
        <v>45791</v>
      </c>
      <c r="B15">
        <v>82</v>
      </c>
      <c r="C15">
        <v>77</v>
      </c>
      <c r="D15">
        <v>74</v>
      </c>
      <c r="E15">
        <v>73</v>
      </c>
      <c r="F15">
        <v>72</v>
      </c>
      <c r="G15">
        <v>71</v>
      </c>
      <c r="H15">
        <v>65</v>
      </c>
      <c r="I15">
        <v>64</v>
      </c>
      <c r="J15">
        <v>63</v>
      </c>
      <c r="K15">
        <v>63</v>
      </c>
      <c r="L15">
        <v>63</v>
      </c>
      <c r="M15">
        <v>62</v>
      </c>
      <c r="N15">
        <v>63</v>
      </c>
      <c r="O15">
        <v>63</v>
      </c>
      <c r="P15">
        <v>62</v>
      </c>
      <c r="Q15">
        <v>62</v>
      </c>
      <c r="R15">
        <v>62</v>
      </c>
      <c r="S15">
        <v>64</v>
      </c>
      <c r="T15">
        <v>68</v>
      </c>
      <c r="U15">
        <v>67</v>
      </c>
      <c r="V15">
        <v>64</v>
      </c>
      <c r="W15">
        <v>62</v>
      </c>
      <c r="X15">
        <v>60</v>
      </c>
      <c r="Y15">
        <v>62</v>
      </c>
      <c r="Z15" s="2">
        <f>AVERAGE(Sheet1__5[[#This Row],[00:00:00]:[23:00:00]])</f>
        <v>66.166666666666671</v>
      </c>
      <c r="AA15" t="str" cm="1">
        <f t="array" ref="AA15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6" spans="1:27" x14ac:dyDescent="0.3">
      <c r="A16" s="1">
        <v>45792</v>
      </c>
      <c r="B16">
        <v>63</v>
      </c>
      <c r="C16">
        <v>63</v>
      </c>
      <c r="D16">
        <v>64</v>
      </c>
      <c r="E16">
        <v>64</v>
      </c>
      <c r="F16">
        <v>64</v>
      </c>
      <c r="G16">
        <v>64</v>
      </c>
      <c r="H16">
        <v>63</v>
      </c>
      <c r="I16">
        <v>63</v>
      </c>
      <c r="J16">
        <v>62</v>
      </c>
      <c r="K16">
        <v>62</v>
      </c>
      <c r="L16">
        <v>62</v>
      </c>
      <c r="M16">
        <v>61</v>
      </c>
      <c r="N16">
        <v>61</v>
      </c>
      <c r="O16">
        <v>61</v>
      </c>
      <c r="P16">
        <v>61</v>
      </c>
      <c r="Q16">
        <v>62</v>
      </c>
      <c r="R16">
        <v>62</v>
      </c>
      <c r="S16">
        <v>63</v>
      </c>
      <c r="U16">
        <v>64</v>
      </c>
      <c r="V16">
        <v>88</v>
      </c>
      <c r="W16">
        <v>67</v>
      </c>
      <c r="X16">
        <v>69</v>
      </c>
      <c r="Y16">
        <v>69</v>
      </c>
      <c r="Z16" s="2">
        <f>AVERAGE(Sheet1__5[[#This Row],[00:00:00]:[23:00:00]])</f>
        <v>64.434782608695656</v>
      </c>
      <c r="AA16" t="str" cm="1">
        <f t="array" ref="AA16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7" spans="1:27" x14ac:dyDescent="0.3">
      <c r="A17" s="1">
        <v>45793</v>
      </c>
      <c r="B17">
        <v>71</v>
      </c>
      <c r="C17">
        <v>72</v>
      </c>
      <c r="D17">
        <v>73</v>
      </c>
      <c r="E17">
        <v>72</v>
      </c>
      <c r="F17">
        <v>72</v>
      </c>
      <c r="G17">
        <v>72</v>
      </c>
      <c r="H17">
        <v>72</v>
      </c>
      <c r="I17">
        <v>73</v>
      </c>
      <c r="J17">
        <v>74</v>
      </c>
      <c r="K17">
        <v>74</v>
      </c>
      <c r="L17">
        <v>74</v>
      </c>
      <c r="M17">
        <v>75</v>
      </c>
      <c r="N17">
        <v>74</v>
      </c>
      <c r="O17">
        <v>75</v>
      </c>
      <c r="P17">
        <v>74</v>
      </c>
      <c r="Q17">
        <v>74</v>
      </c>
      <c r="R17">
        <v>74</v>
      </c>
      <c r="S17">
        <v>74</v>
      </c>
      <c r="T17">
        <v>74</v>
      </c>
      <c r="U17">
        <v>74</v>
      </c>
      <c r="V17">
        <v>74</v>
      </c>
      <c r="W17">
        <v>74</v>
      </c>
      <c r="X17">
        <v>73</v>
      </c>
      <c r="Y17">
        <v>73</v>
      </c>
      <c r="Z17" s="2">
        <f>AVERAGE(Sheet1__5[[#This Row],[00:00:00]:[23:00:00]])</f>
        <v>73.375</v>
      </c>
      <c r="AA17" t="str" cm="1">
        <f t="array" ref="AA17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8" spans="1:27" x14ac:dyDescent="0.3">
      <c r="A18" s="1">
        <v>45794</v>
      </c>
      <c r="B18">
        <v>72</v>
      </c>
      <c r="C18">
        <v>72</v>
      </c>
      <c r="D18">
        <v>71</v>
      </c>
      <c r="E18">
        <v>70</v>
      </c>
      <c r="F18">
        <v>70</v>
      </c>
      <c r="G18">
        <v>69</v>
      </c>
      <c r="H18">
        <v>68</v>
      </c>
      <c r="I18">
        <v>67</v>
      </c>
      <c r="J18">
        <v>67</v>
      </c>
      <c r="K18">
        <v>66</v>
      </c>
      <c r="L18">
        <v>65</v>
      </c>
      <c r="M18">
        <v>64</v>
      </c>
      <c r="N18">
        <v>63</v>
      </c>
      <c r="O18">
        <v>63</v>
      </c>
      <c r="P18">
        <v>63</v>
      </c>
      <c r="Q18">
        <v>62</v>
      </c>
      <c r="R18">
        <v>62</v>
      </c>
      <c r="S18">
        <v>62</v>
      </c>
      <c r="T18">
        <v>63</v>
      </c>
      <c r="U18">
        <v>63</v>
      </c>
      <c r="V18">
        <v>63</v>
      </c>
      <c r="W18">
        <v>64</v>
      </c>
      <c r="X18">
        <v>63</v>
      </c>
      <c r="Y18">
        <v>64</v>
      </c>
      <c r="Z18" s="2">
        <f>AVERAGE(Sheet1__5[[#This Row],[00:00:00]:[23:00:00]])</f>
        <v>65.666666666666671</v>
      </c>
      <c r="AA18" t="str" cm="1">
        <f t="array" ref="AA18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9" spans="1:27" x14ac:dyDescent="0.3">
      <c r="A19" s="1">
        <v>45795</v>
      </c>
      <c r="B19">
        <v>63</v>
      </c>
      <c r="C19">
        <v>62</v>
      </c>
      <c r="D19">
        <v>62</v>
      </c>
      <c r="E19">
        <v>63</v>
      </c>
      <c r="F19">
        <v>63</v>
      </c>
      <c r="G19">
        <v>63</v>
      </c>
      <c r="H19">
        <v>64</v>
      </c>
      <c r="I19">
        <v>65</v>
      </c>
      <c r="J19">
        <v>70</v>
      </c>
      <c r="K19">
        <v>71</v>
      </c>
      <c r="L19">
        <v>72</v>
      </c>
      <c r="M19">
        <v>73</v>
      </c>
      <c r="N19">
        <v>74</v>
      </c>
      <c r="O19">
        <v>75</v>
      </c>
      <c r="P19">
        <v>76</v>
      </c>
      <c r="Q19">
        <v>78</v>
      </c>
      <c r="R19">
        <v>79</v>
      </c>
      <c r="S19">
        <v>80</v>
      </c>
      <c r="T19">
        <v>82</v>
      </c>
      <c r="U19">
        <v>84</v>
      </c>
      <c r="V19">
        <v>84</v>
      </c>
      <c r="W19">
        <v>85</v>
      </c>
      <c r="X19">
        <v>88</v>
      </c>
      <c r="Y19">
        <v>91</v>
      </c>
      <c r="Z19" s="2">
        <f>AVERAGE(Sheet1__5[[#This Row],[00:00:00]:[23:00:00]])</f>
        <v>73.625</v>
      </c>
      <c r="AA19" t="str" cm="1">
        <f t="array" ref="AA19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0" spans="1:27" x14ac:dyDescent="0.3">
      <c r="A20" s="1">
        <v>45796</v>
      </c>
      <c r="B20">
        <v>94</v>
      </c>
      <c r="C20">
        <v>98</v>
      </c>
      <c r="D20">
        <v>101</v>
      </c>
      <c r="E20">
        <v>106</v>
      </c>
      <c r="F20">
        <v>110</v>
      </c>
      <c r="G20">
        <v>115</v>
      </c>
      <c r="H20">
        <v>120</v>
      </c>
      <c r="I20">
        <v>123</v>
      </c>
      <c r="J20">
        <v>125</v>
      </c>
      <c r="K20">
        <v>128</v>
      </c>
      <c r="L20">
        <v>130</v>
      </c>
      <c r="M20">
        <v>132</v>
      </c>
      <c r="N20">
        <v>134</v>
      </c>
      <c r="O20">
        <v>133</v>
      </c>
      <c r="P20">
        <v>132</v>
      </c>
      <c r="Q20">
        <v>131</v>
      </c>
      <c r="R20">
        <v>131</v>
      </c>
      <c r="S20">
        <v>130</v>
      </c>
      <c r="T20">
        <v>130</v>
      </c>
      <c r="U20">
        <v>129</v>
      </c>
      <c r="V20">
        <v>128</v>
      </c>
      <c r="W20">
        <v>127</v>
      </c>
      <c r="X20">
        <v>125</v>
      </c>
      <c r="Y20">
        <v>122</v>
      </c>
      <c r="Z20" s="2">
        <f>AVERAGE(Sheet1__5[[#This Row],[00:00:00]:[23:00:00]])</f>
        <v>122.25</v>
      </c>
      <c r="AA20" t="str" cm="1">
        <f t="array" ref="AA20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BAD</v>
      </c>
    </row>
    <row r="21" spans="1:27" x14ac:dyDescent="0.3">
      <c r="A21" s="1">
        <v>45797</v>
      </c>
      <c r="B21">
        <v>120</v>
      </c>
      <c r="C21">
        <v>117</v>
      </c>
      <c r="D21">
        <v>113</v>
      </c>
      <c r="E21">
        <v>108</v>
      </c>
      <c r="F21">
        <v>104</v>
      </c>
      <c r="G21">
        <v>100</v>
      </c>
      <c r="H21">
        <v>96</v>
      </c>
      <c r="I21">
        <v>92</v>
      </c>
      <c r="J21">
        <v>89</v>
      </c>
      <c r="K21">
        <v>86</v>
      </c>
      <c r="L21">
        <v>85</v>
      </c>
      <c r="M21">
        <v>84</v>
      </c>
      <c r="N21">
        <v>84</v>
      </c>
      <c r="O21">
        <v>84</v>
      </c>
      <c r="P21">
        <v>84</v>
      </c>
      <c r="Q21">
        <v>84</v>
      </c>
      <c r="R21">
        <v>85</v>
      </c>
      <c r="S21">
        <v>86</v>
      </c>
      <c r="T21">
        <v>88</v>
      </c>
      <c r="U21">
        <v>88</v>
      </c>
      <c r="V21">
        <v>88</v>
      </c>
      <c r="W21">
        <v>87</v>
      </c>
      <c r="X21">
        <v>86</v>
      </c>
      <c r="Y21">
        <v>87</v>
      </c>
      <c r="Z21" s="2">
        <f>AVERAGE(Sheet1__5[[#This Row],[00:00:00]:[23:00:00]])</f>
        <v>92.708333333333329</v>
      </c>
      <c r="AA21" t="str" cm="1">
        <f t="array" ref="AA21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2" spans="1:27" x14ac:dyDescent="0.3">
      <c r="A22" s="1">
        <v>45798</v>
      </c>
      <c r="B22">
        <v>87</v>
      </c>
      <c r="C22">
        <v>88</v>
      </c>
      <c r="D22">
        <v>88</v>
      </c>
      <c r="E22">
        <v>88</v>
      </c>
      <c r="F22">
        <v>89</v>
      </c>
      <c r="G22">
        <v>90</v>
      </c>
      <c r="H22">
        <v>90</v>
      </c>
      <c r="I22">
        <v>91</v>
      </c>
      <c r="J22">
        <v>92</v>
      </c>
      <c r="K22">
        <v>92</v>
      </c>
      <c r="L22">
        <v>92</v>
      </c>
      <c r="M22">
        <v>92</v>
      </c>
      <c r="N22">
        <v>90</v>
      </c>
      <c r="O22">
        <v>89</v>
      </c>
      <c r="P22">
        <v>88</v>
      </c>
      <c r="Q22">
        <v>88</v>
      </c>
      <c r="R22">
        <v>87</v>
      </c>
      <c r="S22">
        <v>88</v>
      </c>
      <c r="T22">
        <v>89</v>
      </c>
      <c r="U22">
        <v>89</v>
      </c>
      <c r="V22">
        <v>90</v>
      </c>
      <c r="W22">
        <v>92</v>
      </c>
      <c r="X22">
        <v>92</v>
      </c>
      <c r="Y22">
        <v>90</v>
      </c>
      <c r="Z22" s="2">
        <f>AVERAGE(Sheet1__5[[#This Row],[00:00:00]:[23:00:00]])</f>
        <v>89.625</v>
      </c>
      <c r="AA22" t="str" cm="1">
        <f t="array" ref="AA22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3" spans="1:27" x14ac:dyDescent="0.3">
      <c r="A23" s="1">
        <v>45799</v>
      </c>
      <c r="B23">
        <v>88</v>
      </c>
      <c r="C23">
        <v>86</v>
      </c>
      <c r="D23">
        <v>85</v>
      </c>
      <c r="E23">
        <v>84</v>
      </c>
      <c r="F23">
        <v>82</v>
      </c>
      <c r="G23">
        <v>80</v>
      </c>
      <c r="H23">
        <v>78</v>
      </c>
      <c r="I23">
        <v>76</v>
      </c>
      <c r="J23">
        <v>73</v>
      </c>
      <c r="K23">
        <v>71</v>
      </c>
      <c r="L23">
        <v>69</v>
      </c>
      <c r="M23">
        <v>66</v>
      </c>
      <c r="N23">
        <v>66</v>
      </c>
      <c r="O23">
        <v>62</v>
      </c>
      <c r="P23">
        <v>60</v>
      </c>
      <c r="Q23">
        <v>58</v>
      </c>
      <c r="R23">
        <v>56</v>
      </c>
      <c r="S23">
        <v>54</v>
      </c>
      <c r="T23">
        <v>50</v>
      </c>
      <c r="U23">
        <v>48</v>
      </c>
      <c r="V23">
        <v>44</v>
      </c>
      <c r="W23">
        <v>44</v>
      </c>
      <c r="X23">
        <v>44</v>
      </c>
      <c r="Y23">
        <v>46</v>
      </c>
      <c r="Z23" s="2">
        <f>AVERAGE(Sheet1__5[[#This Row],[00:00:00]:[23:00:00]])</f>
        <v>65.416666666666671</v>
      </c>
      <c r="AA23" t="str" cm="1">
        <f t="array" ref="AA23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4" spans="1:27" x14ac:dyDescent="0.3">
      <c r="A24" s="1">
        <v>45800</v>
      </c>
      <c r="B24">
        <v>46</v>
      </c>
      <c r="C24">
        <v>45</v>
      </c>
      <c r="D24">
        <v>45</v>
      </c>
      <c r="E24">
        <v>44</v>
      </c>
      <c r="F24">
        <v>44</v>
      </c>
      <c r="G24">
        <v>42</v>
      </c>
      <c r="H24">
        <v>42</v>
      </c>
      <c r="I24">
        <v>42</v>
      </c>
      <c r="J24">
        <v>42</v>
      </c>
      <c r="K24">
        <v>42</v>
      </c>
      <c r="L24">
        <v>42</v>
      </c>
      <c r="M24">
        <v>42</v>
      </c>
      <c r="N24">
        <v>41</v>
      </c>
      <c r="O24">
        <v>40</v>
      </c>
      <c r="P24">
        <v>40</v>
      </c>
      <c r="Q24">
        <v>40</v>
      </c>
      <c r="R24">
        <v>38</v>
      </c>
      <c r="S24">
        <v>38</v>
      </c>
      <c r="T24">
        <v>38</v>
      </c>
      <c r="U24">
        <v>38</v>
      </c>
      <c r="V24">
        <v>38</v>
      </c>
      <c r="W24">
        <v>38</v>
      </c>
      <c r="X24">
        <v>38</v>
      </c>
      <c r="Y24">
        <v>38</v>
      </c>
      <c r="Z24" s="2">
        <f>AVERAGE(Sheet1__5[[#This Row],[00:00:00]:[23:00:00]])</f>
        <v>40.958333333333336</v>
      </c>
      <c r="AA24" t="str" cm="1">
        <f t="array" ref="AA24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GOOD</v>
      </c>
    </row>
    <row r="25" spans="1:27" x14ac:dyDescent="0.3">
      <c r="A25" s="1">
        <v>45801</v>
      </c>
      <c r="B25">
        <v>38</v>
      </c>
      <c r="C25">
        <v>38</v>
      </c>
      <c r="D25">
        <v>37</v>
      </c>
      <c r="F25">
        <v>36</v>
      </c>
      <c r="G25">
        <v>33</v>
      </c>
      <c r="H25">
        <v>32</v>
      </c>
      <c r="I25">
        <v>32</v>
      </c>
      <c r="J25">
        <v>32</v>
      </c>
      <c r="K25">
        <v>32</v>
      </c>
      <c r="L25">
        <v>32</v>
      </c>
      <c r="M25">
        <v>32</v>
      </c>
      <c r="N25">
        <v>32</v>
      </c>
      <c r="O25">
        <v>32</v>
      </c>
      <c r="P25">
        <v>32</v>
      </c>
      <c r="Q25">
        <v>33</v>
      </c>
      <c r="R25">
        <v>34</v>
      </c>
      <c r="S25">
        <v>34</v>
      </c>
      <c r="T25">
        <v>34</v>
      </c>
      <c r="U25">
        <v>35</v>
      </c>
      <c r="V25">
        <v>36</v>
      </c>
      <c r="W25">
        <v>38</v>
      </c>
      <c r="X25">
        <v>39</v>
      </c>
      <c r="Y25">
        <v>39</v>
      </c>
      <c r="Z25" s="2">
        <f>AVERAGE(Sheet1__5[[#This Row],[00:00:00]:[23:00:00]])</f>
        <v>34.434782608695649</v>
      </c>
      <c r="AA25" t="str" cm="1">
        <f t="array" ref="AA25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GOOD</v>
      </c>
    </row>
    <row r="26" spans="1:27" x14ac:dyDescent="0.3">
      <c r="A26" s="1">
        <v>45802</v>
      </c>
      <c r="B26">
        <v>39</v>
      </c>
      <c r="C26">
        <v>39</v>
      </c>
      <c r="D26">
        <v>38</v>
      </c>
      <c r="E26">
        <v>37</v>
      </c>
      <c r="F26">
        <v>36</v>
      </c>
      <c r="G26">
        <v>36</v>
      </c>
      <c r="H26">
        <v>36</v>
      </c>
      <c r="I26">
        <v>36</v>
      </c>
      <c r="J26">
        <v>35</v>
      </c>
      <c r="K26">
        <v>35</v>
      </c>
      <c r="L26">
        <v>35</v>
      </c>
      <c r="M26">
        <v>35</v>
      </c>
      <c r="N26">
        <v>35</v>
      </c>
      <c r="O26">
        <v>36</v>
      </c>
      <c r="P26">
        <v>36</v>
      </c>
      <c r="Q26">
        <v>36</v>
      </c>
      <c r="R26">
        <v>35</v>
      </c>
      <c r="S26">
        <v>35</v>
      </c>
      <c r="T26">
        <v>36</v>
      </c>
      <c r="U26">
        <v>36</v>
      </c>
      <c r="V26">
        <v>36</v>
      </c>
      <c r="Z26" s="2">
        <f>AVERAGE(Sheet1__5[[#This Row],[00:00:00]:[23:00:00]])</f>
        <v>36.095238095238095</v>
      </c>
      <c r="AA26" t="str" cm="1">
        <f t="array" ref="AA26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GOOD</v>
      </c>
    </row>
    <row r="27" spans="1:27" x14ac:dyDescent="0.3">
      <c r="A27" s="1">
        <v>45803</v>
      </c>
      <c r="D27">
        <v>31</v>
      </c>
      <c r="E27">
        <v>31</v>
      </c>
      <c r="F27">
        <v>32</v>
      </c>
      <c r="G27">
        <v>33</v>
      </c>
      <c r="H27">
        <v>34</v>
      </c>
      <c r="I27">
        <v>36</v>
      </c>
      <c r="J27">
        <v>38</v>
      </c>
      <c r="K27">
        <v>40</v>
      </c>
      <c r="L27">
        <v>42</v>
      </c>
      <c r="M27">
        <v>44</v>
      </c>
      <c r="N27">
        <v>45</v>
      </c>
      <c r="O27">
        <v>47</v>
      </c>
      <c r="P27">
        <v>48</v>
      </c>
      <c r="Q27">
        <v>49</v>
      </c>
      <c r="R27">
        <v>51</v>
      </c>
      <c r="S27">
        <v>54</v>
      </c>
      <c r="T27">
        <v>55</v>
      </c>
      <c r="U27">
        <v>56</v>
      </c>
      <c r="V27">
        <v>57</v>
      </c>
      <c r="W27">
        <v>58</v>
      </c>
      <c r="X27">
        <v>61</v>
      </c>
      <c r="Y27">
        <v>63</v>
      </c>
      <c r="Z27" s="2">
        <f>AVERAGE(Sheet1__5[[#This Row],[00:00:00]:[23:00:00]])</f>
        <v>45.68181818181818</v>
      </c>
      <c r="AA27" t="str" cm="1">
        <f t="array" ref="AA27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GOOD</v>
      </c>
    </row>
    <row r="28" spans="1:27" x14ac:dyDescent="0.3">
      <c r="A28" s="1">
        <v>45804</v>
      </c>
      <c r="B28">
        <v>65</v>
      </c>
      <c r="C28">
        <v>65</v>
      </c>
      <c r="D28">
        <v>64</v>
      </c>
      <c r="E28">
        <v>63</v>
      </c>
      <c r="F28">
        <v>64</v>
      </c>
      <c r="G28">
        <v>64</v>
      </c>
      <c r="H28">
        <v>64</v>
      </c>
      <c r="I28">
        <v>64</v>
      </c>
      <c r="J28">
        <v>64</v>
      </c>
      <c r="K28">
        <v>64</v>
      </c>
      <c r="L28">
        <v>64</v>
      </c>
      <c r="M28">
        <v>63</v>
      </c>
      <c r="N28">
        <v>63</v>
      </c>
      <c r="O28">
        <v>64</v>
      </c>
      <c r="P28">
        <v>64</v>
      </c>
      <c r="Q28">
        <v>65</v>
      </c>
      <c r="R28">
        <v>65</v>
      </c>
      <c r="S28">
        <v>66</v>
      </c>
      <c r="T28">
        <v>66</v>
      </c>
      <c r="U28">
        <v>67</v>
      </c>
      <c r="V28">
        <v>67</v>
      </c>
      <c r="W28">
        <v>68</v>
      </c>
      <c r="X28">
        <v>67</v>
      </c>
      <c r="Y28">
        <v>67</v>
      </c>
      <c r="Z28" s="2">
        <f>AVERAGE(Sheet1__5[[#This Row],[00:00:00]:[23:00:00]])</f>
        <v>64.875</v>
      </c>
      <c r="AA28" t="str" cm="1">
        <f t="array" ref="AA28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9" spans="1:27" x14ac:dyDescent="0.3">
      <c r="A29" s="1">
        <v>45805</v>
      </c>
      <c r="B29">
        <v>66</v>
      </c>
      <c r="C29">
        <v>65</v>
      </c>
      <c r="D29">
        <v>64</v>
      </c>
      <c r="E29">
        <v>64</v>
      </c>
      <c r="F29">
        <v>63</v>
      </c>
      <c r="G29">
        <v>62</v>
      </c>
      <c r="H29">
        <v>62</v>
      </c>
      <c r="I29">
        <v>62</v>
      </c>
      <c r="J29">
        <v>61</v>
      </c>
      <c r="K29">
        <v>60</v>
      </c>
      <c r="L29">
        <v>59</v>
      </c>
      <c r="M29">
        <v>58</v>
      </c>
      <c r="N29">
        <v>58</v>
      </c>
      <c r="O29">
        <v>57</v>
      </c>
      <c r="P29">
        <v>57</v>
      </c>
      <c r="Q29">
        <v>58</v>
      </c>
      <c r="R29">
        <v>58</v>
      </c>
      <c r="S29">
        <v>58</v>
      </c>
      <c r="T29">
        <v>58</v>
      </c>
      <c r="U29">
        <v>57</v>
      </c>
      <c r="V29">
        <v>56</v>
      </c>
      <c r="W29">
        <v>54</v>
      </c>
      <c r="X29">
        <v>52</v>
      </c>
      <c r="Y29">
        <v>52</v>
      </c>
      <c r="Z29" s="2">
        <f>AVERAGE(Sheet1__5[[#This Row],[00:00:00]:[23:00:00]])</f>
        <v>59.208333333333336</v>
      </c>
      <c r="AA29" t="str" cm="1">
        <f t="array" ref="AA29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30" spans="1:27" x14ac:dyDescent="0.3">
      <c r="A30" s="1">
        <v>45806</v>
      </c>
      <c r="B30">
        <v>51</v>
      </c>
      <c r="C30">
        <v>52</v>
      </c>
      <c r="D30">
        <v>52</v>
      </c>
      <c r="E30">
        <v>53</v>
      </c>
      <c r="F30">
        <v>52</v>
      </c>
      <c r="G30">
        <v>52</v>
      </c>
      <c r="H30">
        <v>51</v>
      </c>
      <c r="I30">
        <v>51</v>
      </c>
      <c r="J30">
        <v>50</v>
      </c>
      <c r="K30">
        <v>50</v>
      </c>
      <c r="L30">
        <v>51</v>
      </c>
      <c r="M30">
        <v>51</v>
      </c>
      <c r="N30">
        <v>51</v>
      </c>
      <c r="O30">
        <v>51</v>
      </c>
      <c r="P30">
        <v>50</v>
      </c>
      <c r="Q30">
        <v>49</v>
      </c>
      <c r="R30">
        <v>48</v>
      </c>
      <c r="S30">
        <v>47</v>
      </c>
      <c r="T30">
        <v>48</v>
      </c>
      <c r="U30">
        <v>48</v>
      </c>
      <c r="V30">
        <v>47</v>
      </c>
      <c r="W30">
        <v>51</v>
      </c>
      <c r="X30">
        <v>56</v>
      </c>
      <c r="Y30">
        <v>59</v>
      </c>
      <c r="Z30" s="2">
        <f>AVERAGE(Sheet1__5[[#This Row],[00:00:00]:[23:00:00]])</f>
        <v>50.875</v>
      </c>
      <c r="AA30" t="str" cm="1">
        <f t="array" ref="AA30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31" spans="1:27" x14ac:dyDescent="0.3">
      <c r="A31" s="1">
        <v>45807</v>
      </c>
      <c r="B31">
        <v>61</v>
      </c>
      <c r="C31">
        <v>61</v>
      </c>
      <c r="D31">
        <v>62</v>
      </c>
      <c r="E31">
        <v>61</v>
      </c>
      <c r="F31">
        <v>57</v>
      </c>
      <c r="G31">
        <v>56</v>
      </c>
      <c r="H31">
        <v>58</v>
      </c>
      <c r="I31">
        <v>58</v>
      </c>
      <c r="J31">
        <v>60</v>
      </c>
      <c r="K31">
        <v>60</v>
      </c>
      <c r="L31">
        <v>60</v>
      </c>
      <c r="M31">
        <v>60</v>
      </c>
      <c r="N31">
        <v>62</v>
      </c>
      <c r="O31">
        <v>63</v>
      </c>
      <c r="P31">
        <v>64</v>
      </c>
      <c r="Q31">
        <v>65</v>
      </c>
      <c r="R31">
        <v>66</v>
      </c>
      <c r="S31">
        <v>66</v>
      </c>
      <c r="T31">
        <v>67</v>
      </c>
      <c r="U31">
        <v>69</v>
      </c>
      <c r="V31">
        <v>68</v>
      </c>
      <c r="W31">
        <v>68</v>
      </c>
      <c r="X31">
        <v>71</v>
      </c>
      <c r="Y31">
        <v>74</v>
      </c>
      <c r="Z31" s="2">
        <f>AVERAGE(Sheet1__5[[#This Row],[00:00:00]:[23:00:00]])</f>
        <v>63.208333333333336</v>
      </c>
      <c r="AA31" t="str" cm="1">
        <f t="array" ref="AA31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32" spans="1:27" x14ac:dyDescent="0.3">
      <c r="A32" s="1">
        <v>45808</v>
      </c>
      <c r="B32">
        <v>76</v>
      </c>
      <c r="C32">
        <v>76</v>
      </c>
      <c r="D32">
        <v>76</v>
      </c>
      <c r="E32">
        <v>74</v>
      </c>
      <c r="F32">
        <v>72</v>
      </c>
      <c r="G32">
        <v>72</v>
      </c>
      <c r="H32">
        <v>72</v>
      </c>
      <c r="I32">
        <v>72</v>
      </c>
      <c r="J32">
        <v>73</v>
      </c>
      <c r="K32">
        <v>73</v>
      </c>
      <c r="L32">
        <v>73</v>
      </c>
      <c r="M32">
        <v>74</v>
      </c>
      <c r="N32">
        <v>74</v>
      </c>
      <c r="O32">
        <v>73</v>
      </c>
      <c r="P32">
        <v>73</v>
      </c>
      <c r="Q32">
        <v>73</v>
      </c>
      <c r="R32">
        <v>73</v>
      </c>
      <c r="S32">
        <v>74</v>
      </c>
      <c r="T32">
        <v>75</v>
      </c>
      <c r="U32">
        <v>73</v>
      </c>
      <c r="V32">
        <v>74</v>
      </c>
      <c r="W32">
        <v>74</v>
      </c>
      <c r="X32">
        <v>76</v>
      </c>
      <c r="Y32">
        <v>81</v>
      </c>
      <c r="Z32" s="2">
        <f>AVERAGE(Sheet1__5[[#This Row],[00:00:00]:[23:00:00]])</f>
        <v>74</v>
      </c>
      <c r="AA32" t="str" cm="1">
        <f t="array" ref="AA32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33" spans="26:27" x14ac:dyDescent="0.3">
      <c r="Z33" s="2">
        <f>SUBTOTAL(101,Sheet1__5[AVERAGE AQI])</f>
        <v>72.40690363867084</v>
      </c>
      <c r="AA33" s="3"/>
    </row>
  </sheetData>
  <conditionalFormatting sqref="AA1:AA1048576">
    <cfRule type="containsText" dxfId="75" priority="3" operator="containsText" text="BAD">
      <formula>NOT(ISERROR(SEARCH("BAD",AA1)))</formula>
    </cfRule>
    <cfRule type="containsText" dxfId="76" priority="2" operator="containsText" text="GOOD">
      <formula>NOT(ISERROR(SEARCH("GOOD",AA1)))</formula>
    </cfRule>
    <cfRule type="containsText" dxfId="77" priority="1" operator="containsText" text="MODERATE">
      <formula>NOT(ISERROR(SEARCH("MODERATE",AA1)))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1ED44-2B11-4113-AD82-73FAD10B7213}">
  <dimension ref="A1:AA32"/>
  <sheetViews>
    <sheetView topLeftCell="A7" workbookViewId="0">
      <selection activeCell="AB11" sqref="AB11"/>
    </sheetView>
  </sheetViews>
  <sheetFormatPr defaultRowHeight="14.4" x14ac:dyDescent="0.3"/>
  <cols>
    <col min="1" max="25" width="10.33203125" bestFit="1" customWidth="1"/>
    <col min="26" max="26" width="18.33203125" customWidth="1"/>
    <col min="27" max="27" width="18.1093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45809</v>
      </c>
      <c r="B2">
        <v>82</v>
      </c>
      <c r="C2">
        <v>83</v>
      </c>
      <c r="D2">
        <v>84</v>
      </c>
      <c r="E2">
        <v>86</v>
      </c>
      <c r="F2">
        <v>87</v>
      </c>
      <c r="G2">
        <v>88</v>
      </c>
      <c r="H2">
        <v>89</v>
      </c>
      <c r="I2">
        <v>89</v>
      </c>
      <c r="J2">
        <v>89</v>
      </c>
      <c r="K2">
        <v>90</v>
      </c>
      <c r="L2">
        <v>90</v>
      </c>
      <c r="M2">
        <v>90</v>
      </c>
      <c r="N2">
        <v>90</v>
      </c>
      <c r="O2">
        <v>89</v>
      </c>
      <c r="P2">
        <v>89</v>
      </c>
      <c r="Q2">
        <v>80</v>
      </c>
      <c r="R2">
        <v>85</v>
      </c>
      <c r="S2">
        <v>86</v>
      </c>
      <c r="T2">
        <v>86</v>
      </c>
      <c r="U2">
        <v>85</v>
      </c>
      <c r="V2">
        <v>86</v>
      </c>
      <c r="W2">
        <v>85</v>
      </c>
      <c r="X2">
        <v>84</v>
      </c>
      <c r="Y2">
        <v>84</v>
      </c>
      <c r="Z2" s="2">
        <f>AVERAGE(Sheet1__6[[#This Row],[00:00:00]:[23:00:00]])</f>
        <v>86.5</v>
      </c>
      <c r="AA2" t="str" cm="1">
        <f t="array" ref="AA2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3" spans="1:27" x14ac:dyDescent="0.3">
      <c r="A3" s="1">
        <v>45810</v>
      </c>
      <c r="B3">
        <v>84</v>
      </c>
      <c r="C3">
        <v>83</v>
      </c>
      <c r="D3">
        <v>82</v>
      </c>
      <c r="E3">
        <v>82</v>
      </c>
      <c r="F3">
        <v>82</v>
      </c>
      <c r="G3">
        <v>81</v>
      </c>
      <c r="H3">
        <v>80</v>
      </c>
      <c r="I3">
        <v>80</v>
      </c>
      <c r="J3">
        <v>80</v>
      </c>
      <c r="K3">
        <v>80</v>
      </c>
      <c r="L3">
        <v>80</v>
      </c>
      <c r="M3">
        <v>80</v>
      </c>
      <c r="N3">
        <v>80</v>
      </c>
      <c r="O3">
        <v>80</v>
      </c>
      <c r="P3">
        <v>80</v>
      </c>
      <c r="Q3">
        <v>79</v>
      </c>
      <c r="R3">
        <v>78</v>
      </c>
      <c r="S3">
        <v>77</v>
      </c>
      <c r="T3">
        <v>76</v>
      </c>
      <c r="U3">
        <v>74</v>
      </c>
      <c r="V3">
        <v>72</v>
      </c>
      <c r="W3">
        <v>72</v>
      </c>
      <c r="X3">
        <v>72</v>
      </c>
      <c r="Y3">
        <v>72</v>
      </c>
      <c r="Z3" s="2">
        <f>AVERAGE(Sheet1__6[[#This Row],[00:00:00]:[23:00:00]])</f>
        <v>78.583333333333329</v>
      </c>
      <c r="AA3" t="str" cm="1">
        <f t="array" ref="AA3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4" spans="1:27" x14ac:dyDescent="0.3">
      <c r="A4" s="1">
        <v>45811</v>
      </c>
      <c r="B4">
        <v>71</v>
      </c>
      <c r="C4">
        <v>71</v>
      </c>
      <c r="D4">
        <v>70</v>
      </c>
      <c r="E4">
        <v>69</v>
      </c>
      <c r="F4">
        <v>68</v>
      </c>
      <c r="G4">
        <v>68</v>
      </c>
      <c r="H4">
        <v>68</v>
      </c>
      <c r="I4">
        <v>68</v>
      </c>
      <c r="J4">
        <v>67</v>
      </c>
      <c r="K4">
        <v>67</v>
      </c>
      <c r="L4">
        <v>66</v>
      </c>
      <c r="M4">
        <v>66</v>
      </c>
      <c r="N4">
        <v>66</v>
      </c>
      <c r="O4">
        <v>67</v>
      </c>
      <c r="P4">
        <v>67</v>
      </c>
      <c r="Q4">
        <v>68</v>
      </c>
      <c r="R4">
        <v>68</v>
      </c>
      <c r="S4">
        <v>68</v>
      </c>
      <c r="W4">
        <v>69</v>
      </c>
      <c r="X4">
        <v>70</v>
      </c>
      <c r="Y4">
        <v>72</v>
      </c>
      <c r="Z4" s="2">
        <f>AVERAGE(Sheet1__6[[#This Row],[00:00:00]:[23:00:00]])</f>
        <v>68.285714285714292</v>
      </c>
      <c r="AA4" t="str" cm="1">
        <f t="array" ref="AA4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5" spans="1:27" x14ac:dyDescent="0.3">
      <c r="A5" s="1">
        <v>45812</v>
      </c>
      <c r="B5">
        <v>72</v>
      </c>
      <c r="C5">
        <v>72</v>
      </c>
      <c r="D5">
        <v>72</v>
      </c>
      <c r="E5">
        <v>72</v>
      </c>
      <c r="F5">
        <v>72</v>
      </c>
      <c r="G5">
        <v>71</v>
      </c>
      <c r="H5">
        <v>70</v>
      </c>
      <c r="I5">
        <v>69</v>
      </c>
      <c r="J5">
        <v>68</v>
      </c>
      <c r="K5">
        <v>68</v>
      </c>
      <c r="L5">
        <v>68</v>
      </c>
      <c r="M5">
        <v>68</v>
      </c>
      <c r="N5">
        <v>68</v>
      </c>
      <c r="O5">
        <v>68</v>
      </c>
      <c r="P5">
        <v>68</v>
      </c>
      <c r="Q5">
        <v>68</v>
      </c>
      <c r="R5">
        <v>68</v>
      </c>
      <c r="S5">
        <v>69</v>
      </c>
      <c r="T5">
        <v>70</v>
      </c>
      <c r="U5">
        <v>69</v>
      </c>
      <c r="V5">
        <v>69</v>
      </c>
      <c r="W5">
        <v>68</v>
      </c>
      <c r="X5">
        <v>66</v>
      </c>
      <c r="Y5">
        <v>64</v>
      </c>
      <c r="Z5" s="2">
        <f>AVERAGE(Sheet1__6[[#This Row],[00:00:00]:[23:00:00]])</f>
        <v>69.041666666666671</v>
      </c>
      <c r="AA5" t="str" cm="1">
        <f t="array" ref="AA5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6" spans="1:27" x14ac:dyDescent="0.3">
      <c r="A6" s="1">
        <v>45813</v>
      </c>
      <c r="B6">
        <v>62</v>
      </c>
      <c r="C6">
        <v>61</v>
      </c>
      <c r="D6">
        <v>60</v>
      </c>
      <c r="E6">
        <v>60</v>
      </c>
      <c r="G6">
        <v>60</v>
      </c>
      <c r="H6">
        <v>60</v>
      </c>
      <c r="I6">
        <v>60</v>
      </c>
      <c r="J6">
        <v>60</v>
      </c>
      <c r="K6">
        <v>60</v>
      </c>
      <c r="L6">
        <v>60</v>
      </c>
      <c r="M6">
        <v>60</v>
      </c>
      <c r="N6">
        <v>60</v>
      </c>
      <c r="O6">
        <v>60</v>
      </c>
      <c r="Q6">
        <v>59</v>
      </c>
      <c r="R6">
        <v>59</v>
      </c>
      <c r="S6">
        <v>61</v>
      </c>
      <c r="T6">
        <v>62</v>
      </c>
      <c r="U6">
        <v>64</v>
      </c>
      <c r="V6">
        <v>65</v>
      </c>
      <c r="W6">
        <v>67</v>
      </c>
      <c r="X6">
        <v>69</v>
      </c>
      <c r="Y6">
        <v>71</v>
      </c>
      <c r="Z6" s="2">
        <f>AVERAGE(Sheet1__6[[#This Row],[00:00:00]:[23:00:00]])</f>
        <v>61.81818181818182</v>
      </c>
      <c r="AA6" t="str" cm="1">
        <f t="array" ref="AA6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7" spans="1:27" x14ac:dyDescent="0.3">
      <c r="A7" s="1">
        <v>45814</v>
      </c>
      <c r="B7">
        <v>73</v>
      </c>
      <c r="C7">
        <v>75</v>
      </c>
      <c r="D7">
        <v>77</v>
      </c>
      <c r="E7">
        <v>78</v>
      </c>
      <c r="F7">
        <v>80</v>
      </c>
      <c r="G7">
        <v>82</v>
      </c>
      <c r="H7">
        <v>84</v>
      </c>
      <c r="I7">
        <v>86</v>
      </c>
      <c r="J7">
        <v>88</v>
      </c>
      <c r="K7">
        <v>89</v>
      </c>
      <c r="L7">
        <v>91</v>
      </c>
      <c r="M7">
        <v>92</v>
      </c>
      <c r="N7">
        <v>94</v>
      </c>
      <c r="O7">
        <v>94</v>
      </c>
      <c r="P7">
        <v>97</v>
      </c>
      <c r="Q7">
        <v>99</v>
      </c>
      <c r="R7">
        <v>99</v>
      </c>
      <c r="S7">
        <v>98</v>
      </c>
      <c r="T7">
        <v>98</v>
      </c>
      <c r="U7">
        <v>98</v>
      </c>
      <c r="V7">
        <v>98</v>
      </c>
      <c r="W7">
        <v>98</v>
      </c>
      <c r="X7">
        <v>99</v>
      </c>
      <c r="Y7">
        <v>100</v>
      </c>
      <c r="Z7" s="2">
        <f>AVERAGE(Sheet1__6[[#This Row],[00:00:00]:[23:00:00]])</f>
        <v>90.291666666666671</v>
      </c>
      <c r="AA7" t="str" cm="1">
        <f t="array" ref="AA7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8" spans="1:27" x14ac:dyDescent="0.3">
      <c r="A8" s="1">
        <v>45815</v>
      </c>
      <c r="B8">
        <v>100</v>
      </c>
      <c r="C8">
        <v>101</v>
      </c>
      <c r="D8">
        <v>102</v>
      </c>
      <c r="E8">
        <v>102</v>
      </c>
      <c r="F8">
        <v>103</v>
      </c>
      <c r="G8">
        <v>104</v>
      </c>
      <c r="H8">
        <v>104</v>
      </c>
      <c r="I8">
        <v>104</v>
      </c>
      <c r="J8">
        <v>103</v>
      </c>
      <c r="K8">
        <v>104</v>
      </c>
      <c r="L8">
        <v>104</v>
      </c>
      <c r="M8">
        <v>103</v>
      </c>
      <c r="N8">
        <v>103</v>
      </c>
      <c r="O8">
        <v>101</v>
      </c>
      <c r="P8">
        <v>100</v>
      </c>
      <c r="Q8">
        <v>100</v>
      </c>
      <c r="R8">
        <v>103</v>
      </c>
      <c r="S8">
        <v>106</v>
      </c>
      <c r="T8">
        <v>108</v>
      </c>
      <c r="U8">
        <v>109</v>
      </c>
      <c r="V8">
        <v>108</v>
      </c>
      <c r="W8">
        <v>108</v>
      </c>
      <c r="X8">
        <v>108</v>
      </c>
      <c r="Y8">
        <v>107</v>
      </c>
      <c r="Z8" s="2">
        <f>AVERAGE(Sheet1__6[[#This Row],[00:00:00]:[23:00:00]])</f>
        <v>103.95833333333333</v>
      </c>
      <c r="AA8" t="str" cm="1">
        <f t="array" ref="AA8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BAD</v>
      </c>
    </row>
    <row r="9" spans="1:27" x14ac:dyDescent="0.3">
      <c r="A9" s="1">
        <v>45816</v>
      </c>
      <c r="B9">
        <v>107</v>
      </c>
      <c r="C9">
        <v>107</v>
      </c>
      <c r="D9">
        <v>106</v>
      </c>
      <c r="E9">
        <v>106</v>
      </c>
      <c r="F9">
        <v>105</v>
      </c>
      <c r="G9">
        <v>105</v>
      </c>
      <c r="H9">
        <v>105</v>
      </c>
      <c r="I9">
        <v>105</v>
      </c>
      <c r="J9">
        <v>105</v>
      </c>
      <c r="K9">
        <v>104</v>
      </c>
      <c r="L9">
        <v>104</v>
      </c>
      <c r="M9">
        <v>104</v>
      </c>
      <c r="N9">
        <v>104</v>
      </c>
      <c r="O9">
        <v>106</v>
      </c>
      <c r="P9">
        <v>107</v>
      </c>
      <c r="Q9">
        <v>107</v>
      </c>
      <c r="R9">
        <v>103</v>
      </c>
      <c r="S9">
        <v>100</v>
      </c>
      <c r="U9">
        <v>97</v>
      </c>
      <c r="V9">
        <v>97</v>
      </c>
      <c r="W9">
        <v>96</v>
      </c>
      <c r="X9">
        <v>96</v>
      </c>
      <c r="Y9">
        <v>96</v>
      </c>
      <c r="Z9" s="2">
        <f>AVERAGE(Sheet1__6[[#This Row],[00:00:00]:[23:00:00]])</f>
        <v>103.1304347826087</v>
      </c>
      <c r="AA9" t="str" cm="1">
        <f t="array" ref="AA9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BAD</v>
      </c>
    </row>
    <row r="10" spans="1:27" x14ac:dyDescent="0.3">
      <c r="A10" s="1">
        <v>45817</v>
      </c>
      <c r="B10">
        <v>95</v>
      </c>
      <c r="C10">
        <v>94</v>
      </c>
      <c r="D10">
        <v>94</v>
      </c>
      <c r="E10">
        <v>92</v>
      </c>
      <c r="F10">
        <v>91</v>
      </c>
      <c r="G10">
        <v>90</v>
      </c>
      <c r="H10">
        <v>88</v>
      </c>
      <c r="I10">
        <v>88</v>
      </c>
      <c r="J10">
        <v>88</v>
      </c>
      <c r="K10">
        <v>87</v>
      </c>
      <c r="L10">
        <v>87</v>
      </c>
      <c r="M10">
        <v>88</v>
      </c>
      <c r="N10">
        <v>88</v>
      </c>
      <c r="O10">
        <v>87</v>
      </c>
      <c r="P10">
        <v>87</v>
      </c>
      <c r="Q10">
        <v>86</v>
      </c>
      <c r="R10">
        <v>86</v>
      </c>
      <c r="S10">
        <v>87</v>
      </c>
      <c r="T10">
        <v>87</v>
      </c>
      <c r="U10">
        <v>88</v>
      </c>
      <c r="V10">
        <v>89</v>
      </c>
      <c r="W10">
        <v>90</v>
      </c>
      <c r="X10">
        <v>91</v>
      </c>
      <c r="Y10">
        <v>91</v>
      </c>
      <c r="Z10" s="2">
        <f>AVERAGE(Sheet1__6[[#This Row],[00:00:00]:[23:00:00]])</f>
        <v>89.125</v>
      </c>
      <c r="AA10" t="str" cm="1">
        <f t="array" ref="AA10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1" spans="1:27" x14ac:dyDescent="0.3">
      <c r="A11" s="1">
        <v>45818</v>
      </c>
      <c r="B11">
        <v>90</v>
      </c>
      <c r="C11">
        <v>90</v>
      </c>
      <c r="D11">
        <v>90</v>
      </c>
      <c r="E11">
        <v>89</v>
      </c>
      <c r="F11">
        <v>89</v>
      </c>
      <c r="G11">
        <v>88</v>
      </c>
      <c r="H11">
        <v>88</v>
      </c>
      <c r="I11">
        <v>87</v>
      </c>
      <c r="J11">
        <v>86</v>
      </c>
      <c r="K11">
        <v>85</v>
      </c>
      <c r="L11">
        <v>84</v>
      </c>
      <c r="M11">
        <v>84</v>
      </c>
      <c r="N11">
        <v>83</v>
      </c>
      <c r="O11">
        <v>83</v>
      </c>
      <c r="P11">
        <v>84</v>
      </c>
      <c r="Q11">
        <v>84</v>
      </c>
      <c r="R11">
        <v>84</v>
      </c>
      <c r="S11">
        <v>85</v>
      </c>
      <c r="T11">
        <v>85</v>
      </c>
      <c r="U11">
        <v>84</v>
      </c>
      <c r="V11">
        <v>84</v>
      </c>
      <c r="W11">
        <v>84</v>
      </c>
      <c r="X11">
        <v>84</v>
      </c>
      <c r="Y11">
        <v>84</v>
      </c>
      <c r="Z11" s="2">
        <f>AVERAGE(Sheet1__6[[#This Row],[00:00:00]:[23:00:00]])</f>
        <v>85.75</v>
      </c>
      <c r="AA11" t="str" cm="1">
        <f t="array" ref="AA11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2" spans="1:27" x14ac:dyDescent="0.3">
      <c r="A12" s="1">
        <v>45819</v>
      </c>
      <c r="B12">
        <v>85</v>
      </c>
      <c r="C12">
        <v>85</v>
      </c>
      <c r="D12">
        <v>85</v>
      </c>
      <c r="E12">
        <v>85</v>
      </c>
      <c r="F12">
        <v>86</v>
      </c>
      <c r="G12">
        <v>86</v>
      </c>
      <c r="H12">
        <v>87</v>
      </c>
      <c r="I12">
        <v>88</v>
      </c>
      <c r="J12">
        <v>88</v>
      </c>
      <c r="K12">
        <v>88</v>
      </c>
      <c r="L12">
        <v>88</v>
      </c>
      <c r="M12">
        <v>89</v>
      </c>
      <c r="N12">
        <v>90</v>
      </c>
      <c r="O12">
        <v>89</v>
      </c>
      <c r="P12">
        <v>88</v>
      </c>
      <c r="Q12">
        <v>88</v>
      </c>
      <c r="R12">
        <v>87</v>
      </c>
      <c r="S12">
        <v>86</v>
      </c>
      <c r="T12">
        <v>87</v>
      </c>
      <c r="U12">
        <v>88</v>
      </c>
      <c r="V12">
        <v>86</v>
      </c>
      <c r="W12">
        <v>85</v>
      </c>
      <c r="X12">
        <v>85</v>
      </c>
      <c r="Y12">
        <v>84</v>
      </c>
      <c r="Z12" s="2">
        <f>AVERAGE(Sheet1__6[[#This Row],[00:00:00]:[23:00:00]])</f>
        <v>86.791666666666671</v>
      </c>
      <c r="AA12" t="str" cm="1">
        <f t="array" ref="AA12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3" spans="1:27" x14ac:dyDescent="0.3">
      <c r="A13" s="1">
        <v>45820</v>
      </c>
      <c r="B13">
        <v>80</v>
      </c>
      <c r="C13">
        <v>82</v>
      </c>
      <c r="D13">
        <v>84</v>
      </c>
      <c r="E13">
        <v>101</v>
      </c>
      <c r="F13">
        <v>112</v>
      </c>
      <c r="G13">
        <v>112</v>
      </c>
      <c r="H13">
        <v>113</v>
      </c>
      <c r="I13">
        <v>113</v>
      </c>
      <c r="J13">
        <v>114</v>
      </c>
      <c r="K13">
        <v>114</v>
      </c>
      <c r="L13">
        <v>115</v>
      </c>
      <c r="M13">
        <v>116</v>
      </c>
      <c r="N13">
        <v>118</v>
      </c>
      <c r="O13">
        <v>120</v>
      </c>
      <c r="P13">
        <v>122</v>
      </c>
      <c r="Q13">
        <v>124</v>
      </c>
      <c r="R13">
        <v>126</v>
      </c>
      <c r="S13">
        <v>128</v>
      </c>
      <c r="T13">
        <v>128</v>
      </c>
      <c r="U13">
        <v>128</v>
      </c>
      <c r="V13">
        <v>126</v>
      </c>
      <c r="W13">
        <v>126</v>
      </c>
      <c r="X13">
        <v>125</v>
      </c>
      <c r="Y13">
        <v>124</v>
      </c>
      <c r="Z13" s="2">
        <f>AVERAGE(Sheet1__6[[#This Row],[00:00:00]:[23:00:00]])</f>
        <v>114.625</v>
      </c>
      <c r="AA13" t="str" cm="1">
        <f t="array" ref="AA13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BAD</v>
      </c>
    </row>
    <row r="14" spans="1:27" x14ac:dyDescent="0.3">
      <c r="A14" s="1">
        <v>45821</v>
      </c>
      <c r="B14">
        <v>123</v>
      </c>
      <c r="C14">
        <v>122</v>
      </c>
      <c r="D14">
        <v>114</v>
      </c>
      <c r="E14">
        <v>114</v>
      </c>
      <c r="F14">
        <v>112</v>
      </c>
      <c r="G14">
        <v>111</v>
      </c>
      <c r="H14">
        <v>110</v>
      </c>
      <c r="I14">
        <v>109</v>
      </c>
      <c r="J14">
        <v>108</v>
      </c>
      <c r="K14">
        <v>106</v>
      </c>
      <c r="L14">
        <v>104</v>
      </c>
      <c r="M14">
        <v>100</v>
      </c>
      <c r="N14">
        <v>98</v>
      </c>
      <c r="O14">
        <v>94</v>
      </c>
      <c r="P14">
        <v>92</v>
      </c>
      <c r="Q14">
        <v>90</v>
      </c>
      <c r="R14">
        <v>87</v>
      </c>
      <c r="S14">
        <v>85</v>
      </c>
      <c r="T14">
        <v>84</v>
      </c>
      <c r="U14">
        <v>81</v>
      </c>
      <c r="V14">
        <v>81</v>
      </c>
      <c r="W14">
        <v>80</v>
      </c>
      <c r="X14">
        <v>80</v>
      </c>
      <c r="Y14">
        <v>80</v>
      </c>
      <c r="Z14" s="2">
        <f>AVERAGE(Sheet1__6[[#This Row],[00:00:00]:[23:00:00]])</f>
        <v>98.541666666666671</v>
      </c>
      <c r="AA14" t="str" cm="1">
        <f t="array" ref="AA14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5" spans="1:27" x14ac:dyDescent="0.3">
      <c r="A15" s="1">
        <v>45822</v>
      </c>
      <c r="B15">
        <v>79</v>
      </c>
      <c r="C15">
        <v>79</v>
      </c>
      <c r="D15">
        <v>78</v>
      </c>
      <c r="E15">
        <v>77</v>
      </c>
      <c r="F15">
        <v>76</v>
      </c>
      <c r="G15">
        <v>76</v>
      </c>
      <c r="H15">
        <v>76</v>
      </c>
      <c r="I15">
        <v>76</v>
      </c>
      <c r="J15">
        <v>77</v>
      </c>
      <c r="K15">
        <v>78</v>
      </c>
      <c r="L15">
        <v>79</v>
      </c>
      <c r="M15">
        <v>80</v>
      </c>
      <c r="N15">
        <v>80</v>
      </c>
      <c r="O15">
        <v>81</v>
      </c>
      <c r="P15">
        <v>81</v>
      </c>
      <c r="Q15">
        <v>81</v>
      </c>
      <c r="R15">
        <v>81</v>
      </c>
      <c r="S15">
        <v>81</v>
      </c>
      <c r="T15">
        <v>82</v>
      </c>
      <c r="U15">
        <v>82</v>
      </c>
      <c r="V15">
        <v>82</v>
      </c>
      <c r="W15">
        <v>82</v>
      </c>
      <c r="X15">
        <v>82</v>
      </c>
      <c r="Y15">
        <v>82</v>
      </c>
      <c r="Z15" s="2">
        <f>AVERAGE(Sheet1__6[[#This Row],[00:00:00]:[23:00:00]])</f>
        <v>79.5</v>
      </c>
      <c r="AA15" t="str" cm="1">
        <f t="array" ref="AA15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6" spans="1:27" x14ac:dyDescent="0.3">
      <c r="A16" s="1">
        <v>45823</v>
      </c>
      <c r="B16">
        <v>81</v>
      </c>
      <c r="C16">
        <v>81</v>
      </c>
      <c r="D16">
        <v>80</v>
      </c>
      <c r="E16">
        <v>80</v>
      </c>
      <c r="F16">
        <v>80</v>
      </c>
      <c r="G16">
        <v>79</v>
      </c>
      <c r="H16">
        <v>77</v>
      </c>
      <c r="I16">
        <v>76</v>
      </c>
      <c r="J16">
        <v>74</v>
      </c>
      <c r="K16">
        <v>73</v>
      </c>
      <c r="L16">
        <v>72</v>
      </c>
      <c r="M16">
        <v>70</v>
      </c>
      <c r="N16">
        <v>70</v>
      </c>
      <c r="O16">
        <v>68</v>
      </c>
      <c r="P16">
        <v>67</v>
      </c>
      <c r="Q16">
        <v>66</v>
      </c>
      <c r="R16">
        <v>65</v>
      </c>
      <c r="S16">
        <v>64</v>
      </c>
      <c r="T16">
        <v>63</v>
      </c>
      <c r="U16">
        <v>62</v>
      </c>
      <c r="V16">
        <v>61</v>
      </c>
      <c r="W16">
        <v>60</v>
      </c>
      <c r="X16">
        <v>58</v>
      </c>
      <c r="Y16">
        <v>56</v>
      </c>
      <c r="Z16" s="2">
        <f>AVERAGE(Sheet1__6[[#This Row],[00:00:00]:[23:00:00]])</f>
        <v>70.125</v>
      </c>
      <c r="AA16" t="str" cm="1">
        <f t="array" ref="AA16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7" spans="1:27" x14ac:dyDescent="0.3">
      <c r="A17" s="1">
        <v>45824</v>
      </c>
      <c r="B17">
        <v>54</v>
      </c>
      <c r="C17">
        <v>52</v>
      </c>
      <c r="D17">
        <v>51</v>
      </c>
      <c r="E17">
        <v>50</v>
      </c>
      <c r="F17">
        <v>48</v>
      </c>
      <c r="G17">
        <v>45</v>
      </c>
      <c r="H17">
        <v>45</v>
      </c>
      <c r="I17">
        <v>46</v>
      </c>
      <c r="J17">
        <v>45</v>
      </c>
      <c r="K17">
        <v>44</v>
      </c>
      <c r="L17">
        <v>44</v>
      </c>
      <c r="M17">
        <v>43</v>
      </c>
      <c r="N17">
        <v>42</v>
      </c>
      <c r="O17">
        <v>41</v>
      </c>
      <c r="P17">
        <v>41</v>
      </c>
      <c r="Q17">
        <v>40</v>
      </c>
      <c r="R17">
        <v>40</v>
      </c>
      <c r="S17">
        <v>40</v>
      </c>
      <c r="T17">
        <v>40</v>
      </c>
      <c r="U17">
        <v>39</v>
      </c>
      <c r="V17">
        <v>39</v>
      </c>
      <c r="W17">
        <v>40</v>
      </c>
      <c r="X17">
        <v>40</v>
      </c>
      <c r="Y17">
        <v>40</v>
      </c>
      <c r="Z17" s="2">
        <f>AVERAGE(Sheet1__6[[#This Row],[00:00:00]:[23:00:00]])</f>
        <v>43.708333333333336</v>
      </c>
      <c r="AA17" t="str" cm="1">
        <f t="array" ref="AA17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18" spans="1:27" x14ac:dyDescent="0.3">
      <c r="A18" s="1">
        <v>45825</v>
      </c>
      <c r="B18">
        <v>39</v>
      </c>
      <c r="C18">
        <v>38</v>
      </c>
      <c r="D18">
        <v>36</v>
      </c>
      <c r="E18">
        <v>35</v>
      </c>
      <c r="F18">
        <v>35</v>
      </c>
      <c r="G18">
        <v>34</v>
      </c>
      <c r="H18">
        <v>34</v>
      </c>
      <c r="I18">
        <v>34</v>
      </c>
      <c r="J18">
        <v>34</v>
      </c>
      <c r="K18">
        <v>33</v>
      </c>
      <c r="L18">
        <v>33</v>
      </c>
      <c r="M18">
        <v>33</v>
      </c>
      <c r="N18">
        <v>33</v>
      </c>
      <c r="O18">
        <v>33</v>
      </c>
      <c r="P18">
        <v>33</v>
      </c>
      <c r="Q18">
        <v>33</v>
      </c>
      <c r="R18">
        <v>34</v>
      </c>
      <c r="S18">
        <v>34</v>
      </c>
      <c r="T18">
        <v>34</v>
      </c>
      <c r="U18">
        <v>35</v>
      </c>
      <c r="V18">
        <v>36</v>
      </c>
      <c r="W18">
        <v>36</v>
      </c>
      <c r="X18">
        <v>38</v>
      </c>
      <c r="Y18">
        <v>38</v>
      </c>
      <c r="Z18" s="2">
        <f>AVERAGE(Sheet1__6[[#This Row],[00:00:00]:[23:00:00]])</f>
        <v>34.791666666666664</v>
      </c>
      <c r="AA18" t="str" cm="1">
        <f t="array" ref="AA18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19" spans="1:27" x14ac:dyDescent="0.3">
      <c r="A19" s="1">
        <v>45826</v>
      </c>
      <c r="B19">
        <v>40</v>
      </c>
      <c r="C19">
        <v>40</v>
      </c>
      <c r="D19">
        <v>41</v>
      </c>
      <c r="E19">
        <v>41</v>
      </c>
      <c r="F19">
        <v>41</v>
      </c>
      <c r="G19">
        <v>42</v>
      </c>
      <c r="H19">
        <v>43</v>
      </c>
      <c r="I19">
        <v>44</v>
      </c>
      <c r="J19">
        <v>46</v>
      </c>
      <c r="K19">
        <v>47</v>
      </c>
      <c r="L19">
        <v>49</v>
      </c>
      <c r="M19">
        <v>49</v>
      </c>
      <c r="N19">
        <v>51</v>
      </c>
      <c r="O19">
        <v>52</v>
      </c>
      <c r="P19">
        <v>53</v>
      </c>
      <c r="Q19">
        <v>53</v>
      </c>
      <c r="R19">
        <v>53</v>
      </c>
      <c r="S19">
        <v>54</v>
      </c>
      <c r="T19">
        <v>54</v>
      </c>
      <c r="U19">
        <v>53</v>
      </c>
      <c r="V19">
        <v>53</v>
      </c>
      <c r="W19">
        <v>52</v>
      </c>
      <c r="X19">
        <v>51</v>
      </c>
      <c r="Y19">
        <v>50</v>
      </c>
      <c r="Z19" s="2">
        <f>AVERAGE(Sheet1__6[[#This Row],[00:00:00]:[23:00:00]])</f>
        <v>48</v>
      </c>
      <c r="AA19" t="str" cm="1">
        <f t="array" ref="AA19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20" spans="1:27" x14ac:dyDescent="0.3">
      <c r="A20" s="1">
        <v>45827</v>
      </c>
      <c r="B20">
        <v>49</v>
      </c>
      <c r="C20">
        <v>48</v>
      </c>
      <c r="D20">
        <v>47</v>
      </c>
      <c r="E20">
        <v>47</v>
      </c>
      <c r="F20">
        <v>46</v>
      </c>
      <c r="G20">
        <v>45</v>
      </c>
      <c r="H20">
        <v>43</v>
      </c>
      <c r="I20">
        <v>42</v>
      </c>
      <c r="J20">
        <v>41</v>
      </c>
      <c r="K20">
        <v>39</v>
      </c>
      <c r="L20">
        <v>38</v>
      </c>
      <c r="M20">
        <v>37</v>
      </c>
      <c r="N20">
        <v>36</v>
      </c>
      <c r="O20">
        <v>35</v>
      </c>
      <c r="P20">
        <v>34</v>
      </c>
      <c r="Q20">
        <v>34</v>
      </c>
      <c r="R20">
        <v>34</v>
      </c>
      <c r="S20">
        <v>34</v>
      </c>
      <c r="T20">
        <v>35</v>
      </c>
      <c r="U20">
        <v>34</v>
      </c>
      <c r="V20">
        <v>35</v>
      </c>
      <c r="W20">
        <v>35</v>
      </c>
      <c r="X20">
        <v>36</v>
      </c>
      <c r="Y20">
        <v>35</v>
      </c>
      <c r="Z20" s="2">
        <f>AVERAGE(Sheet1__6[[#This Row],[00:00:00]:[23:00:00]])</f>
        <v>39.125</v>
      </c>
      <c r="AA20" t="str" cm="1">
        <f t="array" ref="AA20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21" spans="1:27" x14ac:dyDescent="0.3">
      <c r="A21" s="1">
        <v>45828</v>
      </c>
      <c r="B21">
        <v>34</v>
      </c>
      <c r="C21">
        <v>34</v>
      </c>
      <c r="D21">
        <v>32</v>
      </c>
      <c r="E21">
        <v>31</v>
      </c>
      <c r="F21">
        <v>31</v>
      </c>
      <c r="G21">
        <v>31</v>
      </c>
      <c r="H21">
        <v>32</v>
      </c>
      <c r="I21">
        <v>32</v>
      </c>
      <c r="J21">
        <v>32</v>
      </c>
      <c r="K21">
        <v>32</v>
      </c>
      <c r="L21">
        <v>32</v>
      </c>
      <c r="M21">
        <v>32</v>
      </c>
      <c r="N21">
        <v>32</v>
      </c>
      <c r="O21">
        <v>32</v>
      </c>
      <c r="P21">
        <v>34</v>
      </c>
      <c r="Q21">
        <v>36</v>
      </c>
      <c r="R21">
        <v>36</v>
      </c>
      <c r="S21">
        <v>38</v>
      </c>
      <c r="T21">
        <v>38</v>
      </c>
      <c r="U21">
        <v>38</v>
      </c>
      <c r="V21">
        <v>38</v>
      </c>
      <c r="W21">
        <v>40</v>
      </c>
      <c r="X21">
        <v>41</v>
      </c>
      <c r="Y21">
        <v>42</v>
      </c>
      <c r="Z21" s="2">
        <f>AVERAGE(Sheet1__6[[#This Row],[00:00:00]:[23:00:00]])</f>
        <v>34.583333333333336</v>
      </c>
      <c r="AA21" t="str" cm="1">
        <f t="array" ref="AA21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22" spans="1:27" x14ac:dyDescent="0.3">
      <c r="A22" s="1">
        <v>45829</v>
      </c>
      <c r="B22">
        <v>42</v>
      </c>
      <c r="C22">
        <v>44</v>
      </c>
      <c r="D22">
        <v>46</v>
      </c>
      <c r="E22">
        <v>46</v>
      </c>
      <c r="F22">
        <v>47</v>
      </c>
      <c r="G22">
        <v>48</v>
      </c>
      <c r="H22">
        <v>48</v>
      </c>
      <c r="I22">
        <v>48</v>
      </c>
      <c r="J22">
        <v>49</v>
      </c>
      <c r="K22">
        <v>49</v>
      </c>
      <c r="L22">
        <v>50</v>
      </c>
      <c r="P22">
        <v>53</v>
      </c>
      <c r="Q22">
        <v>53</v>
      </c>
      <c r="R22">
        <v>53</v>
      </c>
      <c r="S22">
        <v>53</v>
      </c>
      <c r="T22">
        <v>53</v>
      </c>
      <c r="U22">
        <v>53</v>
      </c>
      <c r="V22">
        <v>53</v>
      </c>
      <c r="W22">
        <v>52</v>
      </c>
      <c r="X22">
        <v>52</v>
      </c>
      <c r="Y22">
        <v>50</v>
      </c>
      <c r="Z22" s="2">
        <f>AVERAGE(Sheet1__6[[#This Row],[00:00:00]:[23:00:00]])</f>
        <v>49.61904761904762</v>
      </c>
      <c r="AA22" t="str" cm="1">
        <f t="array" ref="AA22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23" spans="1:27" x14ac:dyDescent="0.3">
      <c r="A23" s="1">
        <v>45830</v>
      </c>
      <c r="B23">
        <v>49</v>
      </c>
      <c r="C23">
        <v>48</v>
      </c>
      <c r="D23">
        <v>46</v>
      </c>
      <c r="E23">
        <v>45</v>
      </c>
      <c r="F23">
        <v>44</v>
      </c>
      <c r="G23">
        <v>44</v>
      </c>
      <c r="H23">
        <v>43</v>
      </c>
      <c r="I23">
        <v>43</v>
      </c>
      <c r="J23">
        <v>42</v>
      </c>
      <c r="K23">
        <v>41</v>
      </c>
      <c r="L23">
        <v>41</v>
      </c>
      <c r="M23">
        <v>42</v>
      </c>
      <c r="N23">
        <v>42</v>
      </c>
      <c r="O23">
        <v>42</v>
      </c>
      <c r="P23">
        <v>42</v>
      </c>
      <c r="Q23">
        <v>42</v>
      </c>
      <c r="R23">
        <v>42</v>
      </c>
      <c r="S23">
        <v>42</v>
      </c>
      <c r="T23">
        <v>42</v>
      </c>
      <c r="U23">
        <v>42</v>
      </c>
      <c r="V23">
        <v>42</v>
      </c>
      <c r="W23">
        <v>42</v>
      </c>
      <c r="X23">
        <v>42</v>
      </c>
      <c r="Y23">
        <v>44</v>
      </c>
      <c r="Z23" s="2">
        <f>AVERAGE(Sheet1__6[[#This Row],[00:00:00]:[23:00:00]])</f>
        <v>43.083333333333336</v>
      </c>
      <c r="AA23" t="str" cm="1">
        <f t="array" ref="AA23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24" spans="1:27" x14ac:dyDescent="0.3">
      <c r="A24" s="1">
        <v>45831</v>
      </c>
      <c r="B24">
        <v>45</v>
      </c>
      <c r="C24">
        <v>46</v>
      </c>
      <c r="D24">
        <v>45</v>
      </c>
      <c r="E24">
        <v>45</v>
      </c>
      <c r="F24">
        <v>44</v>
      </c>
      <c r="G24">
        <v>44</v>
      </c>
      <c r="H24">
        <v>44</v>
      </c>
      <c r="I24">
        <v>43</v>
      </c>
      <c r="J24">
        <v>43</v>
      </c>
      <c r="K24">
        <v>43</v>
      </c>
      <c r="L24">
        <v>43</v>
      </c>
      <c r="M24">
        <v>42</v>
      </c>
      <c r="N24">
        <v>44</v>
      </c>
      <c r="O24">
        <v>44</v>
      </c>
      <c r="P24">
        <v>47</v>
      </c>
      <c r="Q24">
        <v>47</v>
      </c>
      <c r="R24">
        <v>47</v>
      </c>
      <c r="S24">
        <v>49</v>
      </c>
      <c r="T24">
        <v>50</v>
      </c>
      <c r="U24">
        <v>48</v>
      </c>
      <c r="V24">
        <v>46</v>
      </c>
      <c r="W24">
        <v>45</v>
      </c>
      <c r="X24">
        <v>46</v>
      </c>
      <c r="Y24">
        <v>48</v>
      </c>
      <c r="Z24" s="2">
        <f>AVERAGE(Sheet1__6[[#This Row],[00:00:00]:[23:00:00]])</f>
        <v>45.333333333333336</v>
      </c>
      <c r="AA24" t="str" cm="1">
        <f t="array" ref="AA24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25" spans="1:27" x14ac:dyDescent="0.3">
      <c r="A25" s="1">
        <v>45832</v>
      </c>
      <c r="B25">
        <v>48</v>
      </c>
      <c r="C25">
        <v>47</v>
      </c>
      <c r="D25">
        <v>46</v>
      </c>
      <c r="E25">
        <v>44</v>
      </c>
      <c r="F25">
        <v>42</v>
      </c>
      <c r="G25">
        <v>41</v>
      </c>
      <c r="H25">
        <v>40</v>
      </c>
      <c r="I25">
        <v>40</v>
      </c>
      <c r="J25">
        <v>40</v>
      </c>
      <c r="K25">
        <v>40</v>
      </c>
      <c r="L25">
        <v>41</v>
      </c>
      <c r="M25">
        <v>41</v>
      </c>
      <c r="N25">
        <v>41</v>
      </c>
      <c r="O25">
        <v>42</v>
      </c>
      <c r="P25">
        <v>43</v>
      </c>
      <c r="Q25">
        <v>43</v>
      </c>
      <c r="R25">
        <v>43</v>
      </c>
      <c r="S25">
        <v>43</v>
      </c>
      <c r="T25">
        <v>43</v>
      </c>
      <c r="U25">
        <v>42</v>
      </c>
      <c r="V25">
        <v>42</v>
      </c>
      <c r="W25">
        <v>42</v>
      </c>
      <c r="X25">
        <v>42</v>
      </c>
      <c r="Y25">
        <v>40</v>
      </c>
      <c r="Z25" s="2">
        <f>AVERAGE(Sheet1__6[[#This Row],[00:00:00]:[23:00:00]])</f>
        <v>42.333333333333336</v>
      </c>
      <c r="AA25" t="str" cm="1">
        <f t="array" ref="AA25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26" spans="1:27" x14ac:dyDescent="0.3">
      <c r="A26" s="1">
        <v>45833</v>
      </c>
      <c r="B26">
        <v>39</v>
      </c>
      <c r="C26">
        <v>38</v>
      </c>
      <c r="D26">
        <v>37</v>
      </c>
      <c r="E26">
        <v>36</v>
      </c>
      <c r="F26">
        <v>36</v>
      </c>
      <c r="G26">
        <v>36</v>
      </c>
      <c r="H26">
        <v>36</v>
      </c>
      <c r="I26">
        <v>36</v>
      </c>
      <c r="J26">
        <v>36</v>
      </c>
      <c r="K26">
        <v>38</v>
      </c>
      <c r="L26">
        <v>40</v>
      </c>
      <c r="M26">
        <v>42</v>
      </c>
      <c r="N26">
        <v>44</v>
      </c>
      <c r="O26">
        <v>46</v>
      </c>
      <c r="P26">
        <v>46</v>
      </c>
      <c r="Q26">
        <v>46</v>
      </c>
      <c r="R26">
        <v>45</v>
      </c>
      <c r="S26">
        <v>45</v>
      </c>
      <c r="T26">
        <v>42</v>
      </c>
      <c r="U26">
        <v>42</v>
      </c>
      <c r="V26">
        <v>43</v>
      </c>
      <c r="W26">
        <v>46</v>
      </c>
      <c r="X26">
        <v>50</v>
      </c>
      <c r="Y26">
        <v>50</v>
      </c>
      <c r="Z26" s="2">
        <f>AVERAGE(Sheet1__6[[#This Row],[00:00:00]:[23:00:00]])</f>
        <v>41.458333333333336</v>
      </c>
      <c r="AA26" t="str" cm="1">
        <f t="array" ref="AA26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27" spans="1:27" x14ac:dyDescent="0.3">
      <c r="A27" s="1">
        <v>45834</v>
      </c>
      <c r="B27">
        <v>50</v>
      </c>
      <c r="C27">
        <v>50</v>
      </c>
      <c r="D27">
        <v>50</v>
      </c>
      <c r="E27">
        <v>49</v>
      </c>
      <c r="F27">
        <v>48</v>
      </c>
      <c r="G27">
        <v>45</v>
      </c>
      <c r="H27">
        <v>44</v>
      </c>
      <c r="I27">
        <v>43</v>
      </c>
      <c r="J27">
        <v>43</v>
      </c>
      <c r="K27">
        <v>42</v>
      </c>
      <c r="L27">
        <v>42</v>
      </c>
      <c r="M27">
        <v>41</v>
      </c>
      <c r="N27">
        <v>42</v>
      </c>
      <c r="O27">
        <v>43</v>
      </c>
      <c r="P27">
        <v>44</v>
      </c>
      <c r="Q27">
        <v>45</v>
      </c>
      <c r="R27">
        <v>46</v>
      </c>
      <c r="S27">
        <v>45</v>
      </c>
      <c r="U27">
        <v>45</v>
      </c>
      <c r="V27">
        <v>46</v>
      </c>
      <c r="W27">
        <v>46</v>
      </c>
      <c r="X27">
        <v>47</v>
      </c>
      <c r="Y27">
        <v>47</v>
      </c>
      <c r="Z27" s="2">
        <f>AVERAGE(Sheet1__6[[#This Row],[00:00:00]:[23:00:00]])</f>
        <v>45.347826086956523</v>
      </c>
      <c r="AA27" t="str" cm="1">
        <f t="array" ref="AA27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28" spans="1:27" x14ac:dyDescent="0.3">
      <c r="A28" s="1">
        <v>45835</v>
      </c>
      <c r="B28">
        <v>45</v>
      </c>
      <c r="C28">
        <v>43</v>
      </c>
      <c r="D28">
        <v>41</v>
      </c>
      <c r="E28">
        <v>39</v>
      </c>
      <c r="F28">
        <v>33</v>
      </c>
      <c r="G28">
        <v>31</v>
      </c>
      <c r="H28">
        <v>30</v>
      </c>
      <c r="I28">
        <v>29</v>
      </c>
      <c r="J28">
        <v>31</v>
      </c>
      <c r="K28">
        <v>31</v>
      </c>
      <c r="L28">
        <v>32</v>
      </c>
      <c r="M28">
        <v>33</v>
      </c>
      <c r="N28">
        <v>34</v>
      </c>
      <c r="O28">
        <v>34</v>
      </c>
      <c r="P28">
        <v>37</v>
      </c>
      <c r="Q28">
        <v>37</v>
      </c>
      <c r="R28">
        <v>38</v>
      </c>
      <c r="S28">
        <v>37</v>
      </c>
      <c r="T28">
        <v>38</v>
      </c>
      <c r="U28">
        <v>40</v>
      </c>
      <c r="V28">
        <v>40</v>
      </c>
      <c r="W28">
        <v>41</v>
      </c>
      <c r="X28">
        <v>44</v>
      </c>
      <c r="Y28">
        <v>47</v>
      </c>
      <c r="Z28" s="2">
        <f>AVERAGE(Sheet1__6[[#This Row],[00:00:00]:[23:00:00]])</f>
        <v>36.875</v>
      </c>
      <c r="AA28" t="str" cm="1">
        <f t="array" ref="AA28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29" spans="1:27" x14ac:dyDescent="0.3">
      <c r="A29" s="1">
        <v>45836</v>
      </c>
      <c r="B29">
        <v>50</v>
      </c>
      <c r="C29">
        <v>50</v>
      </c>
      <c r="D29">
        <v>50</v>
      </c>
      <c r="E29">
        <v>49</v>
      </c>
      <c r="F29">
        <v>48</v>
      </c>
      <c r="G29">
        <v>46</v>
      </c>
      <c r="H29">
        <v>46</v>
      </c>
      <c r="I29">
        <v>46</v>
      </c>
      <c r="J29">
        <v>46</v>
      </c>
      <c r="K29">
        <v>47</v>
      </c>
      <c r="L29">
        <v>48</v>
      </c>
      <c r="M29">
        <v>48</v>
      </c>
      <c r="N29">
        <v>48</v>
      </c>
      <c r="O29">
        <v>49</v>
      </c>
      <c r="P29">
        <v>50</v>
      </c>
      <c r="Q29">
        <v>50</v>
      </c>
      <c r="R29">
        <v>51</v>
      </c>
      <c r="S29">
        <v>52</v>
      </c>
      <c r="T29">
        <v>53</v>
      </c>
      <c r="U29">
        <v>54</v>
      </c>
      <c r="V29">
        <v>54</v>
      </c>
      <c r="W29">
        <v>54</v>
      </c>
      <c r="X29">
        <v>55</v>
      </c>
      <c r="Y29">
        <v>55</v>
      </c>
      <c r="Z29" s="2">
        <f>AVERAGE(Sheet1__6[[#This Row],[00:00:00]:[23:00:00]])</f>
        <v>49.958333333333336</v>
      </c>
      <c r="AA29" t="str" cm="1">
        <f t="array" ref="AA29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30" spans="1:27" x14ac:dyDescent="0.3">
      <c r="A30" s="1">
        <v>45837</v>
      </c>
      <c r="B30">
        <v>55</v>
      </c>
      <c r="C30">
        <v>54</v>
      </c>
      <c r="D30">
        <v>54</v>
      </c>
      <c r="E30">
        <v>54</v>
      </c>
      <c r="F30">
        <v>54</v>
      </c>
      <c r="G30">
        <v>54</v>
      </c>
      <c r="H30">
        <v>54</v>
      </c>
      <c r="I30">
        <v>54</v>
      </c>
      <c r="J30">
        <v>54</v>
      </c>
      <c r="K30">
        <v>54</v>
      </c>
      <c r="L30">
        <v>54</v>
      </c>
      <c r="M30">
        <v>53</v>
      </c>
      <c r="N30">
        <v>53</v>
      </c>
      <c r="O30">
        <v>52</v>
      </c>
      <c r="P30">
        <v>51</v>
      </c>
      <c r="Q30">
        <v>51</v>
      </c>
      <c r="R30">
        <v>48</v>
      </c>
      <c r="S30">
        <v>47</v>
      </c>
      <c r="T30">
        <v>46</v>
      </c>
      <c r="U30">
        <v>44</v>
      </c>
      <c r="V30">
        <v>44</v>
      </c>
      <c r="W30">
        <v>43</v>
      </c>
      <c r="X30">
        <v>43</v>
      </c>
      <c r="Y30">
        <v>46</v>
      </c>
      <c r="Z30" s="2">
        <f>AVERAGE(Sheet1__6[[#This Row],[00:00:00]:[23:00:00]])</f>
        <v>50.666666666666664</v>
      </c>
      <c r="AA30" t="str" cm="1">
        <f t="array" ref="AA30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31" spans="1:27" x14ac:dyDescent="0.3">
      <c r="A31" s="1">
        <v>45838</v>
      </c>
      <c r="B31">
        <v>46</v>
      </c>
      <c r="C31">
        <v>46</v>
      </c>
      <c r="D31">
        <v>46</v>
      </c>
      <c r="E31">
        <v>45</v>
      </c>
      <c r="F31">
        <v>44</v>
      </c>
      <c r="G31">
        <v>42</v>
      </c>
      <c r="H31">
        <v>40</v>
      </c>
      <c r="I31">
        <v>40</v>
      </c>
      <c r="J31">
        <v>40</v>
      </c>
      <c r="K31">
        <v>40</v>
      </c>
      <c r="L31">
        <v>40</v>
      </c>
      <c r="M31">
        <v>40</v>
      </c>
      <c r="N31">
        <v>41</v>
      </c>
      <c r="O31">
        <v>42</v>
      </c>
      <c r="P31">
        <v>43</v>
      </c>
      <c r="Q31">
        <v>44</v>
      </c>
      <c r="R31">
        <v>44</v>
      </c>
      <c r="S31">
        <v>44</v>
      </c>
      <c r="T31">
        <v>45</v>
      </c>
      <c r="U31">
        <v>42</v>
      </c>
      <c r="V31">
        <v>46</v>
      </c>
      <c r="W31">
        <v>48</v>
      </c>
      <c r="X31">
        <v>50</v>
      </c>
      <c r="Y31">
        <v>50</v>
      </c>
      <c r="Z31" s="2">
        <f>AVERAGE(Sheet1__6[[#This Row],[00:00:00]:[23:00:00]])</f>
        <v>43.666666666666664</v>
      </c>
      <c r="AA31" t="str" cm="1">
        <f t="array" ref="AA31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32" spans="1:27" x14ac:dyDescent="0.3">
      <c r="Z32" s="2">
        <f>SUBTOTAL(101,Sheet1__6[AVERAGE AQI])</f>
        <v>64.487262375305846</v>
      </c>
      <c r="AA32" s="3"/>
    </row>
  </sheetData>
  <conditionalFormatting sqref="AA1:AA1048576">
    <cfRule type="containsText" dxfId="66" priority="3" operator="containsText" text="GOOD">
      <formula>NOT(ISERROR(SEARCH("GOOD",AA1)))</formula>
    </cfRule>
    <cfRule type="containsText" dxfId="67" priority="2" operator="containsText" text="BAD">
      <formula>NOT(ISERROR(SEARCH("BAD",AA1)))</formula>
    </cfRule>
    <cfRule type="containsText" dxfId="68" priority="1" operator="containsText" text="MODERATE">
      <formula>NOT(ISERROR(SEARCH("MODERATE",AA1)))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F627-33A7-482E-975B-F7AD96B08A10}">
  <dimension ref="A1:AA33"/>
  <sheetViews>
    <sheetView topLeftCell="A13" workbookViewId="0">
      <selection activeCell="AD8" sqref="AD8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8.88671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45839</v>
      </c>
      <c r="B2">
        <v>50</v>
      </c>
      <c r="C2">
        <v>50</v>
      </c>
      <c r="D2">
        <v>49</v>
      </c>
      <c r="E2">
        <v>48</v>
      </c>
      <c r="F2">
        <v>47</v>
      </c>
      <c r="G2">
        <v>45</v>
      </c>
      <c r="H2">
        <v>45</v>
      </c>
      <c r="I2">
        <v>45</v>
      </c>
      <c r="J2">
        <v>46</v>
      </c>
      <c r="K2">
        <v>46</v>
      </c>
      <c r="L2">
        <v>46</v>
      </c>
      <c r="M2">
        <v>46</v>
      </c>
      <c r="O2">
        <v>48</v>
      </c>
      <c r="P2">
        <v>48</v>
      </c>
      <c r="Q2">
        <v>48</v>
      </c>
      <c r="R2">
        <v>47</v>
      </c>
      <c r="S2">
        <v>45</v>
      </c>
      <c r="T2">
        <v>43</v>
      </c>
      <c r="U2">
        <v>43</v>
      </c>
      <c r="V2">
        <v>44</v>
      </c>
      <c r="W2">
        <v>45</v>
      </c>
      <c r="X2">
        <v>46</v>
      </c>
      <c r="Y2">
        <v>47</v>
      </c>
      <c r="Z2" s="2">
        <f>AVERAGE(Sheet1__7[[#This Row],[00:00:00]:[23:00:00]])</f>
        <v>46.391304347826086</v>
      </c>
      <c r="AA2" t="str" cm="1">
        <f t="array" ref="AA2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3" spans="1:27" x14ac:dyDescent="0.3">
      <c r="A3" s="1">
        <v>45840</v>
      </c>
      <c r="B3">
        <v>47</v>
      </c>
      <c r="C3">
        <v>47</v>
      </c>
      <c r="D3">
        <v>48</v>
      </c>
      <c r="E3">
        <v>48</v>
      </c>
      <c r="F3">
        <v>50</v>
      </c>
      <c r="G3">
        <v>49</v>
      </c>
      <c r="H3">
        <v>47</v>
      </c>
      <c r="I3">
        <v>47</v>
      </c>
      <c r="J3">
        <v>40</v>
      </c>
      <c r="K3">
        <v>34</v>
      </c>
      <c r="L3">
        <v>34</v>
      </c>
      <c r="M3">
        <v>35</v>
      </c>
      <c r="N3">
        <v>35</v>
      </c>
      <c r="O3">
        <v>35</v>
      </c>
      <c r="P3">
        <v>35</v>
      </c>
      <c r="Q3">
        <v>36</v>
      </c>
      <c r="R3">
        <v>37</v>
      </c>
      <c r="S3">
        <v>39</v>
      </c>
      <c r="T3">
        <v>39</v>
      </c>
      <c r="U3">
        <v>41</v>
      </c>
      <c r="V3">
        <v>41</v>
      </c>
      <c r="W3">
        <v>41</v>
      </c>
      <c r="X3">
        <v>42</v>
      </c>
      <c r="Y3">
        <v>42</v>
      </c>
      <c r="Z3" s="2">
        <f>AVERAGE(Sheet1__7[[#This Row],[00:00:00]:[23:00:00]])</f>
        <v>41.208333333333336</v>
      </c>
      <c r="AA3" t="str" cm="1">
        <f t="array" ref="AA3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4" spans="1:27" x14ac:dyDescent="0.3">
      <c r="A4" s="1">
        <v>45841</v>
      </c>
      <c r="B4">
        <v>41</v>
      </c>
      <c r="C4">
        <v>41</v>
      </c>
      <c r="D4">
        <v>41</v>
      </c>
      <c r="E4">
        <v>50</v>
      </c>
      <c r="F4">
        <v>49</v>
      </c>
      <c r="G4">
        <v>46</v>
      </c>
      <c r="H4">
        <v>46</v>
      </c>
      <c r="I4">
        <v>47</v>
      </c>
      <c r="J4">
        <v>47</v>
      </c>
      <c r="K4">
        <v>47</v>
      </c>
      <c r="L4">
        <v>47</v>
      </c>
      <c r="M4">
        <v>47</v>
      </c>
      <c r="N4">
        <v>47</v>
      </c>
      <c r="O4">
        <v>47</v>
      </c>
      <c r="P4">
        <v>48</v>
      </c>
      <c r="Q4">
        <v>47</v>
      </c>
      <c r="R4">
        <v>47</v>
      </c>
      <c r="S4">
        <v>47</v>
      </c>
      <c r="T4">
        <v>47</v>
      </c>
      <c r="U4">
        <v>50</v>
      </c>
      <c r="V4">
        <v>52</v>
      </c>
      <c r="W4">
        <v>52</v>
      </c>
      <c r="X4">
        <v>53</v>
      </c>
      <c r="Y4">
        <v>54</v>
      </c>
      <c r="Z4" s="2">
        <f>AVERAGE(Sheet1__7[[#This Row],[00:00:00]:[23:00:00]])</f>
        <v>47.5</v>
      </c>
      <c r="AA4" t="str" cm="1">
        <f t="array" ref="AA4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5" spans="1:27" x14ac:dyDescent="0.3">
      <c r="A5" s="1">
        <v>45842</v>
      </c>
      <c r="B5">
        <v>52</v>
      </c>
      <c r="C5">
        <v>52</v>
      </c>
      <c r="D5">
        <v>50</v>
      </c>
      <c r="E5">
        <v>48</v>
      </c>
      <c r="F5">
        <v>44</v>
      </c>
      <c r="G5">
        <v>42</v>
      </c>
      <c r="H5">
        <v>40</v>
      </c>
      <c r="I5">
        <v>39</v>
      </c>
      <c r="J5">
        <v>39</v>
      </c>
      <c r="K5">
        <v>38</v>
      </c>
      <c r="L5">
        <v>40</v>
      </c>
      <c r="M5">
        <v>41</v>
      </c>
      <c r="N5">
        <v>41</v>
      </c>
      <c r="O5">
        <v>42</v>
      </c>
      <c r="P5">
        <v>41</v>
      </c>
      <c r="Q5">
        <v>41</v>
      </c>
      <c r="R5">
        <v>40</v>
      </c>
      <c r="S5">
        <v>40</v>
      </c>
      <c r="T5">
        <v>39</v>
      </c>
      <c r="U5">
        <v>39</v>
      </c>
      <c r="V5">
        <v>40</v>
      </c>
      <c r="W5">
        <v>41</v>
      </c>
      <c r="X5">
        <v>42</v>
      </c>
      <c r="Y5">
        <v>44</v>
      </c>
      <c r="Z5" s="2">
        <f>AVERAGE(Sheet1__7[[#This Row],[00:00:00]:[23:00:00]])</f>
        <v>42.291666666666664</v>
      </c>
      <c r="AA5" t="str" cm="1">
        <f t="array" ref="AA5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6" spans="1:27" x14ac:dyDescent="0.3">
      <c r="A6" s="1">
        <v>45843</v>
      </c>
      <c r="B6">
        <v>44</v>
      </c>
      <c r="C6">
        <v>44</v>
      </c>
      <c r="D6">
        <v>45</v>
      </c>
      <c r="E6">
        <v>44</v>
      </c>
      <c r="F6">
        <v>43</v>
      </c>
      <c r="G6">
        <v>41</v>
      </c>
      <c r="H6">
        <v>39</v>
      </c>
      <c r="I6">
        <v>40</v>
      </c>
      <c r="J6">
        <v>40</v>
      </c>
      <c r="K6">
        <v>41</v>
      </c>
      <c r="L6">
        <v>41</v>
      </c>
      <c r="M6">
        <v>42</v>
      </c>
      <c r="N6">
        <v>43</v>
      </c>
      <c r="O6">
        <v>43</v>
      </c>
      <c r="P6">
        <v>47</v>
      </c>
      <c r="Q6">
        <v>47</v>
      </c>
      <c r="R6">
        <v>45</v>
      </c>
      <c r="S6">
        <v>41</v>
      </c>
      <c r="T6">
        <v>41</v>
      </c>
      <c r="U6">
        <v>41</v>
      </c>
      <c r="V6">
        <v>42</v>
      </c>
      <c r="W6">
        <v>41</v>
      </c>
      <c r="X6">
        <v>40</v>
      </c>
      <c r="Y6">
        <v>41</v>
      </c>
      <c r="Z6" s="2">
        <f>AVERAGE(Sheet1__7[[#This Row],[00:00:00]:[23:00:00]])</f>
        <v>42.333333333333336</v>
      </c>
      <c r="AA6" t="str" cm="1">
        <f t="array" ref="AA6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7" spans="1:27" x14ac:dyDescent="0.3">
      <c r="A7" s="1">
        <v>45844</v>
      </c>
      <c r="B7">
        <v>40</v>
      </c>
      <c r="C7">
        <v>39</v>
      </c>
      <c r="D7">
        <v>38</v>
      </c>
      <c r="E7">
        <v>38</v>
      </c>
      <c r="F7">
        <v>38</v>
      </c>
      <c r="G7">
        <v>38</v>
      </c>
      <c r="H7">
        <v>38</v>
      </c>
      <c r="I7">
        <v>38</v>
      </c>
      <c r="J7">
        <v>38</v>
      </c>
      <c r="K7">
        <v>37</v>
      </c>
      <c r="L7">
        <v>36</v>
      </c>
      <c r="M7">
        <v>36</v>
      </c>
      <c r="N7">
        <v>36</v>
      </c>
      <c r="O7">
        <v>35</v>
      </c>
      <c r="P7">
        <v>34</v>
      </c>
      <c r="Q7">
        <v>32</v>
      </c>
      <c r="R7">
        <v>32</v>
      </c>
      <c r="S7">
        <v>31</v>
      </c>
      <c r="T7">
        <v>30</v>
      </c>
      <c r="U7">
        <v>29</v>
      </c>
      <c r="V7">
        <v>28</v>
      </c>
      <c r="W7">
        <v>29</v>
      </c>
      <c r="X7">
        <v>30</v>
      </c>
      <c r="Y7">
        <v>31</v>
      </c>
      <c r="Z7" s="2">
        <f>AVERAGE(Sheet1__7[[#This Row],[00:00:00]:[23:00:00]])</f>
        <v>34.625</v>
      </c>
      <c r="AA7" t="str" cm="1">
        <f t="array" ref="AA7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8" spans="1:27" x14ac:dyDescent="0.3">
      <c r="A8" s="1">
        <v>45845</v>
      </c>
      <c r="B8">
        <v>31</v>
      </c>
      <c r="C8">
        <v>30</v>
      </c>
      <c r="D8">
        <v>30</v>
      </c>
      <c r="E8">
        <v>30</v>
      </c>
      <c r="F8">
        <v>29</v>
      </c>
      <c r="G8">
        <v>29</v>
      </c>
      <c r="H8">
        <v>29</v>
      </c>
      <c r="I8">
        <v>30</v>
      </c>
      <c r="J8">
        <v>30</v>
      </c>
      <c r="K8">
        <v>31</v>
      </c>
      <c r="L8">
        <v>31</v>
      </c>
      <c r="M8">
        <v>31</v>
      </c>
      <c r="N8">
        <v>31</v>
      </c>
      <c r="O8">
        <v>31</v>
      </c>
      <c r="P8">
        <v>31</v>
      </c>
      <c r="Q8">
        <v>31</v>
      </c>
      <c r="R8">
        <v>32</v>
      </c>
      <c r="S8">
        <v>31</v>
      </c>
      <c r="T8">
        <v>32</v>
      </c>
      <c r="U8">
        <v>33</v>
      </c>
      <c r="V8">
        <v>32</v>
      </c>
      <c r="W8">
        <v>32</v>
      </c>
      <c r="X8">
        <v>32</v>
      </c>
      <c r="Y8">
        <v>31</v>
      </c>
      <c r="Z8" s="2">
        <f>AVERAGE(Sheet1__7[[#This Row],[00:00:00]:[23:00:00]])</f>
        <v>30.833333333333332</v>
      </c>
      <c r="AA8" t="str" cm="1">
        <f t="array" ref="AA8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9" spans="1:27" x14ac:dyDescent="0.3">
      <c r="A9" s="1">
        <v>45846</v>
      </c>
      <c r="B9">
        <v>30</v>
      </c>
      <c r="C9">
        <v>29</v>
      </c>
      <c r="D9">
        <v>29</v>
      </c>
      <c r="E9">
        <v>29</v>
      </c>
      <c r="F9">
        <v>27</v>
      </c>
      <c r="G9">
        <v>27</v>
      </c>
      <c r="H9">
        <v>28</v>
      </c>
      <c r="I9">
        <v>28</v>
      </c>
      <c r="J9">
        <v>28</v>
      </c>
      <c r="K9">
        <v>28</v>
      </c>
      <c r="L9">
        <v>28</v>
      </c>
      <c r="M9">
        <v>28</v>
      </c>
      <c r="N9">
        <v>29</v>
      </c>
      <c r="O9">
        <v>30</v>
      </c>
      <c r="P9">
        <v>30</v>
      </c>
      <c r="Q9">
        <v>31</v>
      </c>
      <c r="R9">
        <v>32</v>
      </c>
      <c r="S9">
        <v>32</v>
      </c>
      <c r="T9">
        <v>32</v>
      </c>
      <c r="U9">
        <v>33</v>
      </c>
      <c r="V9">
        <v>33</v>
      </c>
      <c r="W9">
        <v>32</v>
      </c>
      <c r="X9">
        <v>32</v>
      </c>
      <c r="Y9">
        <v>32</v>
      </c>
      <c r="Z9" s="2">
        <f>AVERAGE(Sheet1__7[[#This Row],[00:00:00]:[23:00:00]])</f>
        <v>29.875</v>
      </c>
      <c r="AA9" t="str" cm="1">
        <f t="array" ref="AA9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10" spans="1:27" x14ac:dyDescent="0.3">
      <c r="A10" s="1">
        <v>45847</v>
      </c>
      <c r="B10">
        <v>32</v>
      </c>
      <c r="C10">
        <v>33</v>
      </c>
      <c r="D10">
        <v>36</v>
      </c>
      <c r="E10">
        <v>38</v>
      </c>
      <c r="F10">
        <v>39</v>
      </c>
      <c r="G10">
        <v>39</v>
      </c>
      <c r="H10">
        <v>40</v>
      </c>
      <c r="I10">
        <v>42</v>
      </c>
      <c r="J10">
        <v>42</v>
      </c>
      <c r="K10">
        <v>42</v>
      </c>
      <c r="L10">
        <v>42</v>
      </c>
      <c r="M10">
        <v>42</v>
      </c>
      <c r="N10">
        <v>41</v>
      </c>
      <c r="O10">
        <v>39</v>
      </c>
      <c r="P10">
        <v>39</v>
      </c>
      <c r="Q10">
        <v>39</v>
      </c>
      <c r="R10">
        <v>40</v>
      </c>
      <c r="S10">
        <v>42</v>
      </c>
      <c r="T10">
        <v>40</v>
      </c>
      <c r="U10">
        <v>38</v>
      </c>
      <c r="V10">
        <v>38</v>
      </c>
      <c r="W10">
        <v>40</v>
      </c>
      <c r="X10">
        <v>42</v>
      </c>
      <c r="Y10">
        <v>43</v>
      </c>
      <c r="Z10" s="2">
        <f>AVERAGE(Sheet1__7[[#This Row],[00:00:00]:[23:00:00]])</f>
        <v>39.5</v>
      </c>
      <c r="AA10" t="str" cm="1">
        <f t="array" ref="AA10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11" spans="1:27" x14ac:dyDescent="0.3">
      <c r="A11" s="1">
        <v>45848</v>
      </c>
      <c r="B11">
        <v>42</v>
      </c>
      <c r="C11">
        <v>39</v>
      </c>
      <c r="D11">
        <v>38</v>
      </c>
      <c r="E11">
        <v>38</v>
      </c>
      <c r="F11">
        <v>38</v>
      </c>
      <c r="G11">
        <v>38</v>
      </c>
      <c r="H11">
        <v>39</v>
      </c>
      <c r="I11">
        <v>40</v>
      </c>
      <c r="J11">
        <v>41</v>
      </c>
      <c r="K11">
        <v>42</v>
      </c>
      <c r="L11">
        <v>43</v>
      </c>
      <c r="M11">
        <v>42</v>
      </c>
      <c r="N11">
        <v>42</v>
      </c>
      <c r="O11">
        <v>41</v>
      </c>
      <c r="P11">
        <v>42</v>
      </c>
      <c r="Q11">
        <v>42</v>
      </c>
      <c r="R11">
        <v>42</v>
      </c>
      <c r="S11">
        <v>43</v>
      </c>
      <c r="T11">
        <v>44</v>
      </c>
      <c r="U11">
        <v>46</v>
      </c>
      <c r="V11">
        <v>47</v>
      </c>
      <c r="W11">
        <v>48</v>
      </c>
      <c r="X11">
        <v>48</v>
      </c>
      <c r="Y11">
        <v>48</v>
      </c>
      <c r="Z11" s="2">
        <f>AVERAGE(Sheet1__7[[#This Row],[00:00:00]:[23:00:00]])</f>
        <v>42.208333333333336</v>
      </c>
      <c r="AA11" t="str" cm="1">
        <f t="array" ref="AA11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12" spans="1:27" x14ac:dyDescent="0.3">
      <c r="A12" s="1">
        <v>45849</v>
      </c>
      <c r="B12">
        <v>50</v>
      </c>
      <c r="C12">
        <v>51</v>
      </c>
      <c r="D12">
        <v>53</v>
      </c>
      <c r="E12">
        <v>54</v>
      </c>
      <c r="F12">
        <v>55</v>
      </c>
      <c r="G12">
        <v>56</v>
      </c>
      <c r="H12">
        <v>57</v>
      </c>
      <c r="I12">
        <v>58</v>
      </c>
      <c r="J12">
        <v>60</v>
      </c>
      <c r="K12">
        <v>61</v>
      </c>
      <c r="L12">
        <v>62</v>
      </c>
      <c r="M12">
        <v>62</v>
      </c>
      <c r="N12">
        <v>63</v>
      </c>
      <c r="O12">
        <v>64</v>
      </c>
      <c r="P12">
        <v>65</v>
      </c>
      <c r="Q12">
        <v>66</v>
      </c>
      <c r="R12">
        <v>66</v>
      </c>
      <c r="S12">
        <v>66</v>
      </c>
      <c r="T12">
        <v>66</v>
      </c>
      <c r="U12">
        <v>66</v>
      </c>
      <c r="V12">
        <v>66</v>
      </c>
      <c r="W12">
        <v>65</v>
      </c>
      <c r="X12">
        <v>66</v>
      </c>
      <c r="Y12">
        <v>66</v>
      </c>
      <c r="Z12" s="2">
        <f>AVERAGE(Sheet1__7[[#This Row],[00:00:00]:[23:00:00]])</f>
        <v>61</v>
      </c>
      <c r="AA12" t="str" cm="1">
        <f t="array" ref="AA12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13" spans="1:27" x14ac:dyDescent="0.3">
      <c r="A13" s="1">
        <v>45850</v>
      </c>
      <c r="B13">
        <v>66</v>
      </c>
      <c r="C13">
        <v>66</v>
      </c>
      <c r="D13">
        <v>67</v>
      </c>
      <c r="E13">
        <v>67</v>
      </c>
      <c r="F13">
        <v>70</v>
      </c>
      <c r="G13">
        <v>73</v>
      </c>
      <c r="H13">
        <v>72</v>
      </c>
      <c r="I13">
        <v>72</v>
      </c>
      <c r="J13">
        <v>72</v>
      </c>
      <c r="K13">
        <v>73</v>
      </c>
      <c r="L13">
        <v>73</v>
      </c>
      <c r="M13">
        <v>73</v>
      </c>
      <c r="N13">
        <v>72</v>
      </c>
      <c r="O13">
        <v>72</v>
      </c>
      <c r="P13">
        <v>72</v>
      </c>
      <c r="Q13">
        <v>72</v>
      </c>
      <c r="R13">
        <v>72</v>
      </c>
      <c r="S13">
        <v>72</v>
      </c>
      <c r="T13">
        <v>71</v>
      </c>
      <c r="U13">
        <v>71</v>
      </c>
      <c r="V13">
        <v>71</v>
      </c>
      <c r="W13">
        <v>70</v>
      </c>
      <c r="X13">
        <v>69</v>
      </c>
      <c r="Y13">
        <v>69</v>
      </c>
      <c r="Z13" s="2">
        <f>AVERAGE(Sheet1__7[[#This Row],[00:00:00]:[23:00:00]])</f>
        <v>70.708333333333329</v>
      </c>
      <c r="AA13" t="str" cm="1">
        <f t="array" ref="AA13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14" spans="1:27" x14ac:dyDescent="0.3">
      <c r="A14" s="1">
        <v>45851</v>
      </c>
      <c r="B14">
        <v>68</v>
      </c>
      <c r="C14">
        <v>67</v>
      </c>
      <c r="D14">
        <v>67</v>
      </c>
      <c r="E14">
        <v>67</v>
      </c>
      <c r="F14">
        <v>66</v>
      </c>
      <c r="G14">
        <v>66</v>
      </c>
      <c r="H14">
        <v>63</v>
      </c>
      <c r="I14">
        <v>63</v>
      </c>
      <c r="J14">
        <v>62</v>
      </c>
      <c r="K14">
        <v>61</v>
      </c>
      <c r="L14">
        <v>61</v>
      </c>
      <c r="M14">
        <v>61</v>
      </c>
      <c r="N14">
        <v>61</v>
      </c>
      <c r="O14">
        <v>60</v>
      </c>
      <c r="P14">
        <v>60</v>
      </c>
      <c r="Q14">
        <v>60</v>
      </c>
      <c r="R14">
        <v>59</v>
      </c>
      <c r="S14">
        <v>58</v>
      </c>
      <c r="T14">
        <v>58</v>
      </c>
      <c r="U14">
        <v>57</v>
      </c>
      <c r="V14">
        <v>56</v>
      </c>
      <c r="W14">
        <v>56</v>
      </c>
      <c r="X14">
        <v>56</v>
      </c>
      <c r="Y14">
        <v>56</v>
      </c>
      <c r="Z14" s="2">
        <f>AVERAGE(Sheet1__7[[#This Row],[00:00:00]:[23:00:00]])</f>
        <v>61.208333333333336</v>
      </c>
      <c r="AA14" t="str" cm="1">
        <f t="array" ref="AA14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15" spans="1:27" x14ac:dyDescent="0.3">
      <c r="A15" s="1">
        <v>45852</v>
      </c>
      <c r="B15">
        <v>55</v>
      </c>
      <c r="C15">
        <v>54</v>
      </c>
      <c r="D15">
        <v>54</v>
      </c>
      <c r="E15">
        <v>53</v>
      </c>
      <c r="F15">
        <v>52</v>
      </c>
      <c r="G15">
        <v>51</v>
      </c>
      <c r="H15">
        <v>50</v>
      </c>
      <c r="I15">
        <v>48</v>
      </c>
      <c r="J15">
        <v>47</v>
      </c>
      <c r="K15">
        <v>46</v>
      </c>
      <c r="L15">
        <v>45</v>
      </c>
      <c r="M15">
        <v>45</v>
      </c>
      <c r="N15">
        <v>44</v>
      </c>
      <c r="O15">
        <v>43</v>
      </c>
      <c r="P15">
        <v>42</v>
      </c>
      <c r="Q15">
        <v>42</v>
      </c>
      <c r="R15">
        <v>42</v>
      </c>
      <c r="S15">
        <v>41</v>
      </c>
      <c r="T15">
        <v>41</v>
      </c>
      <c r="U15">
        <v>41</v>
      </c>
      <c r="V15">
        <v>41</v>
      </c>
      <c r="W15">
        <v>40</v>
      </c>
      <c r="X15">
        <v>40</v>
      </c>
      <c r="Y15">
        <v>38</v>
      </c>
      <c r="Z15" s="2">
        <f>AVERAGE(Sheet1__7[[#This Row],[00:00:00]:[23:00:00]])</f>
        <v>45.625</v>
      </c>
      <c r="AA15" t="str" cm="1">
        <f t="array" ref="AA15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16" spans="1:27" x14ac:dyDescent="0.3">
      <c r="A16" s="1">
        <v>45853</v>
      </c>
      <c r="B16">
        <v>37</v>
      </c>
      <c r="C16">
        <v>36</v>
      </c>
      <c r="D16">
        <v>36</v>
      </c>
      <c r="E16">
        <v>35</v>
      </c>
      <c r="F16">
        <v>35</v>
      </c>
      <c r="G16">
        <v>36</v>
      </c>
      <c r="H16">
        <v>36</v>
      </c>
      <c r="I16">
        <v>36</v>
      </c>
      <c r="J16">
        <v>36</v>
      </c>
      <c r="K16">
        <v>36</v>
      </c>
      <c r="L16">
        <v>36</v>
      </c>
      <c r="M16">
        <v>36</v>
      </c>
      <c r="N16">
        <v>35</v>
      </c>
      <c r="O16">
        <v>35</v>
      </c>
      <c r="P16">
        <v>35</v>
      </c>
      <c r="Q16">
        <v>35</v>
      </c>
      <c r="R16">
        <v>34</v>
      </c>
      <c r="S16">
        <v>34</v>
      </c>
      <c r="T16">
        <v>35</v>
      </c>
      <c r="U16">
        <v>36</v>
      </c>
      <c r="V16">
        <v>36</v>
      </c>
      <c r="W16">
        <v>39</v>
      </c>
      <c r="X16">
        <v>39</v>
      </c>
      <c r="Y16">
        <v>48</v>
      </c>
      <c r="Z16" s="2">
        <f>AVERAGE(Sheet1__7[[#This Row],[00:00:00]:[23:00:00]])</f>
        <v>36.333333333333336</v>
      </c>
      <c r="AA16" t="str" cm="1">
        <f t="array" ref="AA16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17" spans="1:27" x14ac:dyDescent="0.3">
      <c r="A17" s="1">
        <v>45854</v>
      </c>
      <c r="B17">
        <v>49</v>
      </c>
      <c r="C17">
        <v>48</v>
      </c>
      <c r="D17">
        <v>46</v>
      </c>
      <c r="E17">
        <v>46</v>
      </c>
      <c r="F17">
        <v>44</v>
      </c>
      <c r="G17">
        <v>43</v>
      </c>
      <c r="H17">
        <v>42</v>
      </c>
      <c r="I17">
        <v>41</v>
      </c>
      <c r="J17">
        <v>42</v>
      </c>
      <c r="K17">
        <v>42</v>
      </c>
      <c r="L17">
        <v>42</v>
      </c>
      <c r="M17">
        <v>42</v>
      </c>
      <c r="N17">
        <v>42</v>
      </c>
      <c r="O17">
        <v>42</v>
      </c>
      <c r="P17">
        <v>42</v>
      </c>
      <c r="Q17">
        <v>43</v>
      </c>
      <c r="R17">
        <v>43</v>
      </c>
      <c r="S17">
        <v>44</v>
      </c>
      <c r="T17">
        <v>44</v>
      </c>
      <c r="U17">
        <v>44</v>
      </c>
      <c r="V17">
        <v>45</v>
      </c>
      <c r="W17">
        <v>46</v>
      </c>
      <c r="X17">
        <v>46</v>
      </c>
      <c r="Y17">
        <v>48</v>
      </c>
      <c r="Z17" s="2">
        <f>AVERAGE(Sheet1__7[[#This Row],[00:00:00]:[23:00:00]])</f>
        <v>44</v>
      </c>
      <c r="AA17" t="str" cm="1">
        <f t="array" ref="AA17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18" spans="1:27" x14ac:dyDescent="0.3">
      <c r="A18" s="1">
        <v>45855</v>
      </c>
      <c r="B18">
        <v>48</v>
      </c>
      <c r="C18">
        <v>50</v>
      </c>
      <c r="D18">
        <v>50</v>
      </c>
      <c r="E18">
        <v>50</v>
      </c>
      <c r="F18">
        <v>49</v>
      </c>
      <c r="G18">
        <v>49</v>
      </c>
      <c r="H18">
        <v>50</v>
      </c>
      <c r="I18">
        <v>50</v>
      </c>
      <c r="J18">
        <v>51</v>
      </c>
      <c r="K18">
        <v>51</v>
      </c>
      <c r="L18">
        <v>52</v>
      </c>
      <c r="M18">
        <v>53</v>
      </c>
      <c r="N18">
        <v>54</v>
      </c>
      <c r="O18">
        <v>55</v>
      </c>
      <c r="P18">
        <v>56</v>
      </c>
      <c r="Q18">
        <v>56</v>
      </c>
      <c r="R18">
        <v>56</v>
      </c>
      <c r="S18">
        <v>56</v>
      </c>
      <c r="T18">
        <v>55</v>
      </c>
      <c r="U18">
        <v>55</v>
      </c>
      <c r="V18">
        <v>57</v>
      </c>
      <c r="W18">
        <v>61</v>
      </c>
      <c r="X18">
        <v>65</v>
      </c>
      <c r="Y18">
        <v>67</v>
      </c>
      <c r="Z18" s="2">
        <f>AVERAGE(Sheet1__7[[#This Row],[00:00:00]:[23:00:00]])</f>
        <v>54</v>
      </c>
      <c r="AA18" t="str" cm="1">
        <f t="array" ref="AA18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19" spans="1:27" x14ac:dyDescent="0.3">
      <c r="A19" s="1">
        <v>45856</v>
      </c>
      <c r="B19">
        <v>68</v>
      </c>
      <c r="C19">
        <v>67</v>
      </c>
      <c r="D19">
        <v>64</v>
      </c>
      <c r="E19">
        <v>61</v>
      </c>
      <c r="F19">
        <v>57</v>
      </c>
      <c r="G19">
        <v>55</v>
      </c>
      <c r="H19">
        <v>52</v>
      </c>
      <c r="I19">
        <v>52</v>
      </c>
      <c r="J19">
        <v>51</v>
      </c>
      <c r="K19">
        <v>50</v>
      </c>
      <c r="L19">
        <v>50</v>
      </c>
      <c r="M19">
        <v>51</v>
      </c>
      <c r="N19">
        <v>52</v>
      </c>
      <c r="O19">
        <v>52</v>
      </c>
      <c r="P19">
        <v>54</v>
      </c>
      <c r="Q19">
        <v>56</v>
      </c>
      <c r="R19">
        <v>58</v>
      </c>
      <c r="S19">
        <v>60</v>
      </c>
      <c r="T19">
        <v>62</v>
      </c>
      <c r="U19">
        <v>64</v>
      </c>
      <c r="V19">
        <v>65</v>
      </c>
      <c r="W19">
        <v>67</v>
      </c>
      <c r="X19">
        <v>71</v>
      </c>
      <c r="Y19">
        <v>75</v>
      </c>
      <c r="Z19" s="2">
        <f>AVERAGE(Sheet1__7[[#This Row],[00:00:00]:[23:00:00]])</f>
        <v>58.916666666666664</v>
      </c>
      <c r="AA19" t="str" cm="1">
        <f t="array" ref="AA19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20" spans="1:27" x14ac:dyDescent="0.3">
      <c r="A20" s="1">
        <v>45857</v>
      </c>
      <c r="B20">
        <v>80</v>
      </c>
      <c r="C20">
        <v>82</v>
      </c>
      <c r="D20">
        <v>83</v>
      </c>
      <c r="E20">
        <v>83</v>
      </c>
      <c r="F20">
        <v>81</v>
      </c>
      <c r="G20">
        <v>82</v>
      </c>
      <c r="H20">
        <v>83</v>
      </c>
      <c r="I20">
        <v>85</v>
      </c>
      <c r="J20">
        <v>87</v>
      </c>
      <c r="K20">
        <v>89</v>
      </c>
      <c r="L20">
        <v>90</v>
      </c>
      <c r="M20">
        <v>91</v>
      </c>
      <c r="N20">
        <v>92</v>
      </c>
      <c r="O20">
        <v>93</v>
      </c>
      <c r="P20">
        <v>94</v>
      </c>
      <c r="Q20">
        <v>94</v>
      </c>
      <c r="R20">
        <v>95</v>
      </c>
      <c r="S20">
        <v>96</v>
      </c>
      <c r="T20">
        <v>97</v>
      </c>
      <c r="U20">
        <v>97</v>
      </c>
      <c r="V20">
        <v>98</v>
      </c>
      <c r="W20">
        <v>98</v>
      </c>
      <c r="X20">
        <v>98</v>
      </c>
      <c r="Y20">
        <v>99</v>
      </c>
      <c r="Z20" s="2">
        <f>AVERAGE(Sheet1__7[[#This Row],[00:00:00]:[23:00:00]])</f>
        <v>90.291666666666671</v>
      </c>
      <c r="AA20" t="str" cm="1">
        <f t="array" ref="AA20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21" spans="1:27" x14ac:dyDescent="0.3">
      <c r="A21" s="1">
        <v>45858</v>
      </c>
      <c r="B21">
        <v>100</v>
      </c>
      <c r="C21">
        <v>100</v>
      </c>
      <c r="D21">
        <v>100</v>
      </c>
      <c r="E21">
        <v>99</v>
      </c>
      <c r="F21">
        <v>99</v>
      </c>
      <c r="G21">
        <v>98</v>
      </c>
      <c r="H21">
        <v>98</v>
      </c>
      <c r="I21">
        <v>97</v>
      </c>
      <c r="J21">
        <v>96</v>
      </c>
      <c r="K21">
        <v>95</v>
      </c>
      <c r="L21">
        <v>94</v>
      </c>
      <c r="M21">
        <v>92</v>
      </c>
      <c r="N21">
        <v>92</v>
      </c>
      <c r="O21">
        <v>88</v>
      </c>
      <c r="P21">
        <v>87</v>
      </c>
      <c r="Q21">
        <v>86</v>
      </c>
      <c r="R21">
        <v>84</v>
      </c>
      <c r="S21">
        <v>82</v>
      </c>
      <c r="T21">
        <v>82</v>
      </c>
      <c r="U21">
        <v>81</v>
      </c>
      <c r="V21">
        <v>80</v>
      </c>
      <c r="W21">
        <v>79</v>
      </c>
      <c r="X21">
        <v>78</v>
      </c>
      <c r="Y21">
        <v>77</v>
      </c>
      <c r="Z21" s="2">
        <f>AVERAGE(Sheet1__7[[#This Row],[00:00:00]:[23:00:00]])</f>
        <v>90.166666666666671</v>
      </c>
      <c r="AA21" t="str" cm="1">
        <f t="array" ref="AA21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22" spans="1:27" x14ac:dyDescent="0.3">
      <c r="A22" s="1">
        <v>45859</v>
      </c>
      <c r="B22">
        <v>76</v>
      </c>
      <c r="C22">
        <v>75</v>
      </c>
      <c r="D22">
        <v>74</v>
      </c>
      <c r="E22">
        <v>73</v>
      </c>
      <c r="F22">
        <v>72</v>
      </c>
      <c r="G22">
        <v>70</v>
      </c>
      <c r="H22">
        <v>69</v>
      </c>
      <c r="I22">
        <v>67</v>
      </c>
      <c r="J22">
        <v>66</v>
      </c>
      <c r="K22">
        <v>66</v>
      </c>
      <c r="L22">
        <v>64</v>
      </c>
      <c r="M22">
        <v>63</v>
      </c>
      <c r="N22">
        <v>62</v>
      </c>
      <c r="O22">
        <v>61</v>
      </c>
      <c r="P22">
        <v>60</v>
      </c>
      <c r="Q22">
        <v>59</v>
      </c>
      <c r="R22">
        <v>58</v>
      </c>
      <c r="S22">
        <v>57</v>
      </c>
      <c r="T22">
        <v>56</v>
      </c>
      <c r="U22">
        <v>56</v>
      </c>
      <c r="V22">
        <v>56</v>
      </c>
      <c r="W22">
        <v>55</v>
      </c>
      <c r="X22">
        <v>54</v>
      </c>
      <c r="Y22">
        <v>52</v>
      </c>
      <c r="Z22" s="2">
        <f>AVERAGE(Sheet1__7[[#This Row],[00:00:00]:[23:00:00]])</f>
        <v>63.375</v>
      </c>
      <c r="AA22" t="str" cm="1">
        <f t="array" ref="AA22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23" spans="1:27" x14ac:dyDescent="0.3">
      <c r="A23" s="1">
        <v>45860</v>
      </c>
      <c r="B23">
        <v>50</v>
      </c>
      <c r="C23">
        <v>49</v>
      </c>
      <c r="D23">
        <v>48</v>
      </c>
      <c r="E23">
        <v>45</v>
      </c>
      <c r="F23">
        <v>43</v>
      </c>
      <c r="G23">
        <v>42</v>
      </c>
      <c r="H23">
        <v>42</v>
      </c>
      <c r="I23">
        <v>42</v>
      </c>
      <c r="J23">
        <v>42</v>
      </c>
      <c r="K23">
        <v>42</v>
      </c>
      <c r="L23">
        <v>36</v>
      </c>
      <c r="M23">
        <v>43</v>
      </c>
      <c r="N23">
        <v>44</v>
      </c>
      <c r="O23">
        <v>44</v>
      </c>
      <c r="P23">
        <v>44</v>
      </c>
      <c r="Q23">
        <v>46</v>
      </c>
      <c r="R23">
        <v>46</v>
      </c>
      <c r="S23">
        <v>46</v>
      </c>
      <c r="T23">
        <v>44</v>
      </c>
      <c r="U23">
        <v>43</v>
      </c>
      <c r="V23">
        <v>44</v>
      </c>
      <c r="W23">
        <v>35</v>
      </c>
      <c r="X23">
        <v>35</v>
      </c>
      <c r="Y23">
        <v>47</v>
      </c>
      <c r="Z23" s="2">
        <f>AVERAGE(Sheet1__7[[#This Row],[00:00:00]:[23:00:00]])</f>
        <v>43.416666666666664</v>
      </c>
      <c r="AA23" t="str" cm="1">
        <f t="array" ref="AA23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24" spans="1:27" x14ac:dyDescent="0.3">
      <c r="A24" s="1">
        <v>45861</v>
      </c>
      <c r="B24">
        <v>46</v>
      </c>
      <c r="C24">
        <v>46</v>
      </c>
      <c r="D24">
        <v>46</v>
      </c>
      <c r="E24">
        <v>44</v>
      </c>
      <c r="F24">
        <v>42</v>
      </c>
      <c r="G24">
        <v>38</v>
      </c>
      <c r="H24">
        <v>38</v>
      </c>
      <c r="J24">
        <v>40</v>
      </c>
      <c r="K24">
        <v>40</v>
      </c>
      <c r="L24">
        <v>39</v>
      </c>
      <c r="M24">
        <v>38</v>
      </c>
      <c r="N24">
        <v>38</v>
      </c>
      <c r="O24">
        <v>37</v>
      </c>
      <c r="P24">
        <v>37</v>
      </c>
      <c r="Q24">
        <v>36</v>
      </c>
      <c r="R24">
        <v>35</v>
      </c>
      <c r="S24">
        <v>34</v>
      </c>
      <c r="T24">
        <v>35</v>
      </c>
      <c r="U24">
        <v>36</v>
      </c>
      <c r="V24">
        <v>38</v>
      </c>
      <c r="W24">
        <v>41</v>
      </c>
      <c r="X24">
        <v>43</v>
      </c>
      <c r="Y24">
        <v>45</v>
      </c>
      <c r="Z24" s="2">
        <f>AVERAGE(Sheet1__7[[#This Row],[00:00:00]:[23:00:00]])</f>
        <v>39.652173913043477</v>
      </c>
      <c r="AA24" t="str" cm="1">
        <f t="array" ref="AA24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25" spans="1:27" x14ac:dyDescent="0.3">
      <c r="A25" s="1">
        <v>45862</v>
      </c>
      <c r="B25">
        <v>45</v>
      </c>
      <c r="C25">
        <v>45</v>
      </c>
      <c r="D25">
        <v>44</v>
      </c>
      <c r="E25">
        <v>42</v>
      </c>
      <c r="F25">
        <v>41</v>
      </c>
      <c r="G25">
        <v>38</v>
      </c>
      <c r="H25">
        <v>37</v>
      </c>
      <c r="I25">
        <v>36</v>
      </c>
      <c r="J25">
        <v>36</v>
      </c>
      <c r="K25">
        <v>36</v>
      </c>
      <c r="L25">
        <v>36</v>
      </c>
      <c r="M25">
        <v>36</v>
      </c>
      <c r="N25">
        <v>38</v>
      </c>
      <c r="O25">
        <v>37</v>
      </c>
      <c r="P25">
        <v>38</v>
      </c>
      <c r="Q25">
        <v>38</v>
      </c>
      <c r="R25">
        <v>37</v>
      </c>
      <c r="S25">
        <v>37</v>
      </c>
      <c r="T25">
        <v>36</v>
      </c>
      <c r="U25">
        <v>38</v>
      </c>
      <c r="V25">
        <v>40</v>
      </c>
      <c r="W25">
        <v>40</v>
      </c>
      <c r="X25">
        <v>46</v>
      </c>
      <c r="Y25">
        <v>48</v>
      </c>
      <c r="Z25" s="2">
        <f>AVERAGE(Sheet1__7[[#This Row],[00:00:00]:[23:00:00]])</f>
        <v>39.375</v>
      </c>
      <c r="AA25" t="str" cm="1">
        <f t="array" ref="AA25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26" spans="1:27" x14ac:dyDescent="0.3">
      <c r="A26" s="1">
        <v>45863</v>
      </c>
      <c r="B26">
        <v>48</v>
      </c>
      <c r="C26">
        <v>48</v>
      </c>
      <c r="D26">
        <v>46</v>
      </c>
      <c r="E26">
        <v>45</v>
      </c>
      <c r="F26">
        <v>42</v>
      </c>
      <c r="G26">
        <v>41</v>
      </c>
      <c r="H26">
        <v>42</v>
      </c>
      <c r="I26">
        <v>43</v>
      </c>
      <c r="J26">
        <v>43</v>
      </c>
      <c r="K26">
        <v>43</v>
      </c>
      <c r="L26">
        <v>43</v>
      </c>
      <c r="M26">
        <v>43</v>
      </c>
      <c r="N26">
        <v>43</v>
      </c>
      <c r="O26">
        <v>44</v>
      </c>
      <c r="P26">
        <v>44</v>
      </c>
      <c r="Q26">
        <v>43</v>
      </c>
      <c r="R26">
        <v>41</v>
      </c>
      <c r="S26">
        <v>40</v>
      </c>
      <c r="T26">
        <v>40</v>
      </c>
      <c r="U26">
        <v>41</v>
      </c>
      <c r="V26">
        <v>42</v>
      </c>
      <c r="W26">
        <v>44</v>
      </c>
      <c r="X26">
        <v>44</v>
      </c>
      <c r="Y26">
        <v>44</v>
      </c>
      <c r="Z26" s="2">
        <f>AVERAGE(Sheet1__7[[#This Row],[00:00:00]:[23:00:00]])</f>
        <v>43.208333333333336</v>
      </c>
      <c r="AA26" t="str" cm="1">
        <f t="array" ref="AA26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27" spans="1:27" x14ac:dyDescent="0.3">
      <c r="A27" s="1">
        <v>45864</v>
      </c>
      <c r="B27">
        <v>44</v>
      </c>
      <c r="C27">
        <v>42</v>
      </c>
      <c r="D27">
        <v>40</v>
      </c>
      <c r="E27">
        <v>38</v>
      </c>
      <c r="F27">
        <v>36</v>
      </c>
      <c r="G27">
        <v>34</v>
      </c>
      <c r="H27">
        <v>34</v>
      </c>
      <c r="I27">
        <v>33</v>
      </c>
      <c r="J27">
        <v>33</v>
      </c>
      <c r="K27">
        <v>33</v>
      </c>
      <c r="L27">
        <v>33</v>
      </c>
      <c r="M27">
        <v>34</v>
      </c>
      <c r="N27">
        <v>35</v>
      </c>
      <c r="O27">
        <v>35</v>
      </c>
      <c r="P27">
        <v>35</v>
      </c>
      <c r="Q27">
        <v>34</v>
      </c>
      <c r="R27">
        <v>32</v>
      </c>
      <c r="S27">
        <v>32</v>
      </c>
      <c r="T27">
        <v>32</v>
      </c>
      <c r="U27">
        <v>33</v>
      </c>
      <c r="V27">
        <v>35</v>
      </c>
      <c r="W27">
        <v>36</v>
      </c>
      <c r="X27">
        <v>37</v>
      </c>
      <c r="Y27">
        <v>37</v>
      </c>
      <c r="Z27" s="2">
        <f>AVERAGE(Sheet1__7[[#This Row],[00:00:00]:[23:00:00]])</f>
        <v>35.291666666666664</v>
      </c>
      <c r="AA27" t="str" cm="1">
        <f t="array" ref="AA27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28" spans="1:27" x14ac:dyDescent="0.3">
      <c r="A28" s="1">
        <v>45865</v>
      </c>
      <c r="B28">
        <v>36</v>
      </c>
      <c r="C28">
        <v>36</v>
      </c>
      <c r="D28">
        <v>35</v>
      </c>
      <c r="E28">
        <v>32</v>
      </c>
      <c r="F28">
        <v>29</v>
      </c>
      <c r="G28">
        <v>26</v>
      </c>
      <c r="H28">
        <v>24</v>
      </c>
      <c r="I28">
        <v>22</v>
      </c>
      <c r="J28">
        <v>22</v>
      </c>
      <c r="K28">
        <v>22</v>
      </c>
      <c r="L28">
        <v>22</v>
      </c>
      <c r="M28">
        <v>24</v>
      </c>
      <c r="N28">
        <v>25</v>
      </c>
      <c r="O28">
        <v>26</v>
      </c>
      <c r="P28">
        <v>27</v>
      </c>
      <c r="Q28">
        <v>27</v>
      </c>
      <c r="R28">
        <v>28</v>
      </c>
      <c r="S28">
        <v>28</v>
      </c>
      <c r="T28">
        <v>32</v>
      </c>
      <c r="U28">
        <v>32</v>
      </c>
      <c r="V28">
        <v>35</v>
      </c>
      <c r="X28">
        <v>38</v>
      </c>
      <c r="Y28">
        <v>38</v>
      </c>
      <c r="Z28" s="2">
        <f>AVERAGE(Sheet1__7[[#This Row],[00:00:00]:[23:00:00]])</f>
        <v>28.956521739130434</v>
      </c>
      <c r="AA28" t="str" cm="1">
        <f t="array" ref="AA28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29" spans="1:27" x14ac:dyDescent="0.3">
      <c r="A29" s="1">
        <v>45866</v>
      </c>
      <c r="B29">
        <v>38</v>
      </c>
      <c r="C29">
        <v>37</v>
      </c>
      <c r="D29">
        <v>37</v>
      </c>
      <c r="E29">
        <v>35</v>
      </c>
      <c r="F29">
        <v>34</v>
      </c>
      <c r="G29">
        <v>31</v>
      </c>
      <c r="H29">
        <v>30</v>
      </c>
      <c r="I29">
        <v>29</v>
      </c>
      <c r="J29">
        <v>29</v>
      </c>
      <c r="K29">
        <v>29</v>
      </c>
      <c r="L29">
        <v>30</v>
      </c>
      <c r="M29">
        <v>32</v>
      </c>
      <c r="N29">
        <v>32</v>
      </c>
      <c r="O29">
        <v>34</v>
      </c>
      <c r="P29">
        <v>37</v>
      </c>
      <c r="Q29">
        <v>37</v>
      </c>
      <c r="R29">
        <v>37</v>
      </c>
      <c r="S29">
        <v>38</v>
      </c>
      <c r="T29">
        <v>38</v>
      </c>
      <c r="U29">
        <v>40</v>
      </c>
      <c r="V29">
        <v>42</v>
      </c>
      <c r="W29">
        <v>43</v>
      </c>
      <c r="X29">
        <v>44</v>
      </c>
      <c r="Y29">
        <v>44</v>
      </c>
      <c r="Z29" s="2">
        <f>AVERAGE(Sheet1__7[[#This Row],[00:00:00]:[23:00:00]])</f>
        <v>35.708333333333336</v>
      </c>
      <c r="AA29" t="str" cm="1">
        <f t="array" ref="AA29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30" spans="1:27" x14ac:dyDescent="0.3">
      <c r="A30" s="1">
        <v>45867</v>
      </c>
      <c r="B30">
        <v>41</v>
      </c>
      <c r="C30">
        <v>40</v>
      </c>
      <c r="D30">
        <v>36</v>
      </c>
      <c r="E30">
        <v>34</v>
      </c>
      <c r="F30">
        <v>32</v>
      </c>
      <c r="G30">
        <v>29</v>
      </c>
      <c r="H30">
        <v>28</v>
      </c>
      <c r="I30">
        <v>27</v>
      </c>
      <c r="J30">
        <v>27</v>
      </c>
      <c r="K30">
        <v>27</v>
      </c>
      <c r="L30">
        <v>27</v>
      </c>
      <c r="M30">
        <v>29</v>
      </c>
      <c r="N30">
        <v>32</v>
      </c>
      <c r="O30">
        <v>34</v>
      </c>
      <c r="P30">
        <v>35</v>
      </c>
      <c r="Q30">
        <v>36</v>
      </c>
      <c r="R30">
        <v>36</v>
      </c>
      <c r="S30">
        <v>39</v>
      </c>
      <c r="T30">
        <v>38</v>
      </c>
      <c r="U30">
        <v>38</v>
      </c>
      <c r="V30">
        <v>36</v>
      </c>
      <c r="W30">
        <v>36</v>
      </c>
      <c r="X30">
        <v>34</v>
      </c>
      <c r="Y30">
        <v>33</v>
      </c>
      <c r="Z30" s="2">
        <f>AVERAGE(Sheet1__7[[#This Row],[00:00:00]:[23:00:00]])</f>
        <v>33.5</v>
      </c>
      <c r="AA30" t="str" cm="1">
        <f t="array" ref="AA30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31" spans="1:27" x14ac:dyDescent="0.3">
      <c r="A31" s="1">
        <v>45868</v>
      </c>
      <c r="B31">
        <v>32</v>
      </c>
      <c r="C31">
        <v>31</v>
      </c>
      <c r="D31">
        <v>29</v>
      </c>
      <c r="E31">
        <v>30</v>
      </c>
      <c r="F31">
        <v>29</v>
      </c>
      <c r="G31">
        <v>29</v>
      </c>
      <c r="H31">
        <v>30</v>
      </c>
      <c r="I31">
        <v>30</v>
      </c>
      <c r="J31">
        <v>30</v>
      </c>
      <c r="K31">
        <v>30</v>
      </c>
      <c r="L31">
        <v>30</v>
      </c>
      <c r="M31">
        <v>30</v>
      </c>
      <c r="N31">
        <v>30</v>
      </c>
      <c r="O31">
        <v>30</v>
      </c>
      <c r="P31">
        <v>30</v>
      </c>
      <c r="Q31">
        <v>31</v>
      </c>
      <c r="R31">
        <v>32</v>
      </c>
      <c r="S31">
        <v>33</v>
      </c>
      <c r="T31">
        <v>34</v>
      </c>
      <c r="U31">
        <v>36</v>
      </c>
      <c r="V31">
        <v>37</v>
      </c>
      <c r="W31">
        <v>40</v>
      </c>
      <c r="X31">
        <v>40</v>
      </c>
      <c r="Y31">
        <v>45</v>
      </c>
      <c r="Z31" s="2">
        <f>AVERAGE(Sheet1__7[[#This Row],[00:00:00]:[23:00:00]])</f>
        <v>32.416666666666664</v>
      </c>
      <c r="AA31" t="str" cm="1">
        <f t="array" ref="AA31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32" spans="1:27" x14ac:dyDescent="0.3">
      <c r="A32" s="1">
        <v>45869</v>
      </c>
      <c r="B32">
        <v>46</v>
      </c>
      <c r="C32">
        <v>44</v>
      </c>
      <c r="D32">
        <v>44</v>
      </c>
      <c r="E32">
        <v>46</v>
      </c>
      <c r="F32">
        <v>44</v>
      </c>
      <c r="G32">
        <v>44</v>
      </c>
      <c r="H32">
        <v>44</v>
      </c>
      <c r="I32">
        <v>45</v>
      </c>
      <c r="J32">
        <v>46</v>
      </c>
      <c r="K32">
        <v>46</v>
      </c>
      <c r="L32">
        <v>47</v>
      </c>
      <c r="M32">
        <v>48</v>
      </c>
      <c r="N32">
        <v>48</v>
      </c>
      <c r="O32">
        <v>49</v>
      </c>
      <c r="P32">
        <v>50</v>
      </c>
      <c r="Q32">
        <v>50</v>
      </c>
      <c r="R32">
        <v>51</v>
      </c>
      <c r="S32">
        <v>51</v>
      </c>
      <c r="T32">
        <v>51</v>
      </c>
      <c r="U32">
        <v>52</v>
      </c>
      <c r="V32">
        <v>51</v>
      </c>
      <c r="W32">
        <v>51</v>
      </c>
      <c r="X32">
        <v>51</v>
      </c>
      <c r="Y32">
        <v>52</v>
      </c>
      <c r="Z32" s="2">
        <f>AVERAGE(Sheet1__7[[#This Row],[00:00:00]:[23:00:00]])</f>
        <v>47.958333333333336</v>
      </c>
      <c r="AA32" t="str" cm="1">
        <f t="array" ref="AA32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33" spans="26:27" x14ac:dyDescent="0.3">
      <c r="Z33" s="2">
        <f>SUBTOTAL(101,Sheet1__7[AVERAGE AQI])</f>
        <v>46.83467741935484</v>
      </c>
      <c r="AA33" s="3"/>
    </row>
  </sheetData>
  <conditionalFormatting sqref="AA1:AA1048576">
    <cfRule type="containsText" dxfId="60" priority="2" operator="containsText" text="GOOD">
      <formula>NOT(ISERROR(SEARCH("GOOD",AA1)))</formula>
    </cfRule>
    <cfRule type="containsText" dxfId="61" priority="1" operator="containsText" text="MODERATE">
      <formula>NOT(ISERROR(SEARCH("MODERATE",AA1)))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843C0-CBCD-48CE-824E-670749DF233A}">
  <dimension ref="A1:AA33"/>
  <sheetViews>
    <sheetView topLeftCell="A7" workbookViewId="0">
      <selection activeCell="AD14" sqref="AD14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7.66406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45870</v>
      </c>
      <c r="B2">
        <v>52</v>
      </c>
      <c r="C2">
        <v>53</v>
      </c>
      <c r="D2">
        <v>54</v>
      </c>
      <c r="E2">
        <v>54</v>
      </c>
      <c r="F2">
        <v>56</v>
      </c>
      <c r="G2">
        <v>56</v>
      </c>
      <c r="H2">
        <v>57</v>
      </c>
      <c r="I2">
        <v>60</v>
      </c>
      <c r="J2">
        <v>60</v>
      </c>
      <c r="K2">
        <v>61</v>
      </c>
      <c r="L2">
        <v>62</v>
      </c>
      <c r="M2">
        <v>62</v>
      </c>
      <c r="N2">
        <v>62</v>
      </c>
      <c r="O2">
        <v>62</v>
      </c>
      <c r="P2">
        <v>62</v>
      </c>
      <c r="Q2">
        <v>85</v>
      </c>
      <c r="R2">
        <v>62</v>
      </c>
      <c r="S2">
        <v>62</v>
      </c>
      <c r="T2">
        <v>62</v>
      </c>
      <c r="U2">
        <v>62</v>
      </c>
      <c r="V2">
        <v>62</v>
      </c>
      <c r="W2">
        <v>63</v>
      </c>
      <c r="X2">
        <v>63</v>
      </c>
      <c r="Y2">
        <v>64</v>
      </c>
      <c r="Z2">
        <f>AVERAGE(Sheet1__8[[#This Row],[00:00:00]:[23:00:00]])</f>
        <v>60.75</v>
      </c>
      <c r="AA2" t="str" cm="1">
        <f t="array" ref="AA2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3" spans="1:27" x14ac:dyDescent="0.3">
      <c r="A3" s="1">
        <v>45871</v>
      </c>
      <c r="B3">
        <v>63</v>
      </c>
      <c r="C3">
        <v>62</v>
      </c>
      <c r="D3">
        <v>62</v>
      </c>
      <c r="E3">
        <v>61</v>
      </c>
      <c r="F3">
        <v>60</v>
      </c>
      <c r="G3">
        <v>59</v>
      </c>
      <c r="H3">
        <v>58</v>
      </c>
      <c r="I3">
        <v>57</v>
      </c>
      <c r="J3">
        <v>57</v>
      </c>
      <c r="K3">
        <v>56</v>
      </c>
      <c r="L3">
        <v>56</v>
      </c>
      <c r="M3">
        <v>56</v>
      </c>
      <c r="N3">
        <v>56</v>
      </c>
      <c r="O3">
        <v>56</v>
      </c>
      <c r="P3">
        <v>56</v>
      </c>
      <c r="Q3">
        <v>57</v>
      </c>
      <c r="R3">
        <v>57</v>
      </c>
      <c r="S3">
        <v>58</v>
      </c>
      <c r="T3">
        <v>58</v>
      </c>
      <c r="U3">
        <v>58</v>
      </c>
      <c r="V3">
        <v>58</v>
      </c>
      <c r="W3">
        <v>58</v>
      </c>
      <c r="X3">
        <v>58</v>
      </c>
      <c r="Y3">
        <v>59</v>
      </c>
      <c r="Z3" s="2">
        <f>AVERAGE(Sheet1__8[[#This Row],[00:00:00]:[23:00:00]])</f>
        <v>58.166666666666664</v>
      </c>
      <c r="AA3" t="str" cm="1">
        <f t="array" ref="AA3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4" spans="1:27" x14ac:dyDescent="0.3">
      <c r="A4" s="1">
        <v>45872</v>
      </c>
      <c r="B4">
        <v>60</v>
      </c>
      <c r="C4">
        <v>60</v>
      </c>
      <c r="D4">
        <v>61</v>
      </c>
      <c r="E4">
        <v>62</v>
      </c>
      <c r="F4">
        <v>62</v>
      </c>
      <c r="G4">
        <v>63</v>
      </c>
      <c r="H4">
        <v>64</v>
      </c>
      <c r="I4">
        <v>64</v>
      </c>
      <c r="J4">
        <v>66</v>
      </c>
      <c r="K4">
        <v>66</v>
      </c>
      <c r="L4">
        <v>66</v>
      </c>
      <c r="M4">
        <v>67</v>
      </c>
      <c r="N4">
        <v>66</v>
      </c>
      <c r="O4">
        <v>67</v>
      </c>
      <c r="P4">
        <v>67</v>
      </c>
      <c r="Q4">
        <v>68</v>
      </c>
      <c r="R4">
        <v>68</v>
      </c>
      <c r="S4">
        <v>68</v>
      </c>
      <c r="T4">
        <v>69</v>
      </c>
      <c r="U4">
        <v>69</v>
      </c>
      <c r="V4">
        <v>69</v>
      </c>
      <c r="W4">
        <v>70</v>
      </c>
      <c r="X4">
        <v>70</v>
      </c>
      <c r="Y4">
        <v>71</v>
      </c>
      <c r="Z4" s="2">
        <f>AVERAGE(Sheet1__8[[#This Row],[00:00:00]:[23:00:00]])</f>
        <v>65.958333333333329</v>
      </c>
      <c r="AA4" t="str" cm="1">
        <f t="array" ref="AA4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5" spans="1:27" x14ac:dyDescent="0.3">
      <c r="A5" s="1">
        <v>45873</v>
      </c>
      <c r="B5">
        <v>72</v>
      </c>
      <c r="C5">
        <v>72</v>
      </c>
      <c r="D5">
        <v>72</v>
      </c>
      <c r="E5">
        <v>72</v>
      </c>
      <c r="F5">
        <v>72</v>
      </c>
      <c r="G5">
        <v>72</v>
      </c>
      <c r="H5">
        <v>72</v>
      </c>
      <c r="I5">
        <v>71</v>
      </c>
      <c r="J5">
        <v>71</v>
      </c>
      <c r="K5">
        <v>71</v>
      </c>
      <c r="L5">
        <v>72</v>
      </c>
      <c r="M5">
        <v>72</v>
      </c>
      <c r="N5">
        <v>73</v>
      </c>
      <c r="O5">
        <v>74</v>
      </c>
      <c r="P5">
        <v>73</v>
      </c>
      <c r="Q5">
        <v>73</v>
      </c>
      <c r="R5">
        <v>73</v>
      </c>
      <c r="S5">
        <v>73</v>
      </c>
      <c r="T5">
        <v>73</v>
      </c>
      <c r="U5">
        <v>74</v>
      </c>
      <c r="V5">
        <v>74</v>
      </c>
      <c r="W5">
        <v>74</v>
      </c>
      <c r="X5">
        <v>75</v>
      </c>
      <c r="Y5">
        <v>76</v>
      </c>
      <c r="Z5" s="2">
        <f>AVERAGE(Sheet1__8[[#This Row],[00:00:00]:[23:00:00]])</f>
        <v>72.75</v>
      </c>
      <c r="AA5" t="str" cm="1">
        <f t="array" ref="AA5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6" spans="1:27" x14ac:dyDescent="0.3">
      <c r="A6" s="1">
        <v>45874</v>
      </c>
      <c r="B6">
        <v>76</v>
      </c>
      <c r="C6">
        <v>76</v>
      </c>
      <c r="D6">
        <v>76</v>
      </c>
      <c r="E6">
        <v>76</v>
      </c>
      <c r="F6">
        <v>76</v>
      </c>
      <c r="G6">
        <v>76</v>
      </c>
      <c r="H6">
        <v>76</v>
      </c>
      <c r="I6">
        <v>76</v>
      </c>
      <c r="J6">
        <v>76</v>
      </c>
      <c r="K6">
        <v>76</v>
      </c>
      <c r="L6">
        <v>76</v>
      </c>
      <c r="M6">
        <v>76</v>
      </c>
      <c r="N6">
        <v>76</v>
      </c>
      <c r="O6">
        <v>75</v>
      </c>
      <c r="P6">
        <v>74</v>
      </c>
      <c r="Q6">
        <v>74</v>
      </c>
      <c r="R6">
        <v>74</v>
      </c>
      <c r="S6">
        <v>73</v>
      </c>
      <c r="T6">
        <v>72</v>
      </c>
      <c r="U6">
        <v>72</v>
      </c>
      <c r="V6">
        <v>71</v>
      </c>
      <c r="W6">
        <v>70</v>
      </c>
      <c r="X6">
        <v>69</v>
      </c>
      <c r="Y6">
        <v>68</v>
      </c>
      <c r="Z6" s="2">
        <f>AVERAGE(Sheet1__8[[#This Row],[00:00:00]:[23:00:00]])</f>
        <v>74.166666666666671</v>
      </c>
      <c r="AA6" t="str" cm="1">
        <f t="array" ref="AA6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7" spans="1:27" x14ac:dyDescent="0.3">
      <c r="A7" s="1">
        <v>45875</v>
      </c>
      <c r="B7">
        <v>68</v>
      </c>
      <c r="C7">
        <v>67</v>
      </c>
      <c r="D7">
        <v>67</v>
      </c>
      <c r="E7">
        <v>66</v>
      </c>
      <c r="F7">
        <v>66</v>
      </c>
      <c r="G7">
        <v>66</v>
      </c>
      <c r="H7">
        <v>66</v>
      </c>
      <c r="I7">
        <v>66</v>
      </c>
      <c r="J7">
        <v>65</v>
      </c>
      <c r="K7">
        <v>65</v>
      </c>
      <c r="L7">
        <v>65</v>
      </c>
      <c r="M7">
        <v>65</v>
      </c>
      <c r="N7">
        <v>65</v>
      </c>
      <c r="O7">
        <v>66</v>
      </c>
      <c r="P7">
        <v>67</v>
      </c>
      <c r="Q7">
        <v>69</v>
      </c>
      <c r="R7">
        <v>70</v>
      </c>
      <c r="S7">
        <v>70</v>
      </c>
      <c r="T7">
        <v>71</v>
      </c>
      <c r="U7">
        <v>72</v>
      </c>
      <c r="V7">
        <v>72</v>
      </c>
      <c r="W7">
        <v>72</v>
      </c>
      <c r="X7">
        <v>72</v>
      </c>
      <c r="Y7">
        <v>72</v>
      </c>
      <c r="Z7" s="2">
        <f>AVERAGE(Sheet1__8[[#This Row],[00:00:00]:[23:00:00]])</f>
        <v>67.916666666666671</v>
      </c>
      <c r="AA7" t="str" cm="1">
        <f t="array" ref="AA7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8" spans="1:27" x14ac:dyDescent="0.3">
      <c r="A8" s="1">
        <v>45876</v>
      </c>
      <c r="B8">
        <v>72</v>
      </c>
      <c r="C8">
        <v>72</v>
      </c>
      <c r="D8">
        <v>72</v>
      </c>
      <c r="F8">
        <v>72</v>
      </c>
      <c r="G8">
        <v>72</v>
      </c>
      <c r="H8">
        <v>72</v>
      </c>
      <c r="I8">
        <v>72</v>
      </c>
      <c r="J8">
        <v>72</v>
      </c>
      <c r="K8">
        <v>72</v>
      </c>
      <c r="L8">
        <v>72</v>
      </c>
      <c r="M8">
        <v>72</v>
      </c>
      <c r="N8">
        <v>72</v>
      </c>
      <c r="P8">
        <v>70</v>
      </c>
      <c r="Q8">
        <v>69</v>
      </c>
      <c r="R8">
        <v>69</v>
      </c>
      <c r="S8">
        <v>68</v>
      </c>
      <c r="T8">
        <v>68</v>
      </c>
      <c r="U8">
        <v>66</v>
      </c>
      <c r="V8">
        <v>66</v>
      </c>
      <c r="W8">
        <v>65</v>
      </c>
      <c r="X8">
        <v>64</v>
      </c>
      <c r="Y8">
        <v>62</v>
      </c>
      <c r="Z8" s="2">
        <f>AVERAGE(Sheet1__8[[#This Row],[00:00:00]:[23:00:00]])</f>
        <v>69.590909090909093</v>
      </c>
      <c r="AA8" t="str" cm="1">
        <f t="array" ref="AA8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9" spans="1:27" x14ac:dyDescent="0.3">
      <c r="A9" s="1">
        <v>45877</v>
      </c>
      <c r="B9">
        <v>61</v>
      </c>
      <c r="C9">
        <v>59</v>
      </c>
      <c r="D9">
        <v>57</v>
      </c>
      <c r="E9">
        <v>56</v>
      </c>
      <c r="F9">
        <v>56</v>
      </c>
      <c r="G9">
        <v>54</v>
      </c>
      <c r="H9">
        <v>54</v>
      </c>
      <c r="I9">
        <v>53</v>
      </c>
      <c r="J9">
        <v>52</v>
      </c>
      <c r="K9">
        <v>52</v>
      </c>
      <c r="L9">
        <v>51</v>
      </c>
      <c r="M9">
        <v>50</v>
      </c>
      <c r="N9">
        <v>49</v>
      </c>
      <c r="O9">
        <v>48</v>
      </c>
      <c r="P9">
        <v>47</v>
      </c>
      <c r="Q9">
        <v>48</v>
      </c>
      <c r="R9">
        <v>47</v>
      </c>
      <c r="S9">
        <v>45</v>
      </c>
      <c r="T9">
        <v>44</v>
      </c>
      <c r="U9">
        <v>44</v>
      </c>
      <c r="V9">
        <v>44</v>
      </c>
      <c r="W9">
        <v>48</v>
      </c>
      <c r="X9">
        <v>50</v>
      </c>
      <c r="Y9">
        <v>51</v>
      </c>
      <c r="Z9" s="2">
        <f>AVERAGE(Sheet1__8[[#This Row],[00:00:00]:[23:00:00]])</f>
        <v>50.833333333333336</v>
      </c>
      <c r="AA9" t="str" cm="1">
        <f t="array" ref="AA9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10" spans="1:27" x14ac:dyDescent="0.3">
      <c r="A10" s="1">
        <v>45878</v>
      </c>
      <c r="B10">
        <v>50</v>
      </c>
      <c r="C10">
        <v>48</v>
      </c>
      <c r="D10">
        <v>47</v>
      </c>
      <c r="E10">
        <v>46</v>
      </c>
      <c r="F10">
        <v>46</v>
      </c>
      <c r="G10">
        <v>44</v>
      </c>
      <c r="H10">
        <v>45</v>
      </c>
      <c r="I10">
        <v>44</v>
      </c>
      <c r="J10">
        <v>44</v>
      </c>
      <c r="K10">
        <v>44</v>
      </c>
      <c r="L10">
        <v>44</v>
      </c>
      <c r="M10">
        <v>44</v>
      </c>
      <c r="N10">
        <v>44</v>
      </c>
      <c r="O10">
        <v>44</v>
      </c>
      <c r="P10">
        <v>45</v>
      </c>
      <c r="Q10">
        <v>45</v>
      </c>
      <c r="R10">
        <v>46</v>
      </c>
      <c r="S10">
        <v>46</v>
      </c>
      <c r="T10">
        <v>45</v>
      </c>
      <c r="U10">
        <v>45</v>
      </c>
      <c r="V10">
        <v>45</v>
      </c>
      <c r="W10">
        <v>44</v>
      </c>
      <c r="X10">
        <v>44</v>
      </c>
      <c r="Y10">
        <v>46</v>
      </c>
      <c r="Z10" s="2">
        <f>AVERAGE(Sheet1__8[[#This Row],[00:00:00]:[23:00:00]])</f>
        <v>45.208333333333336</v>
      </c>
      <c r="AA10" t="str" cm="1">
        <f t="array" ref="AA10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11" spans="1:27" x14ac:dyDescent="0.3">
      <c r="A11" s="1">
        <v>45879</v>
      </c>
      <c r="B11">
        <v>46</v>
      </c>
      <c r="C11">
        <v>53</v>
      </c>
      <c r="D11">
        <v>54</v>
      </c>
      <c r="E11">
        <v>54</v>
      </c>
      <c r="F11">
        <v>53</v>
      </c>
      <c r="G11">
        <v>53</v>
      </c>
      <c r="H11">
        <v>52</v>
      </c>
      <c r="I11">
        <v>50</v>
      </c>
      <c r="J11">
        <v>50</v>
      </c>
      <c r="K11">
        <v>51</v>
      </c>
      <c r="L11">
        <v>51</v>
      </c>
      <c r="M11">
        <v>51</v>
      </c>
      <c r="N11">
        <v>51</v>
      </c>
      <c r="O11">
        <v>51</v>
      </c>
      <c r="P11">
        <v>51</v>
      </c>
      <c r="Q11">
        <v>52</v>
      </c>
      <c r="R11">
        <v>52</v>
      </c>
      <c r="S11">
        <v>54</v>
      </c>
      <c r="T11">
        <v>55</v>
      </c>
      <c r="U11">
        <v>56</v>
      </c>
      <c r="V11">
        <v>56</v>
      </c>
      <c r="W11">
        <v>56</v>
      </c>
      <c r="X11">
        <v>56</v>
      </c>
      <c r="Y11">
        <v>55</v>
      </c>
      <c r="Z11" s="2">
        <f>AVERAGE(Sheet1__8[[#This Row],[00:00:00]:[23:00:00]])</f>
        <v>52.625</v>
      </c>
      <c r="AA11" t="str" cm="1">
        <f t="array" ref="AA11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12" spans="1:27" x14ac:dyDescent="0.3">
      <c r="A12" s="1">
        <v>45880</v>
      </c>
      <c r="B12">
        <v>54</v>
      </c>
      <c r="C12">
        <v>53</v>
      </c>
      <c r="D12">
        <v>52</v>
      </c>
      <c r="E12">
        <v>50</v>
      </c>
      <c r="F12">
        <v>50</v>
      </c>
      <c r="G12">
        <v>49</v>
      </c>
      <c r="H12">
        <v>48</v>
      </c>
      <c r="I12">
        <v>48</v>
      </c>
      <c r="J12">
        <v>48</v>
      </c>
      <c r="K12">
        <v>49</v>
      </c>
      <c r="L12">
        <v>50</v>
      </c>
      <c r="M12">
        <v>50</v>
      </c>
      <c r="N12">
        <v>51</v>
      </c>
      <c r="O12">
        <v>51</v>
      </c>
      <c r="P12">
        <v>51</v>
      </c>
      <c r="Q12">
        <v>51</v>
      </c>
      <c r="R12">
        <v>51</v>
      </c>
      <c r="S12">
        <v>51</v>
      </c>
      <c r="T12">
        <v>50</v>
      </c>
      <c r="U12">
        <v>51</v>
      </c>
      <c r="V12">
        <v>52</v>
      </c>
      <c r="W12">
        <v>52</v>
      </c>
      <c r="X12">
        <v>53</v>
      </c>
      <c r="Y12">
        <v>54</v>
      </c>
      <c r="Z12" s="2">
        <f>AVERAGE(Sheet1__8[[#This Row],[00:00:00]:[23:00:00]])</f>
        <v>50.791666666666664</v>
      </c>
      <c r="AA12" t="str" cm="1">
        <f t="array" ref="AA12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13" spans="1:27" x14ac:dyDescent="0.3">
      <c r="A13" s="1">
        <v>45881</v>
      </c>
      <c r="B13">
        <v>56</v>
      </c>
      <c r="C13">
        <v>57</v>
      </c>
      <c r="D13">
        <v>58</v>
      </c>
      <c r="E13">
        <v>58</v>
      </c>
      <c r="F13">
        <v>59</v>
      </c>
      <c r="G13">
        <v>60</v>
      </c>
      <c r="H13">
        <v>61</v>
      </c>
      <c r="I13">
        <v>62</v>
      </c>
      <c r="J13">
        <v>62</v>
      </c>
      <c r="K13">
        <v>61</v>
      </c>
      <c r="L13">
        <v>61</v>
      </c>
      <c r="M13">
        <v>61</v>
      </c>
      <c r="N13">
        <v>61</v>
      </c>
      <c r="O13">
        <v>61</v>
      </c>
      <c r="P13">
        <v>61</v>
      </c>
      <c r="Q13">
        <v>62</v>
      </c>
      <c r="R13">
        <v>61</v>
      </c>
      <c r="S13">
        <v>61</v>
      </c>
      <c r="T13">
        <v>60</v>
      </c>
      <c r="U13">
        <v>60</v>
      </c>
      <c r="V13">
        <v>60</v>
      </c>
      <c r="W13">
        <v>58</v>
      </c>
      <c r="X13">
        <v>58</v>
      </c>
      <c r="Y13">
        <v>59</v>
      </c>
      <c r="Z13" s="2">
        <f>AVERAGE(Sheet1__8[[#This Row],[00:00:00]:[23:00:00]])</f>
        <v>59.916666666666664</v>
      </c>
      <c r="AA13" t="str" cm="1">
        <f t="array" ref="AA13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14" spans="1:27" x14ac:dyDescent="0.3">
      <c r="A14" s="1">
        <v>45882</v>
      </c>
      <c r="B14">
        <v>58</v>
      </c>
      <c r="C14">
        <v>56</v>
      </c>
      <c r="D14">
        <v>55</v>
      </c>
      <c r="E14">
        <v>55</v>
      </c>
      <c r="F14">
        <v>54</v>
      </c>
      <c r="G14">
        <v>53</v>
      </c>
      <c r="H14">
        <v>53</v>
      </c>
      <c r="I14">
        <v>52</v>
      </c>
      <c r="J14">
        <v>50</v>
      </c>
      <c r="K14">
        <v>49</v>
      </c>
      <c r="L14">
        <v>48</v>
      </c>
      <c r="M14">
        <v>47</v>
      </c>
      <c r="N14">
        <v>47</v>
      </c>
      <c r="O14">
        <v>45</v>
      </c>
      <c r="P14">
        <v>44</v>
      </c>
      <c r="Q14">
        <v>43</v>
      </c>
      <c r="R14">
        <v>42</v>
      </c>
      <c r="S14">
        <v>41</v>
      </c>
      <c r="T14">
        <v>40</v>
      </c>
      <c r="U14">
        <v>42</v>
      </c>
      <c r="V14">
        <v>42</v>
      </c>
      <c r="W14">
        <v>44</v>
      </c>
      <c r="X14">
        <v>44</v>
      </c>
      <c r="Y14">
        <v>45</v>
      </c>
      <c r="Z14" s="2">
        <f>AVERAGE(Sheet1__8[[#This Row],[00:00:00]:[23:00:00]])</f>
        <v>47.875</v>
      </c>
      <c r="AA14" t="str" cm="1">
        <f t="array" ref="AA14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15" spans="1:27" x14ac:dyDescent="0.3">
      <c r="A15" s="1">
        <v>45883</v>
      </c>
      <c r="B15">
        <v>44</v>
      </c>
      <c r="C15">
        <v>43</v>
      </c>
      <c r="D15">
        <v>40</v>
      </c>
      <c r="E15">
        <v>37</v>
      </c>
      <c r="F15">
        <v>34</v>
      </c>
      <c r="G15">
        <v>31</v>
      </c>
      <c r="H15">
        <v>30</v>
      </c>
      <c r="I15">
        <v>30</v>
      </c>
      <c r="J15">
        <v>30</v>
      </c>
      <c r="K15">
        <v>30</v>
      </c>
      <c r="L15">
        <v>31</v>
      </c>
      <c r="M15">
        <v>31</v>
      </c>
      <c r="N15">
        <v>32</v>
      </c>
      <c r="O15">
        <v>32</v>
      </c>
      <c r="P15">
        <v>34</v>
      </c>
      <c r="Q15">
        <v>35</v>
      </c>
      <c r="R15">
        <v>36</v>
      </c>
      <c r="S15">
        <v>36</v>
      </c>
      <c r="T15">
        <v>36</v>
      </c>
      <c r="U15">
        <v>36</v>
      </c>
      <c r="V15">
        <v>37</v>
      </c>
      <c r="W15">
        <v>44</v>
      </c>
      <c r="X15">
        <v>52</v>
      </c>
      <c r="Y15">
        <v>57</v>
      </c>
      <c r="Z15" s="2">
        <f>AVERAGE(Sheet1__8[[#This Row],[00:00:00]:[23:00:00]])</f>
        <v>36.583333333333336</v>
      </c>
      <c r="AA15" t="str" cm="1">
        <f t="array" ref="AA15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16" spans="1:27" x14ac:dyDescent="0.3">
      <c r="A16" s="1">
        <v>45884</v>
      </c>
      <c r="B16">
        <v>61</v>
      </c>
      <c r="C16">
        <v>62</v>
      </c>
      <c r="D16">
        <v>63</v>
      </c>
      <c r="E16">
        <v>62</v>
      </c>
      <c r="F16">
        <v>61</v>
      </c>
      <c r="G16">
        <v>58</v>
      </c>
      <c r="H16">
        <v>58</v>
      </c>
      <c r="I16">
        <v>53</v>
      </c>
      <c r="J16">
        <v>54</v>
      </c>
      <c r="K16">
        <v>54</v>
      </c>
      <c r="L16">
        <v>54</v>
      </c>
      <c r="M16">
        <v>55</v>
      </c>
      <c r="N16">
        <v>55</v>
      </c>
      <c r="O16">
        <v>55</v>
      </c>
      <c r="P16">
        <v>55</v>
      </c>
      <c r="Q16">
        <v>54</v>
      </c>
      <c r="R16">
        <v>54</v>
      </c>
      <c r="S16">
        <v>54</v>
      </c>
      <c r="T16">
        <v>54</v>
      </c>
      <c r="U16">
        <v>54</v>
      </c>
      <c r="V16">
        <v>54</v>
      </c>
      <c r="W16">
        <v>54</v>
      </c>
      <c r="X16">
        <v>50</v>
      </c>
      <c r="Y16">
        <v>46</v>
      </c>
      <c r="Z16" s="2">
        <f>AVERAGE(Sheet1__8[[#This Row],[00:00:00]:[23:00:00]])</f>
        <v>55.583333333333336</v>
      </c>
      <c r="AA16" t="str" cm="1">
        <f t="array" ref="AA16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17" spans="1:27" x14ac:dyDescent="0.3">
      <c r="A17" s="1">
        <v>45885</v>
      </c>
      <c r="B17">
        <v>44</v>
      </c>
      <c r="C17">
        <v>42</v>
      </c>
      <c r="D17">
        <v>41</v>
      </c>
      <c r="E17">
        <v>40</v>
      </c>
      <c r="F17">
        <v>39</v>
      </c>
      <c r="G17">
        <v>38</v>
      </c>
      <c r="H17">
        <v>37</v>
      </c>
      <c r="I17">
        <v>37</v>
      </c>
      <c r="J17">
        <v>36</v>
      </c>
      <c r="K17">
        <v>36</v>
      </c>
      <c r="L17">
        <v>36</v>
      </c>
      <c r="M17">
        <v>34</v>
      </c>
      <c r="N17">
        <v>34</v>
      </c>
      <c r="O17">
        <v>34</v>
      </c>
      <c r="P17">
        <v>35</v>
      </c>
      <c r="Q17">
        <v>35</v>
      </c>
      <c r="R17">
        <v>36</v>
      </c>
      <c r="S17">
        <v>36</v>
      </c>
      <c r="T17">
        <v>36</v>
      </c>
      <c r="U17">
        <v>35</v>
      </c>
      <c r="V17">
        <v>36</v>
      </c>
      <c r="W17">
        <v>38</v>
      </c>
      <c r="X17">
        <v>40</v>
      </c>
      <c r="Y17">
        <v>41</v>
      </c>
      <c r="Z17" s="2">
        <f>AVERAGE(Sheet1__8[[#This Row],[00:00:00]:[23:00:00]])</f>
        <v>37.333333333333336</v>
      </c>
      <c r="AA17" t="str" cm="1">
        <f t="array" ref="AA17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18" spans="1:27" x14ac:dyDescent="0.3">
      <c r="A18" s="1">
        <v>45886</v>
      </c>
      <c r="B18">
        <v>41</v>
      </c>
      <c r="C18">
        <v>43</v>
      </c>
      <c r="D18">
        <v>43</v>
      </c>
      <c r="E18">
        <v>43</v>
      </c>
      <c r="F18">
        <v>42</v>
      </c>
      <c r="G18">
        <v>39</v>
      </c>
      <c r="H18">
        <v>38</v>
      </c>
      <c r="I18">
        <v>38</v>
      </c>
      <c r="J18">
        <v>37</v>
      </c>
      <c r="K18">
        <v>37</v>
      </c>
      <c r="L18">
        <v>36</v>
      </c>
      <c r="M18">
        <v>36</v>
      </c>
      <c r="N18">
        <v>35</v>
      </c>
      <c r="O18">
        <v>35</v>
      </c>
      <c r="P18">
        <v>34</v>
      </c>
      <c r="Q18">
        <v>33</v>
      </c>
      <c r="R18">
        <v>33</v>
      </c>
      <c r="S18">
        <v>32</v>
      </c>
      <c r="T18">
        <v>32</v>
      </c>
      <c r="U18">
        <v>32</v>
      </c>
      <c r="V18">
        <v>34</v>
      </c>
      <c r="W18">
        <v>36</v>
      </c>
      <c r="X18">
        <v>38</v>
      </c>
      <c r="Y18">
        <v>39</v>
      </c>
      <c r="Z18" s="2">
        <f>AVERAGE(Sheet1__8[[#This Row],[00:00:00]:[23:00:00]])</f>
        <v>36.916666666666664</v>
      </c>
      <c r="AA18" t="str" cm="1">
        <f t="array" ref="AA18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19" spans="1:27" x14ac:dyDescent="0.3">
      <c r="A19" s="1">
        <v>45887</v>
      </c>
      <c r="B19">
        <v>40</v>
      </c>
      <c r="C19">
        <v>40</v>
      </c>
      <c r="D19">
        <v>42</v>
      </c>
      <c r="E19">
        <v>41</v>
      </c>
      <c r="F19">
        <v>40</v>
      </c>
      <c r="G19">
        <v>37</v>
      </c>
      <c r="H19">
        <v>36</v>
      </c>
      <c r="I19">
        <v>36</v>
      </c>
      <c r="J19">
        <v>37</v>
      </c>
      <c r="K19">
        <v>38</v>
      </c>
      <c r="L19">
        <v>38</v>
      </c>
      <c r="M19">
        <v>38</v>
      </c>
      <c r="N19">
        <v>38</v>
      </c>
      <c r="O19">
        <v>39</v>
      </c>
      <c r="P19">
        <v>39</v>
      </c>
      <c r="Q19">
        <v>40</v>
      </c>
      <c r="R19">
        <v>41</v>
      </c>
      <c r="S19">
        <v>42</v>
      </c>
      <c r="T19">
        <v>42</v>
      </c>
      <c r="U19">
        <v>44</v>
      </c>
      <c r="V19">
        <v>47</v>
      </c>
      <c r="W19">
        <v>49</v>
      </c>
      <c r="X19">
        <v>50</v>
      </c>
      <c r="Y19">
        <v>50</v>
      </c>
      <c r="Z19" s="2">
        <f>AVERAGE(Sheet1__8[[#This Row],[00:00:00]:[23:00:00]])</f>
        <v>41</v>
      </c>
      <c r="AA19" t="str" cm="1">
        <f t="array" ref="AA19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0" spans="1:27" x14ac:dyDescent="0.3">
      <c r="A20" s="1">
        <v>45888</v>
      </c>
      <c r="B20">
        <v>50</v>
      </c>
      <c r="C20">
        <v>48</v>
      </c>
      <c r="D20">
        <v>47</v>
      </c>
      <c r="E20">
        <v>45</v>
      </c>
      <c r="F20">
        <v>42</v>
      </c>
      <c r="G20">
        <v>42</v>
      </c>
      <c r="H20">
        <v>41</v>
      </c>
      <c r="I20">
        <v>40</v>
      </c>
      <c r="J20">
        <v>40</v>
      </c>
      <c r="K20">
        <v>40</v>
      </c>
      <c r="L20">
        <v>39</v>
      </c>
      <c r="M20">
        <v>38</v>
      </c>
      <c r="N20">
        <v>38</v>
      </c>
      <c r="O20">
        <v>38</v>
      </c>
      <c r="P20">
        <v>39</v>
      </c>
      <c r="Q20">
        <v>42</v>
      </c>
      <c r="R20">
        <v>46</v>
      </c>
      <c r="S20">
        <v>49</v>
      </c>
      <c r="T20">
        <v>51</v>
      </c>
      <c r="U20">
        <v>51</v>
      </c>
      <c r="V20">
        <v>52</v>
      </c>
      <c r="W20">
        <v>54</v>
      </c>
      <c r="X20">
        <v>54</v>
      </c>
      <c r="Y20">
        <v>54</v>
      </c>
      <c r="Z20" s="2">
        <f>AVERAGE(Sheet1__8[[#This Row],[00:00:00]:[23:00:00]])</f>
        <v>45</v>
      </c>
      <c r="AA20" t="str" cm="1">
        <f t="array" ref="AA20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1" spans="1:27" x14ac:dyDescent="0.3">
      <c r="A21" s="1">
        <v>45889</v>
      </c>
      <c r="B21">
        <v>52</v>
      </c>
      <c r="C21">
        <v>48</v>
      </c>
      <c r="D21">
        <v>45</v>
      </c>
      <c r="E21">
        <v>43</v>
      </c>
      <c r="F21">
        <v>42</v>
      </c>
      <c r="G21">
        <v>39</v>
      </c>
      <c r="H21">
        <v>38</v>
      </c>
      <c r="I21">
        <v>39</v>
      </c>
      <c r="J21">
        <v>38</v>
      </c>
      <c r="K21">
        <v>38</v>
      </c>
      <c r="L21">
        <v>39</v>
      </c>
      <c r="M21">
        <v>40</v>
      </c>
      <c r="N21">
        <v>40</v>
      </c>
      <c r="O21">
        <v>42</v>
      </c>
      <c r="P21">
        <v>44</v>
      </c>
      <c r="Q21">
        <v>45</v>
      </c>
      <c r="R21">
        <v>45</v>
      </c>
      <c r="S21">
        <v>45</v>
      </c>
      <c r="T21">
        <v>46</v>
      </c>
      <c r="U21">
        <v>46</v>
      </c>
      <c r="V21">
        <v>48</v>
      </c>
      <c r="W21">
        <v>50</v>
      </c>
      <c r="X21">
        <v>50</v>
      </c>
      <c r="Y21">
        <v>50</v>
      </c>
      <c r="Z21" s="2">
        <f>AVERAGE(Sheet1__8[[#This Row],[00:00:00]:[23:00:00]])</f>
        <v>43.833333333333336</v>
      </c>
      <c r="AA21" t="str" cm="1">
        <f t="array" ref="AA21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2" spans="1:27" x14ac:dyDescent="0.3">
      <c r="A22" s="1">
        <v>45890</v>
      </c>
      <c r="B22">
        <v>47</v>
      </c>
      <c r="C22">
        <v>44</v>
      </c>
      <c r="D22">
        <v>40</v>
      </c>
      <c r="E22">
        <v>38</v>
      </c>
      <c r="F22">
        <v>34</v>
      </c>
      <c r="G22">
        <v>32</v>
      </c>
      <c r="H22">
        <v>30</v>
      </c>
      <c r="I22">
        <v>28</v>
      </c>
      <c r="J22">
        <v>28</v>
      </c>
      <c r="K22">
        <v>28</v>
      </c>
      <c r="L22">
        <v>28</v>
      </c>
      <c r="M22">
        <v>28</v>
      </c>
      <c r="N22">
        <v>30</v>
      </c>
      <c r="O22">
        <v>30</v>
      </c>
      <c r="P22">
        <v>31</v>
      </c>
      <c r="Q22">
        <v>32</v>
      </c>
      <c r="R22">
        <v>32</v>
      </c>
      <c r="S22">
        <v>32</v>
      </c>
      <c r="T22">
        <v>32</v>
      </c>
      <c r="U22">
        <v>33</v>
      </c>
      <c r="V22">
        <v>34</v>
      </c>
      <c r="W22">
        <v>37</v>
      </c>
      <c r="X22">
        <v>39</v>
      </c>
      <c r="Y22">
        <v>40</v>
      </c>
      <c r="Z22" s="2">
        <f>AVERAGE(Sheet1__8[[#This Row],[00:00:00]:[23:00:00]])</f>
        <v>33.625</v>
      </c>
      <c r="AA22" t="str" cm="1">
        <f t="array" ref="AA22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3" spans="1:27" x14ac:dyDescent="0.3">
      <c r="A23" s="1">
        <v>45891</v>
      </c>
      <c r="B23">
        <v>40</v>
      </c>
      <c r="C23">
        <v>40</v>
      </c>
      <c r="D23">
        <v>39</v>
      </c>
      <c r="E23">
        <v>39</v>
      </c>
      <c r="F23">
        <v>40</v>
      </c>
      <c r="G23">
        <v>38</v>
      </c>
      <c r="H23">
        <v>37</v>
      </c>
      <c r="I23">
        <v>37</v>
      </c>
      <c r="J23">
        <v>38</v>
      </c>
      <c r="K23">
        <v>38</v>
      </c>
      <c r="L23">
        <v>37</v>
      </c>
      <c r="M23">
        <v>37</v>
      </c>
      <c r="N23">
        <v>38</v>
      </c>
      <c r="O23">
        <v>37</v>
      </c>
      <c r="P23">
        <v>37</v>
      </c>
      <c r="Q23">
        <v>37</v>
      </c>
      <c r="R23">
        <v>37</v>
      </c>
      <c r="S23">
        <v>36</v>
      </c>
      <c r="T23">
        <v>36</v>
      </c>
      <c r="U23">
        <v>36</v>
      </c>
      <c r="V23">
        <v>36</v>
      </c>
      <c r="W23">
        <v>36</v>
      </c>
      <c r="X23">
        <v>36</v>
      </c>
      <c r="Y23">
        <v>38</v>
      </c>
      <c r="Z23" s="2">
        <f>AVERAGE(Sheet1__8[[#This Row],[00:00:00]:[23:00:00]])</f>
        <v>37.5</v>
      </c>
      <c r="AA23" t="str" cm="1">
        <f t="array" ref="AA23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4" spans="1:27" x14ac:dyDescent="0.3">
      <c r="A24" s="1">
        <v>45892</v>
      </c>
      <c r="B24">
        <v>39</v>
      </c>
      <c r="C24">
        <v>38</v>
      </c>
      <c r="D24">
        <v>38</v>
      </c>
      <c r="E24">
        <v>37</v>
      </c>
      <c r="F24">
        <v>36</v>
      </c>
      <c r="G24">
        <v>36</v>
      </c>
      <c r="H24">
        <v>35</v>
      </c>
      <c r="I24">
        <v>34</v>
      </c>
      <c r="J24">
        <v>35</v>
      </c>
      <c r="K24">
        <v>35</v>
      </c>
      <c r="L24">
        <v>36</v>
      </c>
      <c r="M24">
        <v>36</v>
      </c>
      <c r="N24">
        <v>37</v>
      </c>
      <c r="O24">
        <v>37</v>
      </c>
      <c r="P24">
        <v>37</v>
      </c>
      <c r="Q24">
        <v>37</v>
      </c>
      <c r="R24">
        <v>38</v>
      </c>
      <c r="S24">
        <v>38</v>
      </c>
      <c r="T24">
        <v>38</v>
      </c>
      <c r="U24">
        <v>38</v>
      </c>
      <c r="V24">
        <v>38</v>
      </c>
      <c r="W24">
        <v>38</v>
      </c>
      <c r="X24">
        <v>37</v>
      </c>
      <c r="Y24">
        <v>36</v>
      </c>
      <c r="Z24" s="2">
        <f>AVERAGE(Sheet1__8[[#This Row],[00:00:00]:[23:00:00]])</f>
        <v>36.833333333333336</v>
      </c>
      <c r="AA24" t="str" cm="1">
        <f t="array" ref="AA24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5" spans="1:27" x14ac:dyDescent="0.3">
      <c r="A25" s="1">
        <v>45893</v>
      </c>
      <c r="B25">
        <v>35</v>
      </c>
      <c r="C25">
        <v>35</v>
      </c>
      <c r="D25">
        <v>32</v>
      </c>
      <c r="E25">
        <v>32</v>
      </c>
      <c r="F25">
        <v>31</v>
      </c>
      <c r="G25">
        <v>32</v>
      </c>
      <c r="H25">
        <v>32</v>
      </c>
      <c r="I25">
        <v>31</v>
      </c>
      <c r="J25">
        <v>31</v>
      </c>
      <c r="K25">
        <v>31</v>
      </c>
      <c r="L25">
        <v>31</v>
      </c>
      <c r="M25">
        <v>30</v>
      </c>
      <c r="O25">
        <v>30</v>
      </c>
      <c r="P25">
        <v>30</v>
      </c>
      <c r="Q25">
        <v>30</v>
      </c>
      <c r="R25">
        <v>30</v>
      </c>
      <c r="S25">
        <v>30</v>
      </c>
      <c r="T25">
        <v>30</v>
      </c>
      <c r="U25">
        <v>30</v>
      </c>
      <c r="V25">
        <v>30</v>
      </c>
      <c r="W25">
        <v>33</v>
      </c>
      <c r="X25">
        <v>34</v>
      </c>
      <c r="Y25">
        <v>35</v>
      </c>
      <c r="Z25" s="2">
        <f>AVERAGE(Sheet1__8[[#This Row],[00:00:00]:[23:00:00]])</f>
        <v>31.521739130434781</v>
      </c>
      <c r="AA25" t="str" cm="1">
        <f t="array" ref="AA25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6" spans="1:27" x14ac:dyDescent="0.3">
      <c r="A26" s="1">
        <v>45894</v>
      </c>
      <c r="B26">
        <v>36</v>
      </c>
      <c r="C26">
        <v>36</v>
      </c>
      <c r="D26">
        <v>36</v>
      </c>
      <c r="E26">
        <v>36</v>
      </c>
      <c r="F26">
        <v>34</v>
      </c>
      <c r="G26">
        <v>34</v>
      </c>
      <c r="H26">
        <v>34</v>
      </c>
      <c r="I26">
        <v>35</v>
      </c>
      <c r="J26">
        <v>35</v>
      </c>
      <c r="K26">
        <v>35</v>
      </c>
      <c r="L26">
        <v>34</v>
      </c>
      <c r="M26">
        <v>34</v>
      </c>
      <c r="N26">
        <v>34</v>
      </c>
      <c r="O26">
        <v>34</v>
      </c>
      <c r="P26">
        <v>34</v>
      </c>
      <c r="Q26">
        <v>34</v>
      </c>
      <c r="R26">
        <v>35</v>
      </c>
      <c r="S26">
        <v>35</v>
      </c>
      <c r="T26">
        <v>36</v>
      </c>
      <c r="U26">
        <v>37</v>
      </c>
      <c r="V26">
        <v>39</v>
      </c>
      <c r="W26">
        <v>41</v>
      </c>
      <c r="X26">
        <v>43</v>
      </c>
      <c r="Y26">
        <v>43</v>
      </c>
      <c r="Z26" s="2">
        <f>AVERAGE(Sheet1__8[[#This Row],[00:00:00]:[23:00:00]])</f>
        <v>36</v>
      </c>
      <c r="AA26" t="str" cm="1">
        <f t="array" ref="AA26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7" spans="1:27" x14ac:dyDescent="0.3">
      <c r="A27" s="1">
        <v>45895</v>
      </c>
      <c r="B27">
        <v>44</v>
      </c>
      <c r="C27">
        <v>44</v>
      </c>
      <c r="D27">
        <v>44</v>
      </c>
      <c r="E27">
        <v>43</v>
      </c>
      <c r="F27">
        <v>41</v>
      </c>
      <c r="G27">
        <v>40</v>
      </c>
      <c r="H27">
        <v>40</v>
      </c>
      <c r="I27">
        <v>40</v>
      </c>
      <c r="J27">
        <v>40</v>
      </c>
      <c r="K27">
        <v>40</v>
      </c>
      <c r="L27">
        <v>40</v>
      </c>
      <c r="M27">
        <v>40</v>
      </c>
      <c r="N27">
        <v>40</v>
      </c>
      <c r="O27">
        <v>39</v>
      </c>
      <c r="P27">
        <v>39</v>
      </c>
      <c r="Q27">
        <v>40</v>
      </c>
      <c r="R27">
        <v>40</v>
      </c>
      <c r="S27">
        <v>40</v>
      </c>
      <c r="T27">
        <v>40</v>
      </c>
      <c r="U27">
        <v>40</v>
      </c>
      <c r="V27">
        <v>40</v>
      </c>
      <c r="W27">
        <v>39</v>
      </c>
      <c r="X27">
        <v>39</v>
      </c>
      <c r="Y27">
        <v>41</v>
      </c>
      <c r="Z27" s="2">
        <f>AVERAGE(Sheet1__8[[#This Row],[00:00:00]:[23:00:00]])</f>
        <v>40.541666666666664</v>
      </c>
      <c r="AA27" t="str" cm="1">
        <f t="array" ref="AA27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8" spans="1:27" x14ac:dyDescent="0.3">
      <c r="A28" s="1">
        <v>45896</v>
      </c>
      <c r="B28">
        <v>42</v>
      </c>
      <c r="C28">
        <v>42</v>
      </c>
      <c r="D28">
        <v>41</v>
      </c>
      <c r="E28">
        <v>40</v>
      </c>
      <c r="F28">
        <v>39</v>
      </c>
      <c r="G28">
        <v>37</v>
      </c>
      <c r="H28">
        <v>34</v>
      </c>
      <c r="I28">
        <v>33</v>
      </c>
      <c r="J28">
        <v>32</v>
      </c>
      <c r="K28">
        <v>32</v>
      </c>
      <c r="L28">
        <v>32</v>
      </c>
      <c r="M28">
        <v>32</v>
      </c>
      <c r="N28">
        <v>32</v>
      </c>
      <c r="O28">
        <v>32</v>
      </c>
      <c r="P28">
        <v>31</v>
      </c>
      <c r="Q28">
        <v>30</v>
      </c>
      <c r="R28">
        <v>30</v>
      </c>
      <c r="S28">
        <v>30</v>
      </c>
      <c r="T28">
        <v>30</v>
      </c>
      <c r="U28">
        <v>30</v>
      </c>
      <c r="V28">
        <v>34</v>
      </c>
      <c r="W28">
        <v>36</v>
      </c>
      <c r="X28">
        <v>40</v>
      </c>
      <c r="Y28">
        <v>43</v>
      </c>
      <c r="Z28" s="2">
        <f>AVERAGE(Sheet1__8[[#This Row],[00:00:00]:[23:00:00]])</f>
        <v>34.75</v>
      </c>
      <c r="AA28" t="str" cm="1">
        <f t="array" ref="AA28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9" spans="1:27" x14ac:dyDescent="0.3">
      <c r="A29" s="1">
        <v>45897</v>
      </c>
      <c r="B29">
        <v>44</v>
      </c>
      <c r="C29">
        <v>45</v>
      </c>
      <c r="D29">
        <v>46</v>
      </c>
      <c r="F29">
        <v>44</v>
      </c>
      <c r="G29">
        <v>41</v>
      </c>
      <c r="H29">
        <v>38</v>
      </c>
      <c r="I29">
        <v>34</v>
      </c>
      <c r="J29">
        <v>34</v>
      </c>
      <c r="K29">
        <v>34</v>
      </c>
      <c r="L29">
        <v>34</v>
      </c>
      <c r="M29">
        <v>35</v>
      </c>
      <c r="N29">
        <v>35</v>
      </c>
      <c r="O29">
        <v>36</v>
      </c>
      <c r="P29">
        <v>37</v>
      </c>
      <c r="Q29">
        <v>39</v>
      </c>
      <c r="R29">
        <v>41</v>
      </c>
      <c r="S29">
        <v>41</v>
      </c>
      <c r="U29">
        <v>45</v>
      </c>
      <c r="V29">
        <v>48</v>
      </c>
      <c r="W29">
        <v>52</v>
      </c>
      <c r="X29">
        <v>56</v>
      </c>
      <c r="Y29">
        <v>58</v>
      </c>
      <c r="Z29" s="2">
        <f>AVERAGE(Sheet1__8[[#This Row],[00:00:00]:[23:00:00]])</f>
        <v>41.68181818181818</v>
      </c>
      <c r="AA29" t="str" cm="1">
        <f t="array" ref="AA29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30" spans="1:27" x14ac:dyDescent="0.3">
      <c r="A30" s="1">
        <v>45898</v>
      </c>
      <c r="B30">
        <v>58</v>
      </c>
      <c r="C30">
        <v>58</v>
      </c>
      <c r="D30">
        <v>57</v>
      </c>
      <c r="E30">
        <v>54</v>
      </c>
      <c r="F30">
        <v>52</v>
      </c>
      <c r="G30">
        <v>46</v>
      </c>
      <c r="H30">
        <v>43</v>
      </c>
      <c r="I30">
        <v>41</v>
      </c>
      <c r="J30">
        <v>40</v>
      </c>
      <c r="K30">
        <v>40</v>
      </c>
      <c r="L30">
        <v>40</v>
      </c>
      <c r="M30">
        <v>40</v>
      </c>
      <c r="N30">
        <v>42</v>
      </c>
      <c r="O30">
        <v>44</v>
      </c>
      <c r="P30">
        <v>44</v>
      </c>
      <c r="Q30">
        <v>44</v>
      </c>
      <c r="R30">
        <v>44</v>
      </c>
      <c r="S30">
        <v>44</v>
      </c>
      <c r="T30">
        <v>44</v>
      </c>
      <c r="U30">
        <v>44</v>
      </c>
      <c r="V30">
        <v>47</v>
      </c>
      <c r="W30">
        <v>50</v>
      </c>
      <c r="X30">
        <v>52</v>
      </c>
      <c r="Y30">
        <v>54</v>
      </c>
      <c r="Z30" s="2">
        <f>AVERAGE(Sheet1__8[[#This Row],[00:00:00]:[23:00:00]])</f>
        <v>46.75</v>
      </c>
      <c r="AA30" t="str" cm="1">
        <f t="array" ref="AA30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31" spans="1:27" x14ac:dyDescent="0.3">
      <c r="A31" s="1">
        <v>45899</v>
      </c>
      <c r="B31">
        <v>54</v>
      </c>
      <c r="C31">
        <v>54</v>
      </c>
      <c r="D31">
        <v>54</v>
      </c>
      <c r="E31">
        <v>54</v>
      </c>
      <c r="F31">
        <v>54</v>
      </c>
      <c r="G31">
        <v>52</v>
      </c>
      <c r="H31">
        <v>51</v>
      </c>
      <c r="I31">
        <v>50</v>
      </c>
      <c r="J31">
        <v>49</v>
      </c>
      <c r="K31">
        <v>49</v>
      </c>
      <c r="L31">
        <v>49</v>
      </c>
      <c r="M31">
        <v>50</v>
      </c>
      <c r="N31">
        <v>52</v>
      </c>
      <c r="O31">
        <v>53</v>
      </c>
      <c r="P31">
        <v>54</v>
      </c>
      <c r="Q31">
        <v>54</v>
      </c>
      <c r="R31">
        <v>54</v>
      </c>
      <c r="S31">
        <v>54</v>
      </c>
      <c r="T31">
        <v>55</v>
      </c>
      <c r="U31">
        <v>56</v>
      </c>
      <c r="V31">
        <v>58</v>
      </c>
      <c r="W31">
        <v>58</v>
      </c>
      <c r="X31">
        <v>58</v>
      </c>
      <c r="Y31">
        <v>58</v>
      </c>
      <c r="Z31" s="2">
        <f>AVERAGE(Sheet1__8[[#This Row],[00:00:00]:[23:00:00]])</f>
        <v>53.5</v>
      </c>
      <c r="AA31" t="str" cm="1">
        <f t="array" ref="AA31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32" spans="1:27" x14ac:dyDescent="0.3">
      <c r="A32" s="1">
        <v>45900</v>
      </c>
      <c r="C32">
        <v>58</v>
      </c>
      <c r="D32">
        <v>56</v>
      </c>
      <c r="E32">
        <v>54</v>
      </c>
      <c r="F32">
        <v>52</v>
      </c>
      <c r="G32">
        <v>49</v>
      </c>
      <c r="H32">
        <v>47</v>
      </c>
      <c r="I32">
        <v>47</v>
      </c>
      <c r="J32">
        <v>46</v>
      </c>
      <c r="K32">
        <v>47</v>
      </c>
      <c r="L32">
        <v>47</v>
      </c>
      <c r="M32">
        <v>47</v>
      </c>
      <c r="N32">
        <v>47</v>
      </c>
      <c r="O32">
        <v>47</v>
      </c>
      <c r="P32">
        <v>48</v>
      </c>
      <c r="Q32">
        <v>48</v>
      </c>
      <c r="R32">
        <v>47</v>
      </c>
      <c r="S32">
        <v>47</v>
      </c>
      <c r="T32">
        <v>47</v>
      </c>
      <c r="U32">
        <v>46</v>
      </c>
      <c r="V32">
        <v>46</v>
      </c>
      <c r="W32">
        <v>45</v>
      </c>
      <c r="X32">
        <v>46</v>
      </c>
      <c r="Y32">
        <v>46</v>
      </c>
      <c r="Z32" s="2">
        <f>AVERAGE(Sheet1__8[[#This Row],[00:00:00]:[23:00:00]])</f>
        <v>48.260869565217391</v>
      </c>
      <c r="AA32" t="str" cm="1">
        <f t="array" ref="AA32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33" spans="26:27" x14ac:dyDescent="0.3">
      <c r="Z33" s="2">
        <f>SUBTOTAL(101,Sheet1__8[AVERAGE AQI])</f>
        <v>48.831086106506874</v>
      </c>
      <c r="AA33" s="3"/>
    </row>
  </sheetData>
  <conditionalFormatting sqref="AA1:AA1048576">
    <cfRule type="containsText" dxfId="54" priority="2" operator="containsText" text="GOOD">
      <formula>NOT(ISERROR(SEARCH("GOOD",AA1)))</formula>
    </cfRule>
    <cfRule type="containsText" dxfId="55" priority="1" operator="containsText" text="MODERATE">
      <formula>NOT(ISERROR(SEARCH("MODERATE",AA1)))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B399-F99B-45A5-81E5-39D7A105F03D}">
  <dimension ref="A1:AA32"/>
  <sheetViews>
    <sheetView workbookViewId="0">
      <selection activeCell="AB11" sqref="AB11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9.21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45901</v>
      </c>
      <c r="B2">
        <v>46</v>
      </c>
      <c r="C2">
        <v>46</v>
      </c>
      <c r="D2">
        <v>46</v>
      </c>
      <c r="E2">
        <v>46</v>
      </c>
      <c r="F2">
        <v>45</v>
      </c>
      <c r="G2">
        <v>44</v>
      </c>
      <c r="H2">
        <v>42</v>
      </c>
      <c r="I2">
        <v>42</v>
      </c>
      <c r="J2">
        <v>42</v>
      </c>
      <c r="K2">
        <v>41</v>
      </c>
      <c r="L2">
        <v>41</v>
      </c>
      <c r="M2">
        <v>40</v>
      </c>
      <c r="N2">
        <v>40</v>
      </c>
      <c r="O2">
        <v>40</v>
      </c>
      <c r="P2">
        <v>40</v>
      </c>
      <c r="Q2">
        <v>40</v>
      </c>
      <c r="R2">
        <v>39</v>
      </c>
      <c r="S2">
        <v>39</v>
      </c>
      <c r="T2">
        <v>38</v>
      </c>
      <c r="U2">
        <v>38</v>
      </c>
      <c r="V2">
        <v>38</v>
      </c>
      <c r="W2">
        <v>40</v>
      </c>
      <c r="X2">
        <v>42</v>
      </c>
      <c r="Y2">
        <v>42</v>
      </c>
      <c r="Z2" s="2">
        <f>AVERAGE(Sheet1__9[[#This Row],[00:00:00]:[23:00:00]])</f>
        <v>41.541666666666664</v>
      </c>
      <c r="AA2" t="str" cm="1">
        <f t="array" ref="AA2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3" spans="1:27" x14ac:dyDescent="0.3">
      <c r="A3" s="1">
        <v>45902</v>
      </c>
      <c r="B3">
        <v>41</v>
      </c>
      <c r="C3">
        <v>40</v>
      </c>
      <c r="D3">
        <v>38</v>
      </c>
      <c r="E3">
        <v>38</v>
      </c>
      <c r="F3">
        <v>36</v>
      </c>
      <c r="G3">
        <v>35</v>
      </c>
      <c r="H3">
        <v>34</v>
      </c>
      <c r="I3">
        <v>34</v>
      </c>
      <c r="J3">
        <v>35</v>
      </c>
      <c r="K3">
        <v>35</v>
      </c>
      <c r="L3">
        <v>35</v>
      </c>
      <c r="M3">
        <v>35</v>
      </c>
      <c r="N3">
        <v>35</v>
      </c>
      <c r="O3">
        <v>36</v>
      </c>
      <c r="P3">
        <v>36</v>
      </c>
      <c r="Q3">
        <v>36</v>
      </c>
      <c r="R3">
        <v>36</v>
      </c>
      <c r="S3">
        <v>35</v>
      </c>
      <c r="T3">
        <v>36</v>
      </c>
      <c r="U3">
        <v>38</v>
      </c>
      <c r="V3">
        <v>39</v>
      </c>
      <c r="W3">
        <v>39</v>
      </c>
      <c r="X3">
        <v>40</v>
      </c>
      <c r="Y3">
        <v>40</v>
      </c>
      <c r="Z3" s="2">
        <f>AVERAGE(Sheet1__9[[#This Row],[00:00:00]:[23:00:00]])</f>
        <v>36.75</v>
      </c>
      <c r="AA3" t="str" cm="1">
        <f t="array" ref="AA3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4" spans="1:27" x14ac:dyDescent="0.3">
      <c r="A4" s="1">
        <v>45903</v>
      </c>
      <c r="B4">
        <v>40</v>
      </c>
      <c r="C4">
        <v>40</v>
      </c>
      <c r="D4">
        <v>38</v>
      </c>
      <c r="E4">
        <v>37</v>
      </c>
      <c r="F4">
        <v>36</v>
      </c>
      <c r="G4">
        <v>36</v>
      </c>
      <c r="H4">
        <v>36</v>
      </c>
      <c r="I4">
        <v>37</v>
      </c>
      <c r="J4">
        <v>38</v>
      </c>
      <c r="K4">
        <v>38</v>
      </c>
      <c r="L4">
        <v>39</v>
      </c>
      <c r="M4">
        <v>39</v>
      </c>
      <c r="N4">
        <v>41</v>
      </c>
      <c r="O4">
        <v>41</v>
      </c>
      <c r="P4">
        <v>41</v>
      </c>
      <c r="Q4">
        <v>39</v>
      </c>
      <c r="R4">
        <v>37</v>
      </c>
      <c r="S4">
        <v>37</v>
      </c>
      <c r="T4">
        <v>36</v>
      </c>
      <c r="U4">
        <v>38</v>
      </c>
      <c r="V4">
        <v>40</v>
      </c>
      <c r="W4">
        <v>41</v>
      </c>
      <c r="X4">
        <v>42</v>
      </c>
      <c r="Y4">
        <v>42</v>
      </c>
      <c r="Z4" s="2">
        <f>AVERAGE(Sheet1__9[[#This Row],[00:00:00]:[23:00:00]])</f>
        <v>38.708333333333336</v>
      </c>
      <c r="AA4" t="str" cm="1">
        <f t="array" ref="AA4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5" spans="1:27" x14ac:dyDescent="0.3">
      <c r="A5" s="1">
        <v>45904</v>
      </c>
      <c r="B5">
        <v>46</v>
      </c>
      <c r="C5">
        <v>46</v>
      </c>
      <c r="D5">
        <v>46</v>
      </c>
      <c r="E5">
        <v>45</v>
      </c>
      <c r="F5">
        <v>43</v>
      </c>
      <c r="G5">
        <v>42</v>
      </c>
      <c r="H5">
        <v>40</v>
      </c>
      <c r="I5">
        <v>38</v>
      </c>
      <c r="J5">
        <v>38</v>
      </c>
      <c r="K5">
        <v>38</v>
      </c>
      <c r="M5">
        <v>42</v>
      </c>
      <c r="N5">
        <v>44</v>
      </c>
      <c r="O5">
        <v>45</v>
      </c>
      <c r="P5">
        <v>47</v>
      </c>
      <c r="Q5">
        <v>48</v>
      </c>
      <c r="R5">
        <v>49</v>
      </c>
      <c r="S5">
        <v>49</v>
      </c>
      <c r="T5">
        <v>49</v>
      </c>
      <c r="U5">
        <v>50</v>
      </c>
      <c r="V5">
        <v>51</v>
      </c>
      <c r="W5">
        <v>52</v>
      </c>
      <c r="X5">
        <v>53</v>
      </c>
      <c r="Y5">
        <v>53</v>
      </c>
      <c r="Z5" s="2">
        <f>AVERAGE(Sheet1__9[[#This Row],[00:00:00]:[23:00:00]])</f>
        <v>45.826086956521742</v>
      </c>
      <c r="AA5" t="str" cm="1">
        <f t="array" ref="AA5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6" spans="1:27" x14ac:dyDescent="0.3">
      <c r="A6" s="1">
        <v>45905</v>
      </c>
      <c r="B6">
        <v>53</v>
      </c>
      <c r="C6">
        <v>53</v>
      </c>
      <c r="D6">
        <v>53</v>
      </c>
      <c r="E6">
        <v>52</v>
      </c>
      <c r="F6">
        <v>51</v>
      </c>
      <c r="G6">
        <v>49</v>
      </c>
      <c r="H6">
        <v>48</v>
      </c>
      <c r="I6">
        <v>48</v>
      </c>
      <c r="J6">
        <v>47</v>
      </c>
      <c r="K6">
        <v>46</v>
      </c>
      <c r="L6">
        <v>45</v>
      </c>
      <c r="M6">
        <v>45</v>
      </c>
      <c r="N6">
        <v>46</v>
      </c>
      <c r="O6">
        <v>47</v>
      </c>
      <c r="P6">
        <v>48</v>
      </c>
      <c r="Q6">
        <v>50</v>
      </c>
      <c r="R6">
        <v>49</v>
      </c>
      <c r="S6">
        <v>48</v>
      </c>
      <c r="T6">
        <v>48</v>
      </c>
      <c r="U6">
        <v>50</v>
      </c>
      <c r="V6">
        <v>51</v>
      </c>
      <c r="W6">
        <v>52</v>
      </c>
      <c r="X6">
        <v>53</v>
      </c>
      <c r="Z6" s="2">
        <f>AVERAGE(Sheet1__9[[#This Row],[00:00:00]:[23:00:00]])</f>
        <v>49.217391304347828</v>
      </c>
      <c r="AA6" t="str" cm="1">
        <f t="array" ref="AA6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7" spans="1:27" x14ac:dyDescent="0.3">
      <c r="A7" s="1">
        <v>45906</v>
      </c>
      <c r="B7">
        <v>53</v>
      </c>
      <c r="C7">
        <v>54</v>
      </c>
      <c r="D7">
        <v>54</v>
      </c>
      <c r="F7">
        <v>52</v>
      </c>
      <c r="G7">
        <v>50</v>
      </c>
      <c r="H7">
        <v>48</v>
      </c>
      <c r="I7">
        <v>45</v>
      </c>
      <c r="J7">
        <v>45</v>
      </c>
      <c r="K7">
        <v>44</v>
      </c>
      <c r="L7">
        <v>44</v>
      </c>
      <c r="M7">
        <v>44</v>
      </c>
      <c r="N7">
        <v>46</v>
      </c>
      <c r="O7">
        <v>46</v>
      </c>
      <c r="P7">
        <v>46</v>
      </c>
      <c r="Q7">
        <v>47</v>
      </c>
      <c r="R7">
        <v>48</v>
      </c>
      <c r="S7">
        <v>48</v>
      </c>
      <c r="T7">
        <v>47</v>
      </c>
      <c r="U7">
        <v>46</v>
      </c>
      <c r="V7">
        <v>46</v>
      </c>
      <c r="W7">
        <v>46</v>
      </c>
      <c r="X7">
        <v>45</v>
      </c>
      <c r="Y7">
        <v>46</v>
      </c>
      <c r="Z7" s="2">
        <f>AVERAGE(Sheet1__9[[#This Row],[00:00:00]:[23:00:00]])</f>
        <v>47.391304347826086</v>
      </c>
      <c r="AA7" t="str" cm="1">
        <f t="array" ref="AA7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8" spans="1:27" x14ac:dyDescent="0.3">
      <c r="A8" s="1">
        <v>45907</v>
      </c>
      <c r="B8">
        <v>46</v>
      </c>
      <c r="C8">
        <v>45</v>
      </c>
      <c r="D8">
        <v>44</v>
      </c>
      <c r="E8">
        <v>44</v>
      </c>
      <c r="F8">
        <v>42</v>
      </c>
      <c r="G8">
        <v>40</v>
      </c>
      <c r="H8">
        <v>39</v>
      </c>
      <c r="I8">
        <v>38</v>
      </c>
      <c r="J8">
        <v>38</v>
      </c>
      <c r="K8">
        <v>38</v>
      </c>
      <c r="L8">
        <v>39</v>
      </c>
      <c r="M8">
        <v>39</v>
      </c>
      <c r="N8">
        <v>40</v>
      </c>
      <c r="O8">
        <v>40</v>
      </c>
      <c r="P8">
        <v>40</v>
      </c>
      <c r="Q8">
        <v>40</v>
      </c>
      <c r="R8">
        <v>40</v>
      </c>
      <c r="S8">
        <v>40</v>
      </c>
      <c r="T8">
        <v>40</v>
      </c>
      <c r="U8">
        <v>40</v>
      </c>
      <c r="V8">
        <v>41</v>
      </c>
      <c r="W8">
        <v>42</v>
      </c>
      <c r="X8">
        <v>42</v>
      </c>
      <c r="Y8">
        <v>45</v>
      </c>
      <c r="Z8" s="2">
        <f>AVERAGE(Sheet1__9[[#This Row],[00:00:00]:[23:00:00]])</f>
        <v>40.916666666666664</v>
      </c>
      <c r="AA8" t="str" cm="1">
        <f t="array" ref="AA8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9" spans="1:27" x14ac:dyDescent="0.3">
      <c r="A9" s="1">
        <v>45908</v>
      </c>
      <c r="B9">
        <v>46</v>
      </c>
      <c r="C9">
        <v>47</v>
      </c>
      <c r="D9">
        <v>48</v>
      </c>
      <c r="E9">
        <v>48</v>
      </c>
      <c r="F9">
        <v>46</v>
      </c>
      <c r="G9">
        <v>45</v>
      </c>
      <c r="H9">
        <v>44</v>
      </c>
      <c r="I9">
        <v>43</v>
      </c>
      <c r="J9">
        <v>43</v>
      </c>
      <c r="K9">
        <v>43</v>
      </c>
      <c r="L9">
        <v>43</v>
      </c>
      <c r="M9">
        <v>43</v>
      </c>
      <c r="O9">
        <v>44</v>
      </c>
      <c r="P9">
        <v>44</v>
      </c>
      <c r="Q9">
        <v>44</v>
      </c>
      <c r="R9">
        <v>42</v>
      </c>
      <c r="S9">
        <v>40</v>
      </c>
      <c r="T9">
        <v>40</v>
      </c>
      <c r="U9">
        <v>42</v>
      </c>
      <c r="V9">
        <v>44</v>
      </c>
      <c r="W9">
        <v>46</v>
      </c>
      <c r="X9">
        <v>47</v>
      </c>
      <c r="Y9">
        <v>50</v>
      </c>
      <c r="Z9" s="2">
        <f>AVERAGE(Sheet1__9[[#This Row],[00:00:00]:[23:00:00]])</f>
        <v>44.434782608695649</v>
      </c>
      <c r="AA9" t="str" cm="1">
        <f t="array" ref="AA9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10" spans="1:27" x14ac:dyDescent="0.3">
      <c r="A10" s="1">
        <v>45909</v>
      </c>
      <c r="B10">
        <v>57</v>
      </c>
      <c r="C10">
        <v>58</v>
      </c>
      <c r="D10">
        <v>58</v>
      </c>
      <c r="E10">
        <v>57</v>
      </c>
      <c r="F10">
        <v>54</v>
      </c>
      <c r="G10">
        <v>51</v>
      </c>
      <c r="H10">
        <v>47</v>
      </c>
      <c r="I10">
        <v>45</v>
      </c>
      <c r="J10">
        <v>44</v>
      </c>
      <c r="K10">
        <v>43</v>
      </c>
      <c r="L10">
        <v>43</v>
      </c>
      <c r="M10">
        <v>43</v>
      </c>
      <c r="N10">
        <v>44</v>
      </c>
      <c r="O10">
        <v>46</v>
      </c>
      <c r="P10">
        <v>50</v>
      </c>
      <c r="Q10">
        <v>49</v>
      </c>
      <c r="R10">
        <v>49</v>
      </c>
      <c r="S10">
        <v>50</v>
      </c>
      <c r="T10">
        <v>51</v>
      </c>
      <c r="U10">
        <v>52</v>
      </c>
      <c r="V10">
        <v>52</v>
      </c>
      <c r="W10">
        <v>52</v>
      </c>
      <c r="X10">
        <v>51</v>
      </c>
      <c r="Y10">
        <v>50</v>
      </c>
      <c r="Z10" s="2">
        <f>AVERAGE(Sheet1__9[[#This Row],[00:00:00]:[23:00:00]])</f>
        <v>49.833333333333336</v>
      </c>
      <c r="AA10" t="str" cm="1">
        <f t="array" ref="AA10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11" spans="1:27" x14ac:dyDescent="0.3">
      <c r="A11" s="1">
        <v>45910</v>
      </c>
      <c r="B11">
        <v>48</v>
      </c>
      <c r="C11">
        <v>48</v>
      </c>
      <c r="D11">
        <v>47</v>
      </c>
      <c r="E11">
        <v>47</v>
      </c>
      <c r="F11">
        <v>46</v>
      </c>
      <c r="G11">
        <v>46</v>
      </c>
      <c r="H11">
        <v>47</v>
      </c>
      <c r="I11">
        <v>47</v>
      </c>
      <c r="J11">
        <v>47</v>
      </c>
      <c r="K11">
        <v>46</v>
      </c>
      <c r="L11">
        <v>47</v>
      </c>
      <c r="M11">
        <v>46</v>
      </c>
      <c r="N11">
        <v>46</v>
      </c>
      <c r="O11">
        <v>45</v>
      </c>
      <c r="P11">
        <v>44</v>
      </c>
      <c r="Q11">
        <v>44</v>
      </c>
      <c r="R11">
        <v>43</v>
      </c>
      <c r="S11">
        <v>42</v>
      </c>
      <c r="T11">
        <v>42</v>
      </c>
      <c r="U11">
        <v>42</v>
      </c>
      <c r="V11">
        <v>41</v>
      </c>
      <c r="W11">
        <v>41</v>
      </c>
      <c r="X11">
        <v>40</v>
      </c>
      <c r="Y11">
        <v>41</v>
      </c>
      <c r="Z11" s="2">
        <f>AVERAGE(Sheet1__9[[#This Row],[00:00:00]:[23:00:00]])</f>
        <v>44.708333333333336</v>
      </c>
      <c r="AA11" t="str" cm="1">
        <f t="array" ref="AA11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12" spans="1:27" x14ac:dyDescent="0.3">
      <c r="A12" s="1">
        <v>45911</v>
      </c>
      <c r="B12">
        <v>42</v>
      </c>
      <c r="C12">
        <v>42</v>
      </c>
      <c r="D12">
        <v>43</v>
      </c>
      <c r="E12">
        <v>44</v>
      </c>
      <c r="F12">
        <v>44</v>
      </c>
      <c r="G12">
        <v>45</v>
      </c>
      <c r="H12">
        <v>45</v>
      </c>
      <c r="I12">
        <v>46</v>
      </c>
      <c r="J12">
        <v>46</v>
      </c>
      <c r="K12">
        <v>48</v>
      </c>
      <c r="L12">
        <v>48</v>
      </c>
      <c r="M12">
        <v>49</v>
      </c>
      <c r="N12">
        <v>49</v>
      </c>
      <c r="O12">
        <v>50</v>
      </c>
      <c r="P12">
        <v>50</v>
      </c>
      <c r="Q12">
        <v>50</v>
      </c>
      <c r="R12">
        <v>50</v>
      </c>
      <c r="S12">
        <v>50</v>
      </c>
      <c r="T12">
        <v>50</v>
      </c>
      <c r="U12">
        <v>50</v>
      </c>
      <c r="V12">
        <v>50</v>
      </c>
      <c r="W12">
        <v>50</v>
      </c>
      <c r="X12">
        <v>50</v>
      </c>
      <c r="Y12">
        <v>50</v>
      </c>
      <c r="Z12" s="2">
        <f>AVERAGE(Sheet1__9[[#This Row],[00:00:00]:[23:00:00]])</f>
        <v>47.541666666666664</v>
      </c>
      <c r="AA12" t="str" cm="1">
        <f t="array" ref="AA12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13" spans="1:27" x14ac:dyDescent="0.3">
      <c r="A13" s="1">
        <v>45912</v>
      </c>
      <c r="B13">
        <v>50</v>
      </c>
      <c r="C13">
        <v>48</v>
      </c>
      <c r="D13">
        <v>47</v>
      </c>
      <c r="E13">
        <v>45</v>
      </c>
      <c r="F13">
        <v>44</v>
      </c>
      <c r="G13">
        <v>43</v>
      </c>
      <c r="H13">
        <v>42</v>
      </c>
      <c r="I13">
        <v>42</v>
      </c>
      <c r="J13">
        <v>42</v>
      </c>
      <c r="K13">
        <v>40</v>
      </c>
      <c r="L13">
        <v>39</v>
      </c>
      <c r="M13">
        <v>38</v>
      </c>
      <c r="N13">
        <v>38</v>
      </c>
      <c r="O13">
        <v>37</v>
      </c>
      <c r="P13">
        <v>36</v>
      </c>
      <c r="Q13">
        <v>36</v>
      </c>
      <c r="R13">
        <v>36</v>
      </c>
      <c r="S13">
        <v>36</v>
      </c>
      <c r="T13">
        <v>36</v>
      </c>
      <c r="U13">
        <v>36</v>
      </c>
      <c r="V13">
        <v>36</v>
      </c>
      <c r="W13">
        <v>36</v>
      </c>
      <c r="X13">
        <v>36</v>
      </c>
      <c r="Y13">
        <v>36</v>
      </c>
      <c r="Z13" s="2">
        <f>AVERAGE(Sheet1__9[[#This Row],[00:00:00]:[23:00:00]])</f>
        <v>39.791666666666664</v>
      </c>
      <c r="AA13" t="str" cm="1">
        <f t="array" ref="AA13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14" spans="1:27" x14ac:dyDescent="0.3">
      <c r="A14" s="1">
        <v>45913</v>
      </c>
      <c r="B14">
        <v>36</v>
      </c>
      <c r="C14">
        <v>35</v>
      </c>
      <c r="D14">
        <v>34</v>
      </c>
      <c r="E14">
        <v>34</v>
      </c>
      <c r="F14">
        <v>32</v>
      </c>
      <c r="G14">
        <v>32</v>
      </c>
      <c r="H14">
        <v>32</v>
      </c>
      <c r="I14">
        <v>32</v>
      </c>
      <c r="J14">
        <v>32</v>
      </c>
      <c r="K14">
        <v>33</v>
      </c>
      <c r="L14">
        <v>33</v>
      </c>
      <c r="M14">
        <v>34</v>
      </c>
      <c r="N14">
        <v>33</v>
      </c>
      <c r="O14">
        <v>33</v>
      </c>
      <c r="P14">
        <v>33</v>
      </c>
      <c r="Q14">
        <v>33</v>
      </c>
      <c r="R14">
        <v>33</v>
      </c>
      <c r="S14">
        <v>33</v>
      </c>
      <c r="T14">
        <v>34</v>
      </c>
      <c r="U14">
        <v>35</v>
      </c>
      <c r="V14">
        <v>37</v>
      </c>
      <c r="W14">
        <v>40</v>
      </c>
      <c r="X14">
        <v>41</v>
      </c>
      <c r="Y14">
        <v>42</v>
      </c>
      <c r="Z14" s="2">
        <f>AVERAGE(Sheet1__9[[#This Row],[00:00:00]:[23:00:00]])</f>
        <v>34.416666666666664</v>
      </c>
      <c r="AA14" t="str" cm="1">
        <f t="array" ref="AA14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15" spans="1:27" x14ac:dyDescent="0.3">
      <c r="A15" s="1">
        <v>45914</v>
      </c>
      <c r="B15">
        <v>42</v>
      </c>
      <c r="C15">
        <v>42</v>
      </c>
      <c r="E15">
        <v>43</v>
      </c>
      <c r="F15">
        <v>42</v>
      </c>
      <c r="G15">
        <v>40</v>
      </c>
      <c r="H15">
        <v>41</v>
      </c>
      <c r="I15">
        <v>41</v>
      </c>
      <c r="J15">
        <v>42</v>
      </c>
      <c r="K15">
        <v>42</v>
      </c>
      <c r="L15">
        <v>42</v>
      </c>
      <c r="M15">
        <v>43</v>
      </c>
      <c r="N15">
        <v>44</v>
      </c>
      <c r="O15">
        <v>45</v>
      </c>
      <c r="P15">
        <v>47</v>
      </c>
      <c r="Q15">
        <v>48</v>
      </c>
      <c r="R15">
        <v>49</v>
      </c>
      <c r="S15">
        <v>50</v>
      </c>
      <c r="T15">
        <v>50</v>
      </c>
      <c r="U15">
        <v>50</v>
      </c>
      <c r="V15">
        <v>52</v>
      </c>
      <c r="W15">
        <v>54</v>
      </c>
      <c r="X15">
        <v>55</v>
      </c>
      <c r="Y15">
        <v>55</v>
      </c>
      <c r="Z15" s="2">
        <f>AVERAGE(Sheet1__9[[#This Row],[00:00:00]:[23:00:00]])</f>
        <v>46.043478260869563</v>
      </c>
      <c r="AA15" t="str" cm="1">
        <f t="array" ref="AA15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16" spans="1:27" x14ac:dyDescent="0.3">
      <c r="A16" s="1">
        <v>45915</v>
      </c>
      <c r="B16">
        <v>59</v>
      </c>
      <c r="C16">
        <v>59</v>
      </c>
      <c r="D16">
        <v>59</v>
      </c>
      <c r="E16">
        <v>58</v>
      </c>
      <c r="F16">
        <v>56</v>
      </c>
      <c r="G16">
        <v>56</v>
      </c>
      <c r="H16">
        <v>58</v>
      </c>
      <c r="I16">
        <v>59</v>
      </c>
      <c r="J16">
        <v>59</v>
      </c>
      <c r="K16">
        <v>60</v>
      </c>
      <c r="L16">
        <v>60</v>
      </c>
      <c r="M16">
        <v>65</v>
      </c>
      <c r="N16">
        <v>65</v>
      </c>
      <c r="O16">
        <v>65</v>
      </c>
      <c r="P16">
        <v>66</v>
      </c>
      <c r="Q16">
        <v>66</v>
      </c>
      <c r="R16">
        <v>65</v>
      </c>
      <c r="S16">
        <v>64</v>
      </c>
      <c r="T16">
        <v>63</v>
      </c>
      <c r="U16">
        <v>63</v>
      </c>
      <c r="V16">
        <v>62</v>
      </c>
      <c r="W16">
        <v>59</v>
      </c>
      <c r="X16">
        <v>62</v>
      </c>
      <c r="Y16">
        <v>63</v>
      </c>
      <c r="Z16" s="2">
        <f>AVERAGE(Sheet1__9[[#This Row],[00:00:00]:[23:00:00]])</f>
        <v>61.291666666666664</v>
      </c>
      <c r="AA16" t="str" cm="1">
        <f t="array" ref="AA16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17" spans="1:27" x14ac:dyDescent="0.3">
      <c r="A17" s="1">
        <v>45916</v>
      </c>
      <c r="B17">
        <v>64</v>
      </c>
      <c r="C17">
        <v>63</v>
      </c>
      <c r="D17">
        <v>63</v>
      </c>
      <c r="E17">
        <v>57</v>
      </c>
      <c r="F17">
        <v>55</v>
      </c>
      <c r="G17">
        <v>54</v>
      </c>
      <c r="H17">
        <v>53</v>
      </c>
      <c r="I17">
        <v>53</v>
      </c>
      <c r="J17">
        <v>53</v>
      </c>
      <c r="K17">
        <v>53</v>
      </c>
      <c r="L17">
        <v>53</v>
      </c>
      <c r="M17">
        <v>53</v>
      </c>
      <c r="N17">
        <v>52</v>
      </c>
      <c r="O17">
        <v>53</v>
      </c>
      <c r="P17">
        <v>52</v>
      </c>
      <c r="Q17">
        <v>53</v>
      </c>
      <c r="R17">
        <v>51</v>
      </c>
      <c r="S17">
        <v>52</v>
      </c>
      <c r="T17">
        <v>52</v>
      </c>
      <c r="U17">
        <v>54</v>
      </c>
      <c r="V17">
        <v>55</v>
      </c>
      <c r="W17">
        <v>55</v>
      </c>
      <c r="X17">
        <v>55</v>
      </c>
      <c r="Y17">
        <v>54</v>
      </c>
      <c r="Z17" s="2">
        <f>AVERAGE(Sheet1__9[[#This Row],[00:00:00]:[23:00:00]])</f>
        <v>54.666666666666664</v>
      </c>
      <c r="AA17" t="str" cm="1">
        <f t="array" ref="AA17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18" spans="1:27" x14ac:dyDescent="0.3">
      <c r="A18" s="1">
        <v>45917</v>
      </c>
      <c r="B18">
        <v>54</v>
      </c>
      <c r="C18">
        <v>53</v>
      </c>
      <c r="D18">
        <v>52</v>
      </c>
      <c r="E18">
        <v>51</v>
      </c>
      <c r="F18">
        <v>51</v>
      </c>
      <c r="G18">
        <v>50</v>
      </c>
      <c r="H18">
        <v>49</v>
      </c>
      <c r="I18">
        <v>46</v>
      </c>
      <c r="J18">
        <v>46</v>
      </c>
      <c r="K18">
        <v>44</v>
      </c>
      <c r="L18">
        <v>44</v>
      </c>
      <c r="M18">
        <v>43</v>
      </c>
      <c r="N18">
        <v>42</v>
      </c>
      <c r="O18">
        <v>41</v>
      </c>
      <c r="P18">
        <v>44</v>
      </c>
      <c r="Q18">
        <v>43</v>
      </c>
      <c r="R18">
        <v>42</v>
      </c>
      <c r="S18">
        <v>41</v>
      </c>
      <c r="T18">
        <v>40</v>
      </c>
      <c r="U18">
        <v>44</v>
      </c>
      <c r="V18">
        <v>44</v>
      </c>
      <c r="W18">
        <v>43</v>
      </c>
      <c r="X18">
        <v>43</v>
      </c>
      <c r="Y18">
        <v>42</v>
      </c>
      <c r="Z18" s="2">
        <f>AVERAGE(Sheet1__9[[#This Row],[00:00:00]:[23:00:00]])</f>
        <v>45.5</v>
      </c>
      <c r="AA18" t="str" cm="1">
        <f t="array" ref="AA18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19" spans="1:27" x14ac:dyDescent="0.3">
      <c r="A19" s="1">
        <v>45918</v>
      </c>
      <c r="B19">
        <v>42</v>
      </c>
      <c r="C19">
        <v>42</v>
      </c>
      <c r="D19">
        <v>42</v>
      </c>
      <c r="E19">
        <v>43</v>
      </c>
      <c r="F19">
        <v>42</v>
      </c>
      <c r="G19">
        <v>42</v>
      </c>
      <c r="H19">
        <v>43</v>
      </c>
      <c r="I19">
        <v>44</v>
      </c>
      <c r="J19">
        <v>44</v>
      </c>
      <c r="K19">
        <v>45</v>
      </c>
      <c r="L19">
        <v>46</v>
      </c>
      <c r="M19">
        <v>46</v>
      </c>
      <c r="N19">
        <v>47</v>
      </c>
      <c r="O19">
        <v>48</v>
      </c>
      <c r="P19">
        <v>47</v>
      </c>
      <c r="Q19">
        <v>47</v>
      </c>
      <c r="R19">
        <v>46</v>
      </c>
      <c r="S19">
        <v>46</v>
      </c>
      <c r="U19">
        <v>46</v>
      </c>
      <c r="V19">
        <v>45</v>
      </c>
      <c r="W19">
        <v>46</v>
      </c>
      <c r="X19">
        <v>46</v>
      </c>
      <c r="Y19">
        <v>48</v>
      </c>
      <c r="Z19" s="2">
        <f>AVERAGE(Sheet1__9[[#This Row],[00:00:00]:[23:00:00]])</f>
        <v>44.913043478260867</v>
      </c>
      <c r="AA19" t="str" cm="1">
        <f t="array" ref="AA19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20" spans="1:27" x14ac:dyDescent="0.3">
      <c r="A20" s="1">
        <v>45919</v>
      </c>
      <c r="B20">
        <v>50</v>
      </c>
      <c r="C20">
        <v>50</v>
      </c>
      <c r="D20">
        <v>49</v>
      </c>
      <c r="E20">
        <v>48</v>
      </c>
      <c r="F20">
        <v>46</v>
      </c>
      <c r="G20">
        <v>45</v>
      </c>
      <c r="H20">
        <v>47</v>
      </c>
      <c r="I20">
        <v>47</v>
      </c>
      <c r="J20">
        <v>46</v>
      </c>
      <c r="K20">
        <v>46</v>
      </c>
      <c r="L20">
        <v>45</v>
      </c>
      <c r="M20">
        <v>45</v>
      </c>
      <c r="N20">
        <v>46</v>
      </c>
      <c r="O20">
        <v>47</v>
      </c>
      <c r="P20">
        <v>48</v>
      </c>
      <c r="Q20">
        <v>46</v>
      </c>
      <c r="R20">
        <v>47</v>
      </c>
      <c r="S20">
        <v>47</v>
      </c>
      <c r="T20">
        <v>48</v>
      </c>
      <c r="U20">
        <v>48</v>
      </c>
      <c r="V20">
        <v>49</v>
      </c>
      <c r="W20">
        <v>49</v>
      </c>
      <c r="X20">
        <v>58</v>
      </c>
      <c r="Y20">
        <v>60</v>
      </c>
      <c r="Z20" s="2">
        <f>AVERAGE(Sheet1__9[[#This Row],[00:00:00]:[23:00:00]])</f>
        <v>48.208333333333336</v>
      </c>
      <c r="AA20" t="str" cm="1">
        <f t="array" ref="AA20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21" spans="1:27" x14ac:dyDescent="0.3">
      <c r="A21" s="1">
        <v>45920</v>
      </c>
      <c r="B21">
        <v>63</v>
      </c>
      <c r="C21">
        <v>63</v>
      </c>
      <c r="D21">
        <v>64</v>
      </c>
      <c r="E21">
        <v>63</v>
      </c>
      <c r="F21">
        <v>61</v>
      </c>
      <c r="G21">
        <v>58</v>
      </c>
      <c r="H21">
        <v>58</v>
      </c>
      <c r="I21">
        <v>57</v>
      </c>
      <c r="J21">
        <v>56</v>
      </c>
      <c r="K21">
        <v>56</v>
      </c>
      <c r="L21">
        <v>55</v>
      </c>
      <c r="M21">
        <v>54</v>
      </c>
      <c r="N21">
        <v>54</v>
      </c>
      <c r="O21">
        <v>53</v>
      </c>
      <c r="P21">
        <v>52</v>
      </c>
      <c r="Q21">
        <v>51</v>
      </c>
      <c r="R21">
        <v>50</v>
      </c>
      <c r="S21">
        <v>49</v>
      </c>
      <c r="T21">
        <v>48</v>
      </c>
      <c r="U21">
        <v>47</v>
      </c>
      <c r="V21">
        <v>46</v>
      </c>
      <c r="W21">
        <v>44</v>
      </c>
      <c r="X21">
        <v>46</v>
      </c>
      <c r="Y21">
        <v>47</v>
      </c>
      <c r="Z21" s="2">
        <f>AVERAGE(Sheet1__9[[#This Row],[00:00:00]:[23:00:00]])</f>
        <v>53.958333333333336</v>
      </c>
      <c r="AA21" t="str" cm="1">
        <f t="array" ref="AA21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22" spans="1:27" x14ac:dyDescent="0.3">
      <c r="A22" s="1">
        <v>45921</v>
      </c>
      <c r="B22">
        <v>47</v>
      </c>
      <c r="C22">
        <v>46</v>
      </c>
      <c r="D22">
        <v>46</v>
      </c>
      <c r="E22">
        <v>45</v>
      </c>
      <c r="F22">
        <v>42</v>
      </c>
      <c r="G22">
        <v>40</v>
      </c>
      <c r="H22">
        <v>38</v>
      </c>
      <c r="I22">
        <v>36</v>
      </c>
      <c r="J22">
        <v>35</v>
      </c>
      <c r="K22">
        <v>36</v>
      </c>
      <c r="L22">
        <v>36</v>
      </c>
      <c r="M22">
        <v>36</v>
      </c>
      <c r="N22">
        <v>37</v>
      </c>
      <c r="O22">
        <v>38</v>
      </c>
      <c r="P22">
        <v>40</v>
      </c>
      <c r="Q22">
        <v>40</v>
      </c>
      <c r="R22">
        <v>43</v>
      </c>
      <c r="S22">
        <v>44</v>
      </c>
      <c r="T22">
        <v>45</v>
      </c>
      <c r="U22">
        <v>47</v>
      </c>
      <c r="V22">
        <v>50</v>
      </c>
      <c r="W22">
        <v>53</v>
      </c>
      <c r="X22">
        <v>56</v>
      </c>
      <c r="Y22">
        <v>58</v>
      </c>
      <c r="Z22" s="2">
        <f>AVERAGE(Sheet1__9[[#This Row],[00:00:00]:[23:00:00]])</f>
        <v>43.083333333333336</v>
      </c>
      <c r="AA22" t="str" cm="1">
        <f t="array" ref="AA22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23" spans="1:27" x14ac:dyDescent="0.3">
      <c r="A23" s="1">
        <v>45922</v>
      </c>
      <c r="B23">
        <v>59</v>
      </c>
      <c r="C23">
        <v>60</v>
      </c>
      <c r="D23">
        <v>60</v>
      </c>
      <c r="E23">
        <v>60</v>
      </c>
      <c r="F23">
        <v>62</v>
      </c>
      <c r="G23">
        <v>63</v>
      </c>
      <c r="H23">
        <v>64</v>
      </c>
      <c r="I23">
        <v>66</v>
      </c>
      <c r="J23">
        <v>66</v>
      </c>
      <c r="K23">
        <v>67</v>
      </c>
      <c r="L23">
        <v>68</v>
      </c>
      <c r="M23">
        <v>68</v>
      </c>
      <c r="N23">
        <v>69</v>
      </c>
      <c r="O23">
        <v>70</v>
      </c>
      <c r="P23">
        <v>71</v>
      </c>
      <c r="Q23">
        <v>72</v>
      </c>
      <c r="R23">
        <v>72</v>
      </c>
      <c r="S23">
        <v>73</v>
      </c>
      <c r="T23">
        <v>74</v>
      </c>
      <c r="U23">
        <v>74</v>
      </c>
      <c r="V23">
        <v>76</v>
      </c>
      <c r="W23">
        <v>76</v>
      </c>
      <c r="X23">
        <v>76</v>
      </c>
      <c r="Y23">
        <v>77</v>
      </c>
      <c r="Z23" s="2">
        <f>AVERAGE(Sheet1__9[[#This Row],[00:00:00]:[23:00:00]])</f>
        <v>68.458333333333329</v>
      </c>
      <c r="AA23" t="str" cm="1">
        <f t="array" ref="AA23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24" spans="1:27" x14ac:dyDescent="0.3">
      <c r="A24" s="1">
        <v>45923</v>
      </c>
      <c r="B24">
        <v>77</v>
      </c>
      <c r="C24">
        <v>76</v>
      </c>
      <c r="D24">
        <v>76</v>
      </c>
      <c r="E24">
        <v>77</v>
      </c>
      <c r="F24">
        <v>77</v>
      </c>
      <c r="G24">
        <v>78</v>
      </c>
      <c r="H24">
        <v>78</v>
      </c>
      <c r="I24">
        <v>78</v>
      </c>
      <c r="J24">
        <v>78</v>
      </c>
      <c r="K24">
        <v>78</v>
      </c>
      <c r="L24">
        <v>78</v>
      </c>
      <c r="M24">
        <v>78</v>
      </c>
      <c r="N24">
        <v>77</v>
      </c>
      <c r="O24">
        <v>76</v>
      </c>
      <c r="P24">
        <v>74</v>
      </c>
      <c r="Q24">
        <v>73</v>
      </c>
      <c r="R24">
        <v>72</v>
      </c>
      <c r="S24">
        <v>72</v>
      </c>
      <c r="T24">
        <v>71</v>
      </c>
      <c r="U24">
        <v>70</v>
      </c>
      <c r="V24">
        <v>69</v>
      </c>
      <c r="W24">
        <v>68</v>
      </c>
      <c r="X24">
        <v>67</v>
      </c>
      <c r="Y24">
        <v>67</v>
      </c>
      <c r="Z24" s="2">
        <f>AVERAGE(Sheet1__9[[#This Row],[00:00:00]:[23:00:00]])</f>
        <v>74.375</v>
      </c>
      <c r="AA24" t="str" cm="1">
        <f t="array" ref="AA24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25" spans="1:27" x14ac:dyDescent="0.3">
      <c r="A25" s="1">
        <v>45924</v>
      </c>
      <c r="B25">
        <v>68</v>
      </c>
      <c r="C25">
        <v>68</v>
      </c>
      <c r="D25">
        <v>68</v>
      </c>
      <c r="E25">
        <v>68</v>
      </c>
      <c r="F25">
        <v>66</v>
      </c>
      <c r="G25">
        <v>65</v>
      </c>
      <c r="H25">
        <v>64</v>
      </c>
      <c r="I25">
        <v>62</v>
      </c>
      <c r="J25">
        <v>61</v>
      </c>
      <c r="K25">
        <v>61</v>
      </c>
      <c r="L25">
        <v>60</v>
      </c>
      <c r="M25">
        <v>60</v>
      </c>
      <c r="N25">
        <v>60</v>
      </c>
      <c r="O25">
        <v>60</v>
      </c>
      <c r="P25">
        <v>60</v>
      </c>
      <c r="Q25">
        <v>60</v>
      </c>
      <c r="R25">
        <v>60</v>
      </c>
      <c r="S25">
        <v>60</v>
      </c>
      <c r="T25">
        <v>60</v>
      </c>
      <c r="U25">
        <v>60</v>
      </c>
      <c r="V25">
        <v>60</v>
      </c>
      <c r="W25">
        <v>59</v>
      </c>
      <c r="X25">
        <v>59</v>
      </c>
      <c r="Y25">
        <v>57</v>
      </c>
      <c r="Z25" s="2">
        <f>AVERAGE(Sheet1__9[[#This Row],[00:00:00]:[23:00:00]])</f>
        <v>61.916666666666664</v>
      </c>
      <c r="AA25" t="str" cm="1">
        <f t="array" ref="AA25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26" spans="1:27" x14ac:dyDescent="0.3">
      <c r="A26" s="1">
        <v>45925</v>
      </c>
      <c r="B26">
        <v>55</v>
      </c>
      <c r="C26">
        <v>54</v>
      </c>
      <c r="D26">
        <v>52</v>
      </c>
      <c r="E26">
        <v>52</v>
      </c>
      <c r="F26">
        <v>52</v>
      </c>
      <c r="G26">
        <v>51</v>
      </c>
      <c r="H26">
        <v>52</v>
      </c>
      <c r="I26">
        <v>52</v>
      </c>
      <c r="J26">
        <v>53</v>
      </c>
      <c r="K26">
        <v>54</v>
      </c>
      <c r="L26">
        <v>53</v>
      </c>
      <c r="M26">
        <v>54</v>
      </c>
      <c r="N26">
        <v>53</v>
      </c>
      <c r="O26">
        <v>54</v>
      </c>
      <c r="P26">
        <v>54</v>
      </c>
      <c r="Q26">
        <v>53</v>
      </c>
      <c r="R26">
        <v>52</v>
      </c>
      <c r="S26">
        <v>52</v>
      </c>
      <c r="T26">
        <v>52</v>
      </c>
      <c r="U26">
        <v>52</v>
      </c>
      <c r="V26">
        <v>54</v>
      </c>
      <c r="W26">
        <v>54</v>
      </c>
      <c r="X26">
        <v>55</v>
      </c>
      <c r="Y26">
        <v>56</v>
      </c>
      <c r="Z26" s="2">
        <f>AVERAGE(Sheet1__9[[#This Row],[00:00:00]:[23:00:00]])</f>
        <v>53.125</v>
      </c>
      <c r="AA26" t="str" cm="1">
        <f t="array" ref="AA26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27" spans="1:27" x14ac:dyDescent="0.3">
      <c r="A27" s="1">
        <v>45926</v>
      </c>
      <c r="B27">
        <v>57</v>
      </c>
      <c r="C27">
        <v>57</v>
      </c>
      <c r="D27">
        <v>58</v>
      </c>
      <c r="E27">
        <v>58</v>
      </c>
      <c r="F27">
        <v>58</v>
      </c>
      <c r="G27">
        <v>58</v>
      </c>
      <c r="H27">
        <v>58</v>
      </c>
      <c r="I27">
        <v>58</v>
      </c>
      <c r="J27">
        <v>58</v>
      </c>
      <c r="K27">
        <v>58</v>
      </c>
      <c r="L27">
        <v>58</v>
      </c>
      <c r="N27">
        <v>59</v>
      </c>
      <c r="O27">
        <v>60</v>
      </c>
      <c r="P27">
        <v>59</v>
      </c>
      <c r="Q27">
        <v>60</v>
      </c>
      <c r="R27">
        <v>60</v>
      </c>
      <c r="S27">
        <v>61</v>
      </c>
      <c r="T27">
        <v>60</v>
      </c>
      <c r="U27">
        <v>59</v>
      </c>
      <c r="V27">
        <v>58</v>
      </c>
      <c r="W27">
        <v>56</v>
      </c>
      <c r="X27">
        <v>56</v>
      </c>
      <c r="Y27">
        <v>54</v>
      </c>
      <c r="Z27" s="2">
        <f>AVERAGE(Sheet1__9[[#This Row],[00:00:00]:[23:00:00]])</f>
        <v>58.173913043478258</v>
      </c>
      <c r="AA27" t="str" cm="1">
        <f t="array" ref="AA27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28" spans="1:27" x14ac:dyDescent="0.3">
      <c r="A28" s="1">
        <v>45927</v>
      </c>
      <c r="B28">
        <v>53</v>
      </c>
      <c r="C28">
        <v>52</v>
      </c>
      <c r="D28">
        <v>52</v>
      </c>
      <c r="E28">
        <v>52</v>
      </c>
      <c r="F28">
        <v>52</v>
      </c>
      <c r="G28">
        <v>50</v>
      </c>
      <c r="H28">
        <v>50</v>
      </c>
      <c r="I28">
        <v>49</v>
      </c>
      <c r="J28">
        <v>48</v>
      </c>
      <c r="K28">
        <v>50</v>
      </c>
      <c r="L28">
        <v>49</v>
      </c>
      <c r="M28">
        <v>49</v>
      </c>
      <c r="N28">
        <v>48</v>
      </c>
      <c r="O28">
        <v>47</v>
      </c>
      <c r="P28">
        <v>47</v>
      </c>
      <c r="Q28">
        <v>47</v>
      </c>
      <c r="R28">
        <v>46</v>
      </c>
      <c r="S28">
        <v>47</v>
      </c>
      <c r="T28">
        <v>46</v>
      </c>
      <c r="U28">
        <v>46</v>
      </c>
      <c r="V28">
        <v>47</v>
      </c>
      <c r="W28">
        <v>49</v>
      </c>
      <c r="X28">
        <v>51</v>
      </c>
      <c r="Y28">
        <v>50</v>
      </c>
      <c r="Z28" s="2">
        <f>AVERAGE(Sheet1__9[[#This Row],[00:00:00]:[23:00:00]])</f>
        <v>49.041666666666664</v>
      </c>
      <c r="AA28" t="str" cm="1">
        <f t="array" ref="AA28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29" spans="1:27" x14ac:dyDescent="0.3">
      <c r="A29" s="1">
        <v>45928</v>
      </c>
      <c r="B29">
        <v>49</v>
      </c>
      <c r="C29">
        <v>48</v>
      </c>
      <c r="D29">
        <v>47</v>
      </c>
      <c r="E29">
        <v>45</v>
      </c>
      <c r="F29">
        <v>43</v>
      </c>
      <c r="G29">
        <v>43</v>
      </c>
      <c r="H29">
        <v>38</v>
      </c>
      <c r="I29">
        <v>37</v>
      </c>
      <c r="J29">
        <v>36</v>
      </c>
      <c r="K29">
        <v>35</v>
      </c>
      <c r="L29">
        <v>34</v>
      </c>
      <c r="M29">
        <v>33</v>
      </c>
      <c r="N29">
        <v>33</v>
      </c>
      <c r="O29">
        <v>31</v>
      </c>
      <c r="P29">
        <v>31</v>
      </c>
      <c r="Q29">
        <v>31</v>
      </c>
      <c r="R29">
        <v>31</v>
      </c>
      <c r="S29">
        <v>32</v>
      </c>
      <c r="T29">
        <v>33</v>
      </c>
      <c r="U29">
        <v>34</v>
      </c>
      <c r="V29">
        <v>35</v>
      </c>
      <c r="W29">
        <v>36</v>
      </c>
      <c r="X29">
        <v>38</v>
      </c>
      <c r="Y29">
        <v>40</v>
      </c>
      <c r="Z29" s="2">
        <f>AVERAGE(Sheet1__9[[#This Row],[00:00:00]:[23:00:00]])</f>
        <v>37.208333333333336</v>
      </c>
      <c r="AA29" t="str" cm="1">
        <f t="array" ref="AA29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30" spans="1:27" x14ac:dyDescent="0.3">
      <c r="A30" s="1">
        <v>45929</v>
      </c>
      <c r="B30">
        <v>40</v>
      </c>
      <c r="C30">
        <v>41</v>
      </c>
      <c r="D30">
        <v>41</v>
      </c>
      <c r="E30">
        <v>41</v>
      </c>
      <c r="F30">
        <v>40</v>
      </c>
      <c r="G30">
        <v>40</v>
      </c>
      <c r="H30">
        <v>39</v>
      </c>
      <c r="I30">
        <v>39</v>
      </c>
      <c r="J30">
        <v>40</v>
      </c>
      <c r="K30">
        <v>40</v>
      </c>
      <c r="L30">
        <v>41</v>
      </c>
      <c r="M30">
        <v>41</v>
      </c>
      <c r="N30">
        <v>42</v>
      </c>
      <c r="O30">
        <v>42</v>
      </c>
      <c r="P30">
        <v>44</v>
      </c>
      <c r="Q30">
        <v>44</v>
      </c>
      <c r="R30">
        <v>45</v>
      </c>
      <c r="S30">
        <v>46</v>
      </c>
      <c r="T30">
        <v>46</v>
      </c>
      <c r="U30">
        <v>48</v>
      </c>
      <c r="V30">
        <v>51</v>
      </c>
      <c r="W30">
        <v>54</v>
      </c>
      <c r="X30">
        <v>57</v>
      </c>
      <c r="Y30">
        <v>60</v>
      </c>
      <c r="Z30" s="2">
        <f>AVERAGE(Sheet1__9[[#This Row],[00:00:00]:[23:00:00]])</f>
        <v>44.25</v>
      </c>
      <c r="AA30" t="str" cm="1">
        <f t="array" ref="AA30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31" spans="1:27" x14ac:dyDescent="0.3">
      <c r="A31" s="1">
        <v>45930</v>
      </c>
      <c r="B31">
        <v>62</v>
      </c>
      <c r="C31">
        <v>62</v>
      </c>
      <c r="D31">
        <v>62</v>
      </c>
      <c r="E31">
        <v>60</v>
      </c>
      <c r="F31">
        <v>57</v>
      </c>
      <c r="G31">
        <v>57</v>
      </c>
      <c r="H31">
        <v>50</v>
      </c>
      <c r="I31">
        <v>50</v>
      </c>
      <c r="J31">
        <v>50</v>
      </c>
      <c r="K31">
        <v>50</v>
      </c>
      <c r="L31">
        <v>50</v>
      </c>
      <c r="M31">
        <v>50</v>
      </c>
      <c r="N31">
        <v>49</v>
      </c>
      <c r="O31">
        <v>49</v>
      </c>
      <c r="P31">
        <v>48</v>
      </c>
      <c r="Q31">
        <v>48</v>
      </c>
      <c r="R31">
        <v>48</v>
      </c>
      <c r="S31">
        <v>48</v>
      </c>
      <c r="T31">
        <v>47</v>
      </c>
      <c r="U31">
        <v>48</v>
      </c>
      <c r="V31">
        <v>47</v>
      </c>
      <c r="W31">
        <v>48</v>
      </c>
      <c r="X31">
        <v>50</v>
      </c>
      <c r="Y31">
        <v>50</v>
      </c>
      <c r="Z31" s="2">
        <f>AVERAGE(Sheet1__9[[#This Row],[00:00:00]:[23:00:00]])</f>
        <v>51.666666666666664</v>
      </c>
      <c r="AA31" t="str" cm="1">
        <f t="array" ref="AA31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32" spans="1:27" x14ac:dyDescent="0.3">
      <c r="Z32" s="2">
        <f>SUBTOTAL(101,Sheet1__9[AVERAGE AQI])</f>
        <v>48.565277777777773</v>
      </c>
      <c r="AA32" s="3"/>
    </row>
  </sheetData>
  <conditionalFormatting sqref="AA1:AA1048576">
    <cfRule type="containsText" dxfId="47" priority="2" operator="containsText" text="GOOD">
      <formula>NOT(ISERROR(SEARCH("GOOD",AA1)))</formula>
    </cfRule>
    <cfRule type="containsText" dxfId="48" priority="1" operator="containsText" text="MODERATE">
      <formula>NOT(ISERROR(SEARCH("MODERATE",AA1)))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4757-1099-412C-B8C5-D777548E0D08}">
  <dimension ref="A1:AA33"/>
  <sheetViews>
    <sheetView topLeftCell="A7" workbookViewId="0">
      <selection activeCell="AB12" sqref="AB12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7.777343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45931</v>
      </c>
      <c r="B2">
        <v>48</v>
      </c>
      <c r="C2">
        <v>47</v>
      </c>
      <c r="D2">
        <v>46</v>
      </c>
      <c r="E2">
        <v>44</v>
      </c>
      <c r="F2">
        <v>40</v>
      </c>
      <c r="G2">
        <v>39</v>
      </c>
      <c r="H2">
        <v>39</v>
      </c>
      <c r="I2">
        <v>39</v>
      </c>
      <c r="J2">
        <v>39</v>
      </c>
      <c r="K2">
        <v>40</v>
      </c>
      <c r="L2">
        <v>40</v>
      </c>
      <c r="M2">
        <v>41</v>
      </c>
      <c r="N2">
        <v>41</v>
      </c>
      <c r="O2">
        <v>42</v>
      </c>
      <c r="P2">
        <v>42</v>
      </c>
      <c r="Q2">
        <v>42</v>
      </c>
      <c r="R2">
        <v>42</v>
      </c>
      <c r="S2">
        <v>42</v>
      </c>
      <c r="T2">
        <v>42</v>
      </c>
      <c r="U2">
        <v>41</v>
      </c>
      <c r="V2">
        <v>40</v>
      </c>
      <c r="W2">
        <v>39</v>
      </c>
      <c r="X2">
        <v>38</v>
      </c>
      <c r="Y2">
        <v>40</v>
      </c>
      <c r="Z2" s="2">
        <f>AVERAGE(Sheet1__10[[#This Row],[00:00:00]:[23:00:00]])</f>
        <v>41.375</v>
      </c>
      <c r="AA2" t="str" cm="1">
        <f t="array" ref="AA2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3" spans="1:27" x14ac:dyDescent="0.3">
      <c r="A3" s="1">
        <v>45932</v>
      </c>
      <c r="B3">
        <v>41</v>
      </c>
      <c r="C3">
        <v>41</v>
      </c>
      <c r="D3">
        <v>40</v>
      </c>
      <c r="E3">
        <v>39</v>
      </c>
      <c r="F3">
        <v>38</v>
      </c>
      <c r="G3">
        <v>38</v>
      </c>
      <c r="H3">
        <v>38</v>
      </c>
      <c r="I3">
        <v>38</v>
      </c>
      <c r="J3">
        <v>37</v>
      </c>
      <c r="K3">
        <v>36</v>
      </c>
      <c r="L3">
        <v>36</v>
      </c>
      <c r="M3">
        <v>36</v>
      </c>
      <c r="N3">
        <v>37</v>
      </c>
      <c r="O3">
        <v>37</v>
      </c>
      <c r="P3">
        <v>37</v>
      </c>
      <c r="Q3">
        <v>37</v>
      </c>
      <c r="R3">
        <v>38</v>
      </c>
      <c r="S3">
        <v>38</v>
      </c>
      <c r="T3">
        <v>38</v>
      </c>
      <c r="U3">
        <v>38</v>
      </c>
      <c r="V3">
        <v>38</v>
      </c>
      <c r="W3">
        <v>40</v>
      </c>
      <c r="X3">
        <v>40</v>
      </c>
      <c r="Y3">
        <v>40</v>
      </c>
      <c r="Z3" s="2">
        <f>AVERAGE(Sheet1__10[[#This Row],[00:00:00]:[23:00:00]])</f>
        <v>38.166666666666664</v>
      </c>
      <c r="AA3" t="str" cm="1">
        <f t="array" ref="AA3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4" spans="1:27" x14ac:dyDescent="0.3">
      <c r="A4" s="1">
        <v>45933</v>
      </c>
      <c r="B4">
        <v>41</v>
      </c>
      <c r="C4">
        <v>40</v>
      </c>
      <c r="D4">
        <v>40</v>
      </c>
      <c r="E4">
        <v>39</v>
      </c>
      <c r="F4">
        <v>38</v>
      </c>
      <c r="G4">
        <v>38</v>
      </c>
      <c r="H4">
        <v>38</v>
      </c>
      <c r="I4">
        <v>38</v>
      </c>
      <c r="J4">
        <v>38</v>
      </c>
      <c r="K4">
        <v>38</v>
      </c>
      <c r="L4">
        <v>39</v>
      </c>
      <c r="M4">
        <v>39</v>
      </c>
      <c r="N4">
        <v>39</v>
      </c>
      <c r="O4">
        <v>39</v>
      </c>
      <c r="P4">
        <v>39</v>
      </c>
      <c r="Q4">
        <v>39</v>
      </c>
      <c r="R4">
        <v>39</v>
      </c>
      <c r="S4">
        <v>40</v>
      </c>
      <c r="T4">
        <v>40</v>
      </c>
      <c r="U4">
        <v>40</v>
      </c>
      <c r="V4">
        <v>40</v>
      </c>
      <c r="W4">
        <v>42</v>
      </c>
      <c r="X4">
        <v>43</v>
      </c>
      <c r="Y4">
        <v>44</v>
      </c>
      <c r="Z4" s="2">
        <f>AVERAGE(Sheet1__10[[#This Row],[00:00:00]:[23:00:00]])</f>
        <v>39.583333333333336</v>
      </c>
      <c r="AA4" t="str" cm="1">
        <f t="array" ref="AA4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5" spans="1:27" x14ac:dyDescent="0.3">
      <c r="A5" s="1">
        <v>45934</v>
      </c>
      <c r="B5">
        <v>44</v>
      </c>
      <c r="C5">
        <v>44</v>
      </c>
      <c r="D5">
        <v>44</v>
      </c>
      <c r="E5">
        <v>43</v>
      </c>
      <c r="F5">
        <v>42</v>
      </c>
      <c r="G5">
        <v>42</v>
      </c>
      <c r="H5">
        <v>43</v>
      </c>
      <c r="I5">
        <v>42</v>
      </c>
      <c r="J5">
        <v>43</v>
      </c>
      <c r="K5">
        <v>43</v>
      </c>
      <c r="L5">
        <v>44</v>
      </c>
      <c r="M5">
        <v>44</v>
      </c>
      <c r="N5">
        <v>44</v>
      </c>
      <c r="O5">
        <v>44</v>
      </c>
      <c r="P5">
        <v>44</v>
      </c>
      <c r="Q5">
        <v>44</v>
      </c>
      <c r="R5">
        <v>43</v>
      </c>
      <c r="S5">
        <v>43</v>
      </c>
      <c r="T5">
        <v>43</v>
      </c>
      <c r="U5">
        <v>44</v>
      </c>
      <c r="V5">
        <v>46</v>
      </c>
      <c r="W5">
        <v>47</v>
      </c>
      <c r="X5">
        <v>47</v>
      </c>
      <c r="Y5">
        <v>46</v>
      </c>
      <c r="Z5" s="2">
        <f>AVERAGE(Sheet1__10[[#This Row],[00:00:00]:[23:00:00]])</f>
        <v>43.875</v>
      </c>
      <c r="AA5" t="str" cm="1">
        <f t="array" ref="AA5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6" spans="1:27" x14ac:dyDescent="0.3">
      <c r="A6" s="1">
        <v>45935</v>
      </c>
      <c r="B6">
        <v>46</v>
      </c>
      <c r="C6">
        <v>46</v>
      </c>
      <c r="D6">
        <v>45</v>
      </c>
      <c r="E6">
        <v>43</v>
      </c>
      <c r="F6">
        <v>43</v>
      </c>
      <c r="G6">
        <v>43</v>
      </c>
      <c r="H6">
        <v>43</v>
      </c>
      <c r="I6">
        <v>44</v>
      </c>
      <c r="J6">
        <v>45</v>
      </c>
      <c r="K6">
        <v>46</v>
      </c>
      <c r="L6">
        <v>46</v>
      </c>
      <c r="M6">
        <v>46</v>
      </c>
      <c r="N6">
        <v>46</v>
      </c>
      <c r="O6">
        <v>47</v>
      </c>
      <c r="P6">
        <v>47</v>
      </c>
      <c r="Q6">
        <v>47</v>
      </c>
      <c r="R6">
        <v>47</v>
      </c>
      <c r="S6">
        <v>46</v>
      </c>
      <c r="T6">
        <v>47</v>
      </c>
      <c r="U6">
        <v>46</v>
      </c>
      <c r="V6">
        <v>46</v>
      </c>
      <c r="W6">
        <v>44</v>
      </c>
      <c r="X6">
        <v>47</v>
      </c>
      <c r="Y6">
        <v>48</v>
      </c>
      <c r="Z6" s="2">
        <f>AVERAGE(Sheet1__10[[#This Row],[00:00:00]:[23:00:00]])</f>
        <v>45.583333333333336</v>
      </c>
      <c r="AA6" t="str" cm="1">
        <f t="array" ref="AA6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7" spans="1:27" x14ac:dyDescent="0.3">
      <c r="A7" s="1">
        <v>45936</v>
      </c>
      <c r="B7">
        <v>48</v>
      </c>
      <c r="C7">
        <v>48</v>
      </c>
      <c r="D7">
        <v>47</v>
      </c>
      <c r="E7">
        <v>46</v>
      </c>
      <c r="F7">
        <v>45</v>
      </c>
      <c r="G7">
        <v>45</v>
      </c>
      <c r="H7">
        <v>45</v>
      </c>
      <c r="I7">
        <v>44</v>
      </c>
      <c r="J7">
        <v>44</v>
      </c>
      <c r="K7">
        <v>42</v>
      </c>
      <c r="L7">
        <v>44</v>
      </c>
      <c r="M7">
        <v>44</v>
      </c>
      <c r="N7">
        <v>45</v>
      </c>
      <c r="O7">
        <v>45</v>
      </c>
      <c r="P7">
        <v>46</v>
      </c>
      <c r="Q7">
        <v>49</v>
      </c>
      <c r="R7">
        <v>50</v>
      </c>
      <c r="S7">
        <v>54</v>
      </c>
      <c r="T7">
        <v>54</v>
      </c>
      <c r="U7">
        <v>56</v>
      </c>
      <c r="V7">
        <v>57</v>
      </c>
      <c r="W7">
        <v>60</v>
      </c>
      <c r="X7">
        <v>63</v>
      </c>
      <c r="Y7">
        <v>63</v>
      </c>
      <c r="Z7" s="2">
        <f>AVERAGE(Sheet1__10[[#This Row],[00:00:00]:[23:00:00]])</f>
        <v>49.333333333333336</v>
      </c>
      <c r="AA7" t="str" cm="1">
        <f t="array" ref="AA7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8" spans="1:27" x14ac:dyDescent="0.3">
      <c r="A8" s="1">
        <v>45937</v>
      </c>
      <c r="B8">
        <v>64</v>
      </c>
      <c r="C8">
        <v>62</v>
      </c>
      <c r="D8">
        <v>62</v>
      </c>
      <c r="E8">
        <v>60</v>
      </c>
      <c r="F8">
        <v>60</v>
      </c>
      <c r="G8">
        <v>60</v>
      </c>
      <c r="H8">
        <v>59</v>
      </c>
      <c r="I8">
        <v>58</v>
      </c>
      <c r="J8">
        <v>58</v>
      </c>
      <c r="K8">
        <v>60</v>
      </c>
      <c r="L8">
        <v>61</v>
      </c>
      <c r="M8">
        <v>62</v>
      </c>
      <c r="N8">
        <v>63</v>
      </c>
      <c r="O8">
        <v>63</v>
      </c>
      <c r="P8">
        <v>62</v>
      </c>
      <c r="Q8">
        <v>61</v>
      </c>
      <c r="R8">
        <v>60</v>
      </c>
      <c r="S8">
        <v>56</v>
      </c>
      <c r="T8">
        <v>55</v>
      </c>
      <c r="U8">
        <v>54</v>
      </c>
      <c r="V8">
        <v>53</v>
      </c>
      <c r="W8">
        <v>56</v>
      </c>
      <c r="X8">
        <v>58</v>
      </c>
      <c r="Y8">
        <v>62</v>
      </c>
      <c r="Z8" s="2">
        <f>AVERAGE(Sheet1__10[[#This Row],[00:00:00]:[23:00:00]])</f>
        <v>59.541666666666664</v>
      </c>
      <c r="AA8" t="str" cm="1">
        <f t="array" ref="AA8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9" spans="1:27" x14ac:dyDescent="0.3">
      <c r="A9" s="1">
        <v>45938</v>
      </c>
      <c r="B9">
        <v>63</v>
      </c>
      <c r="C9">
        <v>63</v>
      </c>
      <c r="D9">
        <v>62</v>
      </c>
      <c r="E9">
        <v>61</v>
      </c>
      <c r="F9">
        <v>58</v>
      </c>
      <c r="G9">
        <v>55</v>
      </c>
      <c r="H9">
        <v>56</v>
      </c>
      <c r="I9">
        <v>57</v>
      </c>
      <c r="J9">
        <v>58</v>
      </c>
      <c r="K9">
        <v>58</v>
      </c>
      <c r="L9">
        <v>59</v>
      </c>
      <c r="M9">
        <v>59</v>
      </c>
      <c r="N9">
        <v>59</v>
      </c>
      <c r="O9">
        <v>59</v>
      </c>
      <c r="P9">
        <v>59</v>
      </c>
      <c r="Q9">
        <v>60</v>
      </c>
      <c r="R9">
        <v>59</v>
      </c>
      <c r="S9">
        <v>59</v>
      </c>
      <c r="T9">
        <v>60</v>
      </c>
      <c r="U9">
        <v>61</v>
      </c>
      <c r="V9">
        <v>62</v>
      </c>
      <c r="W9">
        <v>62</v>
      </c>
      <c r="X9">
        <v>62</v>
      </c>
      <c r="Y9">
        <v>62</v>
      </c>
      <c r="Z9" s="2">
        <f>AVERAGE(Sheet1__10[[#This Row],[00:00:00]:[23:00:00]])</f>
        <v>59.708333333333336</v>
      </c>
      <c r="AA9" t="str" cm="1">
        <f t="array" ref="AA9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10" spans="1:27" x14ac:dyDescent="0.3">
      <c r="A10" s="1">
        <v>45939</v>
      </c>
      <c r="B10">
        <v>63</v>
      </c>
      <c r="C10">
        <v>63</v>
      </c>
      <c r="D10">
        <v>64</v>
      </c>
      <c r="E10">
        <v>64</v>
      </c>
      <c r="F10">
        <v>64</v>
      </c>
      <c r="G10">
        <v>65</v>
      </c>
      <c r="H10">
        <v>65</v>
      </c>
      <c r="I10">
        <v>66</v>
      </c>
      <c r="J10">
        <v>68</v>
      </c>
      <c r="K10">
        <v>69</v>
      </c>
      <c r="L10">
        <v>71</v>
      </c>
      <c r="M10">
        <v>74</v>
      </c>
      <c r="N10">
        <v>76</v>
      </c>
      <c r="O10">
        <v>78</v>
      </c>
      <c r="P10">
        <v>80</v>
      </c>
      <c r="Q10">
        <v>82</v>
      </c>
      <c r="R10">
        <v>84</v>
      </c>
      <c r="S10">
        <v>84</v>
      </c>
      <c r="U10">
        <v>86</v>
      </c>
      <c r="V10">
        <v>86</v>
      </c>
      <c r="W10">
        <v>86</v>
      </c>
      <c r="X10">
        <v>86</v>
      </c>
      <c r="Y10">
        <v>86</v>
      </c>
      <c r="Z10" s="2">
        <f>AVERAGE(Sheet1__10[[#This Row],[00:00:00]:[23:00:00]])</f>
        <v>74.347826086956516</v>
      </c>
      <c r="AA10" t="str" cm="1">
        <f t="array" ref="AA10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11" spans="1:27" x14ac:dyDescent="0.3">
      <c r="A11" s="1">
        <v>45940</v>
      </c>
      <c r="B11">
        <v>87</v>
      </c>
      <c r="C11">
        <v>88</v>
      </c>
      <c r="D11">
        <v>90</v>
      </c>
      <c r="E11">
        <v>92</v>
      </c>
      <c r="F11">
        <v>94</v>
      </c>
      <c r="G11">
        <v>96</v>
      </c>
      <c r="H11">
        <v>97</v>
      </c>
      <c r="I11">
        <v>99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102</v>
      </c>
      <c r="T11">
        <v>102</v>
      </c>
      <c r="U11">
        <v>103</v>
      </c>
      <c r="V11">
        <v>105</v>
      </c>
      <c r="W11">
        <v>106</v>
      </c>
      <c r="X11">
        <v>106</v>
      </c>
      <c r="Y11">
        <v>107</v>
      </c>
      <c r="Z11" s="2">
        <f>AVERAGE(Sheet1__10[[#This Row],[00:00:00]:[23:00:00]])</f>
        <v>98.916666666666671</v>
      </c>
      <c r="AA11" t="str" cm="1">
        <f t="array" ref="AA11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12" spans="1:27" x14ac:dyDescent="0.3">
      <c r="A12" s="1">
        <v>45941</v>
      </c>
      <c r="B12">
        <v>108</v>
      </c>
      <c r="C12">
        <v>108</v>
      </c>
      <c r="D12">
        <v>108</v>
      </c>
      <c r="E12">
        <v>109</v>
      </c>
      <c r="F12">
        <v>109</v>
      </c>
      <c r="G12">
        <v>109</v>
      </c>
      <c r="H12">
        <v>110</v>
      </c>
      <c r="I12">
        <v>110</v>
      </c>
      <c r="J12">
        <v>110</v>
      </c>
      <c r="K12">
        <v>111</v>
      </c>
      <c r="L12">
        <v>112</v>
      </c>
      <c r="M12">
        <v>113</v>
      </c>
      <c r="N12">
        <v>113</v>
      </c>
      <c r="O12">
        <v>114</v>
      </c>
      <c r="P12">
        <v>115</v>
      </c>
      <c r="Q12">
        <v>116</v>
      </c>
      <c r="R12">
        <v>119</v>
      </c>
      <c r="S12">
        <v>120</v>
      </c>
      <c r="T12">
        <v>120</v>
      </c>
      <c r="U12">
        <v>120</v>
      </c>
      <c r="V12">
        <v>120</v>
      </c>
      <c r="W12">
        <v>121</v>
      </c>
      <c r="X12">
        <v>121</v>
      </c>
      <c r="Y12">
        <v>121</v>
      </c>
      <c r="Z12" s="2">
        <f>AVERAGE(Sheet1__10[[#This Row],[00:00:00]:[23:00:00]])</f>
        <v>114.04166666666667</v>
      </c>
      <c r="AA12" t="str" cm="1">
        <f t="array" ref="AA12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13" spans="1:27" x14ac:dyDescent="0.3">
      <c r="A13" s="1">
        <v>45942</v>
      </c>
      <c r="C13">
        <v>120</v>
      </c>
      <c r="D13">
        <v>120</v>
      </c>
      <c r="E13">
        <v>119</v>
      </c>
      <c r="F13">
        <v>118</v>
      </c>
      <c r="G13">
        <v>117</v>
      </c>
      <c r="H13">
        <v>116</v>
      </c>
      <c r="I13">
        <v>114</v>
      </c>
      <c r="J13">
        <v>114</v>
      </c>
      <c r="K13">
        <v>112</v>
      </c>
      <c r="L13">
        <v>110</v>
      </c>
      <c r="M13">
        <v>109</v>
      </c>
      <c r="N13">
        <v>108</v>
      </c>
      <c r="O13">
        <v>107</v>
      </c>
      <c r="P13">
        <v>106</v>
      </c>
      <c r="Q13">
        <v>105</v>
      </c>
      <c r="R13">
        <v>104</v>
      </c>
      <c r="S13">
        <v>103</v>
      </c>
      <c r="T13">
        <v>102</v>
      </c>
      <c r="U13">
        <v>102</v>
      </c>
      <c r="V13">
        <v>102</v>
      </c>
      <c r="W13">
        <v>102</v>
      </c>
      <c r="X13">
        <v>102</v>
      </c>
      <c r="Y13">
        <v>102</v>
      </c>
      <c r="Z13" s="2">
        <f>AVERAGE(Sheet1__10[[#This Row],[00:00:00]:[23:00:00]])</f>
        <v>109.30434782608695</v>
      </c>
      <c r="AA13" t="str" cm="1">
        <f t="array" ref="AA13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14" spans="1:27" x14ac:dyDescent="0.3">
      <c r="A14" s="1">
        <v>45943</v>
      </c>
      <c r="B14">
        <v>102</v>
      </c>
      <c r="C14">
        <v>102</v>
      </c>
      <c r="D14">
        <v>102</v>
      </c>
      <c r="E14">
        <v>102</v>
      </c>
      <c r="F14">
        <v>102</v>
      </c>
      <c r="G14">
        <v>102</v>
      </c>
      <c r="H14">
        <v>146</v>
      </c>
      <c r="I14">
        <v>102</v>
      </c>
      <c r="J14">
        <v>102</v>
      </c>
      <c r="K14">
        <v>102</v>
      </c>
      <c r="L14">
        <v>102</v>
      </c>
      <c r="M14">
        <v>103</v>
      </c>
      <c r="N14">
        <v>103</v>
      </c>
      <c r="O14">
        <v>103</v>
      </c>
      <c r="P14">
        <v>103</v>
      </c>
      <c r="Q14">
        <v>126</v>
      </c>
      <c r="R14">
        <v>104</v>
      </c>
      <c r="S14">
        <v>154</v>
      </c>
      <c r="T14">
        <v>112</v>
      </c>
      <c r="U14">
        <v>114</v>
      </c>
      <c r="V14">
        <v>115</v>
      </c>
      <c r="W14">
        <v>114</v>
      </c>
      <c r="X14">
        <v>116</v>
      </c>
      <c r="Y14">
        <v>115</v>
      </c>
      <c r="Z14" s="2">
        <f>AVERAGE(Sheet1__10[[#This Row],[00:00:00]:[23:00:00]])</f>
        <v>110.33333333333333</v>
      </c>
      <c r="AA14" t="str" cm="1">
        <f t="array" ref="AA14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15" spans="1:27" x14ac:dyDescent="0.3">
      <c r="A15" s="1">
        <v>45944</v>
      </c>
      <c r="B15">
        <v>120</v>
      </c>
      <c r="C15">
        <v>126</v>
      </c>
      <c r="D15">
        <v>132</v>
      </c>
      <c r="E15">
        <v>136</v>
      </c>
      <c r="F15">
        <v>139</v>
      </c>
      <c r="G15">
        <v>142</v>
      </c>
      <c r="H15">
        <v>144</v>
      </c>
      <c r="I15">
        <v>145</v>
      </c>
      <c r="J15">
        <v>150</v>
      </c>
      <c r="K15">
        <v>152</v>
      </c>
      <c r="L15">
        <v>154</v>
      </c>
      <c r="M15">
        <v>154</v>
      </c>
      <c r="N15">
        <v>159</v>
      </c>
      <c r="O15">
        <v>159</v>
      </c>
      <c r="P15">
        <v>159</v>
      </c>
      <c r="Q15">
        <v>158</v>
      </c>
      <c r="R15">
        <v>154</v>
      </c>
      <c r="S15">
        <v>150</v>
      </c>
      <c r="T15">
        <v>148</v>
      </c>
      <c r="U15">
        <v>144</v>
      </c>
      <c r="V15">
        <v>140</v>
      </c>
      <c r="W15">
        <v>135</v>
      </c>
      <c r="X15">
        <v>130</v>
      </c>
      <c r="Y15">
        <v>124</v>
      </c>
      <c r="Z15" s="2">
        <f>AVERAGE(Sheet1__10[[#This Row],[00:00:00]:[23:00:00]])</f>
        <v>143.91666666666666</v>
      </c>
      <c r="AA15" t="str" cm="1">
        <f t="array" ref="AA15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16" spans="1:27" x14ac:dyDescent="0.3">
      <c r="A16" s="1">
        <v>45945</v>
      </c>
      <c r="B16">
        <v>118</v>
      </c>
      <c r="C16">
        <v>114</v>
      </c>
      <c r="D16">
        <v>112</v>
      </c>
      <c r="E16">
        <v>110</v>
      </c>
      <c r="G16">
        <v>108</v>
      </c>
      <c r="H16">
        <v>108</v>
      </c>
      <c r="I16">
        <v>107</v>
      </c>
      <c r="J16">
        <v>107</v>
      </c>
      <c r="K16">
        <v>107</v>
      </c>
      <c r="L16">
        <v>107</v>
      </c>
      <c r="M16">
        <v>107</v>
      </c>
      <c r="N16">
        <v>107</v>
      </c>
      <c r="O16">
        <v>107</v>
      </c>
      <c r="P16">
        <v>108</v>
      </c>
      <c r="Q16">
        <v>107</v>
      </c>
      <c r="R16">
        <v>107</v>
      </c>
      <c r="S16">
        <v>107</v>
      </c>
      <c r="T16">
        <v>107</v>
      </c>
      <c r="U16">
        <v>107</v>
      </c>
      <c r="V16">
        <v>107</v>
      </c>
      <c r="W16">
        <v>108</v>
      </c>
      <c r="X16">
        <v>108</v>
      </c>
      <c r="Y16">
        <v>109</v>
      </c>
      <c r="Z16" s="2">
        <f>AVERAGE(Sheet1__10[[#This Row],[00:00:00]:[23:00:00]])</f>
        <v>108.43478260869566</v>
      </c>
      <c r="AA16" t="str" cm="1">
        <f t="array" ref="AA16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17" spans="1:27" x14ac:dyDescent="0.3">
      <c r="A17" s="1">
        <v>45946</v>
      </c>
      <c r="B17">
        <v>110</v>
      </c>
      <c r="C17">
        <v>112</v>
      </c>
      <c r="D17">
        <v>114</v>
      </c>
      <c r="E17">
        <v>114</v>
      </c>
      <c r="F17">
        <v>116</v>
      </c>
      <c r="G17">
        <v>116</v>
      </c>
      <c r="H17">
        <v>118</v>
      </c>
      <c r="I17">
        <v>120</v>
      </c>
      <c r="J17">
        <v>122</v>
      </c>
      <c r="K17">
        <v>123</v>
      </c>
      <c r="L17">
        <v>125</v>
      </c>
      <c r="M17">
        <v>128</v>
      </c>
      <c r="N17">
        <v>132</v>
      </c>
      <c r="O17">
        <v>135</v>
      </c>
      <c r="P17">
        <v>138</v>
      </c>
      <c r="Q17">
        <v>141</v>
      </c>
      <c r="R17">
        <v>145</v>
      </c>
      <c r="S17">
        <v>149</v>
      </c>
      <c r="T17">
        <v>153</v>
      </c>
      <c r="U17">
        <v>158</v>
      </c>
      <c r="V17">
        <v>161</v>
      </c>
      <c r="W17">
        <v>166</v>
      </c>
      <c r="X17">
        <v>173</v>
      </c>
      <c r="Y17">
        <v>180</v>
      </c>
      <c r="Z17" s="2">
        <f>AVERAGE(Sheet1__10[[#This Row],[00:00:00]:[23:00:00]])</f>
        <v>135.375</v>
      </c>
      <c r="AA17" t="str" cm="1">
        <f t="array" ref="AA17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18" spans="1:27" x14ac:dyDescent="0.3">
      <c r="A18" s="1">
        <v>45947</v>
      </c>
      <c r="B18">
        <v>184</v>
      </c>
      <c r="C18">
        <v>188</v>
      </c>
      <c r="D18">
        <v>191</v>
      </c>
      <c r="E18">
        <v>192</v>
      </c>
      <c r="F18">
        <v>195</v>
      </c>
      <c r="G18">
        <v>197</v>
      </c>
      <c r="H18">
        <v>198</v>
      </c>
      <c r="I18">
        <v>199</v>
      </c>
      <c r="J18">
        <v>200</v>
      </c>
      <c r="K18">
        <v>203</v>
      </c>
      <c r="L18">
        <v>203</v>
      </c>
      <c r="M18">
        <v>202</v>
      </c>
      <c r="N18">
        <v>202</v>
      </c>
      <c r="O18">
        <v>204</v>
      </c>
      <c r="P18">
        <v>205</v>
      </c>
      <c r="Q18">
        <v>206</v>
      </c>
      <c r="R18">
        <v>233</v>
      </c>
      <c r="S18">
        <v>205</v>
      </c>
      <c r="T18">
        <v>204</v>
      </c>
      <c r="U18">
        <v>204</v>
      </c>
      <c r="V18">
        <v>203</v>
      </c>
      <c r="W18">
        <v>203</v>
      </c>
      <c r="X18">
        <v>202</v>
      </c>
      <c r="Y18">
        <v>201</v>
      </c>
      <c r="Z18" s="2">
        <f>AVERAGE(Sheet1__10[[#This Row],[00:00:00]:[23:00:00]])</f>
        <v>201</v>
      </c>
      <c r="AA18" t="str" cm="1">
        <f t="array" ref="AA18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HAZARDOUS</v>
      </c>
    </row>
    <row r="19" spans="1:27" x14ac:dyDescent="0.3">
      <c r="A19" s="1">
        <v>45948</v>
      </c>
      <c r="B19">
        <v>201</v>
      </c>
      <c r="C19">
        <v>200</v>
      </c>
      <c r="D19">
        <v>200</v>
      </c>
      <c r="E19">
        <v>198</v>
      </c>
      <c r="F19">
        <v>198</v>
      </c>
      <c r="G19">
        <v>198</v>
      </c>
      <c r="H19">
        <v>199</v>
      </c>
      <c r="I19">
        <v>200</v>
      </c>
      <c r="J19">
        <v>202</v>
      </c>
      <c r="K19">
        <v>201</v>
      </c>
      <c r="L19">
        <v>201</v>
      </c>
      <c r="M19">
        <v>201</v>
      </c>
      <c r="N19">
        <v>200</v>
      </c>
      <c r="O19">
        <v>200</v>
      </c>
      <c r="P19">
        <v>198</v>
      </c>
      <c r="Q19">
        <v>198</v>
      </c>
      <c r="R19">
        <v>196</v>
      </c>
      <c r="S19">
        <v>195</v>
      </c>
      <c r="T19">
        <v>193</v>
      </c>
      <c r="U19">
        <v>190</v>
      </c>
      <c r="V19">
        <v>187</v>
      </c>
      <c r="W19">
        <v>185</v>
      </c>
      <c r="X19">
        <v>182</v>
      </c>
      <c r="Y19">
        <v>179</v>
      </c>
      <c r="Z19" s="2">
        <f>AVERAGE(Sheet1__10[[#This Row],[00:00:00]:[23:00:00]])</f>
        <v>195.91666666666666</v>
      </c>
      <c r="AA19" t="str" cm="1">
        <f t="array" ref="AA19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VERY BAD</v>
      </c>
    </row>
    <row r="20" spans="1:27" x14ac:dyDescent="0.3">
      <c r="A20" s="1">
        <v>45949</v>
      </c>
      <c r="B20">
        <v>177</v>
      </c>
      <c r="C20">
        <v>176</v>
      </c>
      <c r="D20">
        <v>176</v>
      </c>
      <c r="E20">
        <v>177</v>
      </c>
      <c r="F20">
        <v>176</v>
      </c>
      <c r="G20">
        <v>175</v>
      </c>
      <c r="H20">
        <v>173</v>
      </c>
      <c r="I20">
        <v>171</v>
      </c>
      <c r="J20">
        <v>169</v>
      </c>
      <c r="K20">
        <v>166</v>
      </c>
      <c r="L20">
        <v>164</v>
      </c>
      <c r="M20">
        <v>161</v>
      </c>
      <c r="N20">
        <v>159</v>
      </c>
      <c r="O20">
        <v>158</v>
      </c>
      <c r="P20">
        <v>156</v>
      </c>
      <c r="Q20">
        <v>154</v>
      </c>
      <c r="R20">
        <v>151</v>
      </c>
      <c r="S20">
        <v>148</v>
      </c>
      <c r="T20">
        <v>146</v>
      </c>
      <c r="U20">
        <v>144</v>
      </c>
      <c r="V20">
        <v>142</v>
      </c>
      <c r="W20">
        <v>139</v>
      </c>
      <c r="X20">
        <v>137</v>
      </c>
      <c r="Y20">
        <v>135</v>
      </c>
      <c r="Z20" s="2">
        <f>AVERAGE(Sheet1__10[[#This Row],[00:00:00]:[23:00:00]])</f>
        <v>159.58333333333334</v>
      </c>
      <c r="AA20" t="str" cm="1">
        <f t="array" ref="AA20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VERY BAD</v>
      </c>
    </row>
    <row r="21" spans="1:27" x14ac:dyDescent="0.3">
      <c r="A21" s="1">
        <v>45950</v>
      </c>
      <c r="B21">
        <v>134</v>
      </c>
      <c r="C21">
        <v>133</v>
      </c>
      <c r="D21">
        <v>130</v>
      </c>
      <c r="E21">
        <v>128</v>
      </c>
      <c r="F21">
        <v>124</v>
      </c>
      <c r="G21">
        <v>122</v>
      </c>
      <c r="H21">
        <v>120</v>
      </c>
      <c r="I21">
        <v>118</v>
      </c>
      <c r="J21">
        <v>117</v>
      </c>
      <c r="K21">
        <v>117</v>
      </c>
      <c r="L21">
        <v>117</v>
      </c>
      <c r="M21">
        <v>117</v>
      </c>
      <c r="N21">
        <v>117</v>
      </c>
      <c r="O21">
        <v>117</v>
      </c>
      <c r="P21">
        <v>116</v>
      </c>
      <c r="Q21">
        <v>115</v>
      </c>
      <c r="R21">
        <v>115</v>
      </c>
      <c r="S21">
        <v>115</v>
      </c>
      <c r="T21">
        <v>115</v>
      </c>
      <c r="U21">
        <v>116</v>
      </c>
      <c r="V21">
        <v>117</v>
      </c>
      <c r="W21">
        <v>118</v>
      </c>
      <c r="X21">
        <v>122</v>
      </c>
      <c r="Y21">
        <v>126</v>
      </c>
      <c r="Z21" s="2">
        <f>AVERAGE(Sheet1__10[[#This Row],[00:00:00]:[23:00:00]])</f>
        <v>120.25</v>
      </c>
      <c r="AA21" t="str" cm="1">
        <f t="array" ref="AA21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22" spans="1:27" x14ac:dyDescent="0.3">
      <c r="A22" s="1">
        <v>45951</v>
      </c>
      <c r="B22">
        <v>134</v>
      </c>
      <c r="C22">
        <v>141</v>
      </c>
      <c r="D22">
        <v>141</v>
      </c>
      <c r="E22">
        <v>153</v>
      </c>
      <c r="F22">
        <v>154</v>
      </c>
      <c r="G22">
        <v>159</v>
      </c>
      <c r="H22">
        <v>161</v>
      </c>
      <c r="I22">
        <v>163</v>
      </c>
      <c r="J22">
        <v>165</v>
      </c>
      <c r="K22">
        <v>167</v>
      </c>
      <c r="L22">
        <v>168</v>
      </c>
      <c r="M22">
        <v>167</v>
      </c>
      <c r="N22">
        <v>168</v>
      </c>
      <c r="O22">
        <v>167</v>
      </c>
      <c r="P22">
        <v>167</v>
      </c>
      <c r="Q22">
        <v>164</v>
      </c>
      <c r="R22">
        <v>164</v>
      </c>
      <c r="S22">
        <v>162</v>
      </c>
      <c r="T22">
        <v>159</v>
      </c>
      <c r="U22">
        <v>168</v>
      </c>
      <c r="V22">
        <v>152</v>
      </c>
      <c r="W22">
        <v>151</v>
      </c>
      <c r="X22">
        <v>154</v>
      </c>
      <c r="Y22">
        <v>156</v>
      </c>
      <c r="Z22" s="2">
        <f>AVERAGE(Sheet1__10[[#This Row],[00:00:00]:[23:00:00]])</f>
        <v>158.54166666666666</v>
      </c>
      <c r="AA22" t="str" cm="1">
        <f t="array" ref="AA22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VERY BAD</v>
      </c>
    </row>
    <row r="23" spans="1:27" x14ac:dyDescent="0.3">
      <c r="A23" s="1">
        <v>45952</v>
      </c>
      <c r="B23">
        <v>156</v>
      </c>
      <c r="C23">
        <v>154</v>
      </c>
      <c r="D23">
        <v>152</v>
      </c>
      <c r="E23">
        <v>148</v>
      </c>
      <c r="F23">
        <v>146</v>
      </c>
      <c r="G23">
        <v>141</v>
      </c>
      <c r="H23">
        <v>137</v>
      </c>
      <c r="I23">
        <v>135</v>
      </c>
      <c r="J23">
        <v>132</v>
      </c>
      <c r="K23">
        <v>131</v>
      </c>
      <c r="L23">
        <v>131</v>
      </c>
      <c r="M23">
        <v>132</v>
      </c>
      <c r="N23">
        <v>133</v>
      </c>
      <c r="O23">
        <v>135</v>
      </c>
      <c r="P23">
        <v>135</v>
      </c>
      <c r="Q23">
        <v>136</v>
      </c>
      <c r="R23">
        <v>138</v>
      </c>
      <c r="S23">
        <v>140</v>
      </c>
      <c r="T23">
        <v>142</v>
      </c>
      <c r="U23">
        <v>146</v>
      </c>
      <c r="V23">
        <v>148</v>
      </c>
      <c r="W23">
        <v>148</v>
      </c>
      <c r="X23">
        <v>140</v>
      </c>
      <c r="Z23" s="2">
        <f>AVERAGE(Sheet1__10[[#This Row],[00:00:00]:[23:00:00]])</f>
        <v>140.69565217391303</v>
      </c>
      <c r="AA23" t="str" cm="1">
        <f t="array" ref="AA23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24" spans="1:27" x14ac:dyDescent="0.3">
      <c r="A24" s="1">
        <v>45953</v>
      </c>
      <c r="B24">
        <v>125</v>
      </c>
      <c r="C24">
        <v>116</v>
      </c>
      <c r="D24">
        <v>110</v>
      </c>
      <c r="E24">
        <v>110</v>
      </c>
      <c r="F24">
        <v>110</v>
      </c>
      <c r="G24">
        <v>110</v>
      </c>
      <c r="H24">
        <v>110</v>
      </c>
      <c r="I24">
        <v>114</v>
      </c>
      <c r="J24">
        <v>116</v>
      </c>
      <c r="K24">
        <v>118</v>
      </c>
      <c r="L24">
        <v>118</v>
      </c>
      <c r="M24">
        <v>118</v>
      </c>
      <c r="N24">
        <v>116</v>
      </c>
      <c r="O24">
        <v>116</v>
      </c>
      <c r="P24">
        <v>116</v>
      </c>
      <c r="Q24">
        <v>115</v>
      </c>
      <c r="R24">
        <v>113</v>
      </c>
      <c r="T24">
        <v>114</v>
      </c>
      <c r="U24">
        <v>114</v>
      </c>
      <c r="V24">
        <v>113</v>
      </c>
      <c r="W24">
        <v>112</v>
      </c>
      <c r="X24">
        <v>110</v>
      </c>
      <c r="Y24">
        <v>109</v>
      </c>
      <c r="Z24" s="2">
        <f>AVERAGE(Sheet1__10[[#This Row],[00:00:00]:[23:00:00]])</f>
        <v>114.04347826086956</v>
      </c>
      <c r="AA24" t="str" cm="1">
        <f t="array" ref="AA24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25" spans="1:27" x14ac:dyDescent="0.3">
      <c r="A25" s="1">
        <v>45954</v>
      </c>
      <c r="B25">
        <v>108</v>
      </c>
      <c r="C25">
        <v>108</v>
      </c>
      <c r="D25">
        <v>109</v>
      </c>
      <c r="E25">
        <v>110</v>
      </c>
      <c r="F25">
        <v>110</v>
      </c>
      <c r="G25">
        <v>110</v>
      </c>
      <c r="H25">
        <v>110</v>
      </c>
      <c r="I25">
        <v>111</v>
      </c>
      <c r="J25">
        <v>111</v>
      </c>
      <c r="K25">
        <v>110</v>
      </c>
      <c r="L25">
        <v>110</v>
      </c>
      <c r="M25">
        <v>109</v>
      </c>
      <c r="N25">
        <v>108</v>
      </c>
      <c r="O25">
        <v>108</v>
      </c>
      <c r="P25">
        <v>107</v>
      </c>
      <c r="Q25">
        <v>106</v>
      </c>
      <c r="R25">
        <v>105</v>
      </c>
      <c r="S25">
        <v>103</v>
      </c>
      <c r="T25">
        <v>104</v>
      </c>
      <c r="U25">
        <v>100</v>
      </c>
      <c r="V25">
        <v>99</v>
      </c>
      <c r="W25">
        <v>96</v>
      </c>
      <c r="X25">
        <v>94</v>
      </c>
      <c r="Y25">
        <v>90</v>
      </c>
      <c r="Z25" s="2">
        <f>AVERAGE(Sheet1__10[[#This Row],[00:00:00]:[23:00:00]])</f>
        <v>105.66666666666667</v>
      </c>
      <c r="AA25" t="str" cm="1">
        <f t="array" ref="AA25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26" spans="1:27" x14ac:dyDescent="0.3">
      <c r="A26" s="1">
        <v>45955</v>
      </c>
      <c r="B26">
        <v>86</v>
      </c>
      <c r="C26">
        <v>81</v>
      </c>
      <c r="D26">
        <v>78</v>
      </c>
      <c r="E26">
        <v>74</v>
      </c>
      <c r="F26">
        <v>71</v>
      </c>
      <c r="G26">
        <v>68</v>
      </c>
      <c r="H26">
        <v>66</v>
      </c>
      <c r="I26">
        <v>64</v>
      </c>
      <c r="J26">
        <v>61</v>
      </c>
      <c r="K26">
        <v>60</v>
      </c>
      <c r="L26">
        <v>56</v>
      </c>
      <c r="M26">
        <v>54</v>
      </c>
      <c r="N26">
        <v>52</v>
      </c>
      <c r="O26">
        <v>50</v>
      </c>
      <c r="P26">
        <v>48</v>
      </c>
      <c r="Q26">
        <v>47</v>
      </c>
      <c r="R26">
        <v>46</v>
      </c>
      <c r="S26">
        <v>45</v>
      </c>
      <c r="T26">
        <v>45</v>
      </c>
      <c r="U26">
        <v>44</v>
      </c>
      <c r="V26">
        <v>44</v>
      </c>
      <c r="W26">
        <v>44</v>
      </c>
      <c r="X26">
        <v>43</v>
      </c>
      <c r="Y26">
        <v>42</v>
      </c>
      <c r="Z26" s="2">
        <f>AVERAGE(Sheet1__10[[#This Row],[00:00:00]:[23:00:00]])</f>
        <v>57.041666666666664</v>
      </c>
      <c r="AA26" t="str" cm="1">
        <f t="array" ref="AA26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27" spans="1:27" x14ac:dyDescent="0.3">
      <c r="A27" s="1">
        <v>45956</v>
      </c>
      <c r="B27">
        <v>41</v>
      </c>
      <c r="C27">
        <v>40</v>
      </c>
      <c r="D27">
        <v>39</v>
      </c>
      <c r="E27">
        <v>39</v>
      </c>
      <c r="F27">
        <v>39</v>
      </c>
      <c r="G27">
        <v>39</v>
      </c>
      <c r="H27">
        <v>40</v>
      </c>
      <c r="I27">
        <v>40</v>
      </c>
      <c r="J27">
        <v>41</v>
      </c>
      <c r="K27">
        <v>42</v>
      </c>
      <c r="L27">
        <v>42</v>
      </c>
      <c r="M27">
        <v>42</v>
      </c>
      <c r="N27">
        <v>43</v>
      </c>
      <c r="O27">
        <v>44</v>
      </c>
      <c r="P27">
        <v>44</v>
      </c>
      <c r="Q27">
        <v>44</v>
      </c>
      <c r="R27">
        <v>45</v>
      </c>
      <c r="S27">
        <v>45</v>
      </c>
      <c r="T27">
        <v>44</v>
      </c>
      <c r="U27">
        <v>44</v>
      </c>
      <c r="V27">
        <v>45</v>
      </c>
      <c r="W27">
        <v>48</v>
      </c>
      <c r="X27">
        <v>52</v>
      </c>
      <c r="Y27">
        <v>54</v>
      </c>
      <c r="Z27" s="2">
        <f>AVERAGE(Sheet1__10[[#This Row],[00:00:00]:[23:00:00]])</f>
        <v>43.166666666666664</v>
      </c>
      <c r="AA27" t="str" cm="1">
        <f t="array" ref="AA27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28" spans="1:27" x14ac:dyDescent="0.3">
      <c r="A28" s="1">
        <v>45957</v>
      </c>
      <c r="B28">
        <v>55</v>
      </c>
      <c r="C28">
        <v>57</v>
      </c>
      <c r="D28">
        <v>60</v>
      </c>
      <c r="E28">
        <v>61</v>
      </c>
      <c r="F28">
        <v>62</v>
      </c>
      <c r="G28">
        <v>62</v>
      </c>
      <c r="H28">
        <v>62</v>
      </c>
      <c r="I28">
        <v>62</v>
      </c>
      <c r="J28">
        <v>62</v>
      </c>
      <c r="K28">
        <v>62</v>
      </c>
      <c r="L28">
        <v>62</v>
      </c>
      <c r="M28">
        <v>62</v>
      </c>
      <c r="N28">
        <v>62</v>
      </c>
      <c r="O28">
        <v>62</v>
      </c>
      <c r="P28">
        <v>62</v>
      </c>
      <c r="Q28">
        <v>63</v>
      </c>
      <c r="R28">
        <v>63</v>
      </c>
      <c r="S28">
        <v>63</v>
      </c>
      <c r="T28">
        <v>63</v>
      </c>
      <c r="U28">
        <v>64</v>
      </c>
      <c r="V28">
        <v>66</v>
      </c>
      <c r="W28">
        <v>66</v>
      </c>
      <c r="X28">
        <v>66</v>
      </c>
      <c r="Y28">
        <v>66</v>
      </c>
      <c r="Z28" s="2">
        <f>AVERAGE(Sheet1__10[[#This Row],[00:00:00]:[23:00:00]])</f>
        <v>62.291666666666664</v>
      </c>
      <c r="AA28" t="str" cm="1">
        <f t="array" ref="AA28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29" spans="1:27" x14ac:dyDescent="0.3">
      <c r="A29" s="1">
        <v>45958</v>
      </c>
      <c r="B29">
        <v>66</v>
      </c>
      <c r="C29">
        <v>66</v>
      </c>
      <c r="D29">
        <v>66</v>
      </c>
      <c r="E29">
        <v>65</v>
      </c>
      <c r="G29">
        <v>66</v>
      </c>
      <c r="H29">
        <v>66</v>
      </c>
      <c r="I29">
        <v>67</v>
      </c>
      <c r="J29">
        <v>67</v>
      </c>
      <c r="K29">
        <v>67</v>
      </c>
      <c r="L29">
        <v>68</v>
      </c>
      <c r="M29">
        <v>67</v>
      </c>
      <c r="N29">
        <v>67</v>
      </c>
      <c r="O29">
        <v>68</v>
      </c>
      <c r="P29">
        <v>68</v>
      </c>
      <c r="Q29">
        <v>68</v>
      </c>
      <c r="R29">
        <v>68</v>
      </c>
      <c r="S29">
        <v>69</v>
      </c>
      <c r="T29">
        <v>69</v>
      </c>
      <c r="U29">
        <v>68</v>
      </c>
      <c r="V29">
        <v>68</v>
      </c>
      <c r="W29">
        <v>67</v>
      </c>
      <c r="X29">
        <v>65</v>
      </c>
      <c r="Y29">
        <v>63</v>
      </c>
      <c r="Z29" s="2">
        <f>AVERAGE(Sheet1__10[[#This Row],[00:00:00]:[23:00:00]])</f>
        <v>66.913043478260875</v>
      </c>
      <c r="AA29" t="str" cm="1">
        <f t="array" ref="AA29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30" spans="1:27" x14ac:dyDescent="0.3">
      <c r="A30" s="1">
        <v>45959</v>
      </c>
      <c r="B30">
        <v>62</v>
      </c>
      <c r="C30">
        <v>59</v>
      </c>
      <c r="D30">
        <v>57</v>
      </c>
      <c r="E30">
        <v>55</v>
      </c>
      <c r="F30">
        <v>54</v>
      </c>
      <c r="G30">
        <v>54</v>
      </c>
      <c r="H30">
        <v>53</v>
      </c>
      <c r="I30">
        <v>52</v>
      </c>
      <c r="J30">
        <v>52</v>
      </c>
      <c r="K30">
        <v>52</v>
      </c>
      <c r="L30">
        <v>52</v>
      </c>
      <c r="M30">
        <v>53</v>
      </c>
      <c r="N30">
        <v>53</v>
      </c>
      <c r="O30">
        <v>53</v>
      </c>
      <c r="P30">
        <v>52</v>
      </c>
      <c r="Q30">
        <v>52</v>
      </c>
      <c r="R30">
        <v>52</v>
      </c>
      <c r="S30">
        <v>52</v>
      </c>
      <c r="T30">
        <v>52</v>
      </c>
      <c r="U30">
        <v>51</v>
      </c>
      <c r="V30">
        <v>51</v>
      </c>
      <c r="W30">
        <v>51</v>
      </c>
      <c r="X30">
        <v>51</v>
      </c>
      <c r="Y30">
        <v>52</v>
      </c>
      <c r="Z30" s="2">
        <f>AVERAGE(Sheet1__10[[#This Row],[00:00:00]:[23:00:00]])</f>
        <v>53.208333333333336</v>
      </c>
      <c r="AA30" t="str" cm="1">
        <f t="array" ref="AA30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31" spans="1:27" x14ac:dyDescent="0.3">
      <c r="A31" s="1">
        <v>45960</v>
      </c>
      <c r="B31">
        <v>51</v>
      </c>
      <c r="C31">
        <v>51</v>
      </c>
      <c r="D31">
        <v>50</v>
      </c>
      <c r="E31">
        <v>50</v>
      </c>
      <c r="F31">
        <v>49</v>
      </c>
      <c r="G31">
        <v>48</v>
      </c>
      <c r="H31">
        <v>46</v>
      </c>
      <c r="I31">
        <v>44</v>
      </c>
      <c r="J31">
        <v>43</v>
      </c>
      <c r="K31">
        <v>41</v>
      </c>
      <c r="L31">
        <v>39</v>
      </c>
      <c r="M31">
        <v>37</v>
      </c>
      <c r="N31">
        <v>35</v>
      </c>
      <c r="O31">
        <v>34</v>
      </c>
      <c r="P31">
        <v>32</v>
      </c>
      <c r="Q31">
        <v>31</v>
      </c>
      <c r="R31">
        <v>30</v>
      </c>
      <c r="S31">
        <v>31</v>
      </c>
      <c r="T31">
        <v>32</v>
      </c>
      <c r="U31">
        <v>35</v>
      </c>
      <c r="V31">
        <v>37</v>
      </c>
      <c r="W31">
        <v>37</v>
      </c>
      <c r="X31">
        <v>37</v>
      </c>
      <c r="Y31">
        <v>36</v>
      </c>
      <c r="Z31" s="2">
        <f>AVERAGE(Sheet1__10[[#This Row],[00:00:00]:[23:00:00]])</f>
        <v>39.833333333333336</v>
      </c>
      <c r="AA31" t="str" cm="1">
        <f t="array" ref="AA31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32" spans="1:27" x14ac:dyDescent="0.3">
      <c r="A32" s="1">
        <v>45961</v>
      </c>
      <c r="B32">
        <v>36</v>
      </c>
      <c r="C32">
        <v>35</v>
      </c>
      <c r="D32">
        <v>33</v>
      </c>
      <c r="E32">
        <v>32</v>
      </c>
      <c r="F32">
        <v>28</v>
      </c>
      <c r="G32">
        <v>27</v>
      </c>
      <c r="H32">
        <v>28</v>
      </c>
      <c r="I32">
        <v>28</v>
      </c>
      <c r="J32">
        <v>29</v>
      </c>
      <c r="K32">
        <v>30</v>
      </c>
      <c r="L32">
        <v>32</v>
      </c>
      <c r="M32">
        <v>33</v>
      </c>
      <c r="N32">
        <v>35</v>
      </c>
      <c r="O32">
        <v>37</v>
      </c>
      <c r="P32">
        <v>38</v>
      </c>
      <c r="Q32">
        <v>40</v>
      </c>
      <c r="R32">
        <v>42</v>
      </c>
      <c r="S32">
        <v>42</v>
      </c>
      <c r="T32">
        <v>43</v>
      </c>
      <c r="U32">
        <v>45</v>
      </c>
      <c r="V32">
        <v>48</v>
      </c>
      <c r="W32">
        <v>53</v>
      </c>
      <c r="X32">
        <v>58</v>
      </c>
      <c r="Y32">
        <v>63</v>
      </c>
      <c r="Z32" s="2">
        <f>AVERAGE(Sheet1__10[[#This Row],[00:00:00]:[23:00:00]])</f>
        <v>38.125</v>
      </c>
      <c r="AA32" t="str" cm="1">
        <f t="array" ref="AA32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33" spans="26:27" x14ac:dyDescent="0.3">
      <c r="Z33" s="2">
        <f>SUBTOTAL(101,Sheet1__10[AVERAGE AQI])</f>
        <v>91.229488078541365</v>
      </c>
      <c r="AA33" s="3"/>
    </row>
  </sheetData>
  <conditionalFormatting sqref="AA1:AA1048576">
    <cfRule type="containsText" dxfId="28" priority="5" operator="containsText" text="GOOD">
      <formula>NOT(ISERROR(SEARCH("GOOD",AA1)))</formula>
    </cfRule>
    <cfRule type="containsText" dxfId="29" priority="4" operator="containsText" text="MODERATE">
      <formula>NOT(ISERROR(SEARCH("MODERATE",AA1)))</formula>
    </cfRule>
    <cfRule type="containsText" dxfId="30" priority="3" operator="containsText" text="BAD">
      <formula>NOT(ISERROR(SEARCH("BAD",AA1)))</formula>
    </cfRule>
    <cfRule type="containsText" dxfId="31" priority="2" operator="containsText" text="VERY BAD">
      <formula>NOT(ISERROR(SEARCH("VERY BAD",AA1)))</formula>
    </cfRule>
    <cfRule type="containsText" dxfId="32" priority="1" operator="containsText" text="HAZARDOUS">
      <formula>NOT(ISERROR(SEARCH("HAZARDOUS",AA1)))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071B7-06CA-4F08-B85D-726461876B75}">
  <dimension ref="A1:AA32"/>
  <sheetViews>
    <sheetView topLeftCell="A7" workbookViewId="0">
      <selection activeCell="X9" sqref="X9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8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45962</v>
      </c>
      <c r="B2">
        <v>66</v>
      </c>
      <c r="C2">
        <v>68</v>
      </c>
      <c r="D2">
        <v>70</v>
      </c>
      <c r="E2">
        <v>71</v>
      </c>
      <c r="F2">
        <v>70</v>
      </c>
      <c r="G2">
        <v>66</v>
      </c>
      <c r="H2">
        <v>64</v>
      </c>
      <c r="I2">
        <v>63</v>
      </c>
      <c r="J2">
        <v>64</v>
      </c>
      <c r="K2">
        <v>64</v>
      </c>
      <c r="L2">
        <v>65</v>
      </c>
      <c r="M2">
        <v>65</v>
      </c>
      <c r="N2">
        <v>66</v>
      </c>
      <c r="O2">
        <v>66</v>
      </c>
      <c r="P2">
        <v>66</v>
      </c>
      <c r="Q2">
        <v>66</v>
      </c>
      <c r="R2">
        <v>67</v>
      </c>
      <c r="S2">
        <v>67</v>
      </c>
      <c r="T2">
        <v>68</v>
      </c>
      <c r="U2">
        <v>69</v>
      </c>
      <c r="V2">
        <v>70</v>
      </c>
      <c r="W2">
        <v>70</v>
      </c>
      <c r="X2">
        <v>69</v>
      </c>
      <c r="Y2">
        <v>69</v>
      </c>
      <c r="Z2" s="2">
        <f>AVERAGE(Sheet1__11[[#This Row],[00:00:00]:[23:00:00]])</f>
        <v>67.041666666666671</v>
      </c>
      <c r="AA2" t="str" cm="1">
        <f t="array" ref="AA2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3" spans="1:27" x14ac:dyDescent="0.3">
      <c r="A3" s="1">
        <v>45963</v>
      </c>
      <c r="B3">
        <v>68</v>
      </c>
      <c r="C3">
        <v>67</v>
      </c>
      <c r="D3">
        <v>66</v>
      </c>
      <c r="E3">
        <v>65</v>
      </c>
      <c r="F3">
        <v>64</v>
      </c>
      <c r="G3">
        <v>63</v>
      </c>
      <c r="H3">
        <v>62</v>
      </c>
      <c r="I3">
        <v>62</v>
      </c>
      <c r="J3">
        <v>61</v>
      </c>
      <c r="K3">
        <v>60</v>
      </c>
      <c r="L3">
        <v>60</v>
      </c>
      <c r="M3">
        <v>59</v>
      </c>
      <c r="N3">
        <v>59</v>
      </c>
      <c r="O3">
        <v>59</v>
      </c>
      <c r="P3">
        <v>59</v>
      </c>
      <c r="Q3">
        <v>60</v>
      </c>
      <c r="R3">
        <v>60</v>
      </c>
      <c r="S3">
        <v>60</v>
      </c>
      <c r="T3">
        <v>60</v>
      </c>
      <c r="U3">
        <v>60</v>
      </c>
      <c r="V3">
        <v>60</v>
      </c>
      <c r="W3">
        <v>61</v>
      </c>
      <c r="X3">
        <v>62</v>
      </c>
      <c r="Y3">
        <v>61</v>
      </c>
      <c r="Z3" s="2">
        <f>AVERAGE(Sheet1__11[[#This Row],[00:00:00]:[23:00:00]])</f>
        <v>61.583333333333336</v>
      </c>
      <c r="AA3" t="str" cm="1">
        <f t="array" ref="AA3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4" spans="1:27" x14ac:dyDescent="0.3">
      <c r="A4" s="1">
        <v>45964</v>
      </c>
      <c r="B4">
        <v>61</v>
      </c>
      <c r="C4">
        <v>62</v>
      </c>
      <c r="D4">
        <v>62</v>
      </c>
      <c r="E4">
        <v>63</v>
      </c>
      <c r="F4">
        <v>63</v>
      </c>
      <c r="G4">
        <v>62</v>
      </c>
      <c r="H4">
        <v>62</v>
      </c>
      <c r="I4">
        <v>62</v>
      </c>
      <c r="J4">
        <v>62</v>
      </c>
      <c r="K4">
        <v>62</v>
      </c>
      <c r="L4">
        <v>63</v>
      </c>
      <c r="M4">
        <v>64</v>
      </c>
      <c r="N4">
        <v>63</v>
      </c>
      <c r="O4">
        <v>62</v>
      </c>
      <c r="P4">
        <v>62</v>
      </c>
      <c r="Q4">
        <v>61</v>
      </c>
      <c r="R4">
        <v>60</v>
      </c>
      <c r="S4">
        <v>59</v>
      </c>
      <c r="T4">
        <v>58</v>
      </c>
      <c r="U4">
        <v>57</v>
      </c>
      <c r="V4">
        <v>56</v>
      </c>
      <c r="W4">
        <v>56</v>
      </c>
      <c r="X4">
        <v>59</v>
      </c>
      <c r="Y4">
        <v>62</v>
      </c>
      <c r="Z4" s="2">
        <f>AVERAGE(Sheet1__11[[#This Row],[00:00:00]:[23:00:00]])</f>
        <v>60.958333333333336</v>
      </c>
      <c r="AA4" t="str" cm="1">
        <f t="array" ref="AA4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5" spans="1:27" x14ac:dyDescent="0.3">
      <c r="A5" s="1">
        <v>45965</v>
      </c>
      <c r="B5">
        <v>65</v>
      </c>
      <c r="C5">
        <v>67</v>
      </c>
      <c r="D5">
        <v>69</v>
      </c>
      <c r="E5">
        <v>69</v>
      </c>
      <c r="F5">
        <v>69</v>
      </c>
      <c r="G5">
        <v>71</v>
      </c>
      <c r="H5">
        <v>73</v>
      </c>
      <c r="I5">
        <v>74</v>
      </c>
      <c r="J5">
        <v>74</v>
      </c>
      <c r="K5">
        <v>76</v>
      </c>
      <c r="L5">
        <v>77</v>
      </c>
      <c r="M5">
        <v>78</v>
      </c>
      <c r="N5">
        <v>79</v>
      </c>
      <c r="O5">
        <v>80</v>
      </c>
      <c r="P5">
        <v>80</v>
      </c>
      <c r="Q5">
        <v>80</v>
      </c>
      <c r="R5">
        <v>80</v>
      </c>
      <c r="S5">
        <v>80</v>
      </c>
      <c r="T5">
        <v>80</v>
      </c>
      <c r="U5">
        <v>80</v>
      </c>
      <c r="V5">
        <v>80</v>
      </c>
      <c r="W5">
        <v>78</v>
      </c>
      <c r="X5">
        <v>77</v>
      </c>
      <c r="Y5">
        <v>77</v>
      </c>
      <c r="Z5" s="2">
        <f>AVERAGE(Sheet1__11[[#This Row],[00:00:00]:[23:00:00]])</f>
        <v>75.541666666666671</v>
      </c>
      <c r="AA5" t="str" cm="1">
        <f t="array" ref="AA5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6" spans="1:27" x14ac:dyDescent="0.3">
      <c r="A6" s="1">
        <v>45966</v>
      </c>
      <c r="B6">
        <v>77</v>
      </c>
      <c r="C6">
        <v>80</v>
      </c>
      <c r="D6">
        <v>83</v>
      </c>
      <c r="E6">
        <v>84</v>
      </c>
      <c r="F6">
        <v>82</v>
      </c>
      <c r="G6">
        <v>79</v>
      </c>
      <c r="H6">
        <v>78</v>
      </c>
      <c r="I6">
        <v>77</v>
      </c>
      <c r="J6">
        <v>76</v>
      </c>
      <c r="K6">
        <v>75</v>
      </c>
      <c r="L6">
        <v>74</v>
      </c>
      <c r="M6">
        <v>73</v>
      </c>
      <c r="N6">
        <v>72</v>
      </c>
      <c r="O6">
        <v>72</v>
      </c>
      <c r="P6">
        <v>72</v>
      </c>
      <c r="Q6">
        <v>72</v>
      </c>
      <c r="R6">
        <v>72</v>
      </c>
      <c r="S6">
        <v>72</v>
      </c>
      <c r="T6">
        <v>72</v>
      </c>
      <c r="U6">
        <v>71</v>
      </c>
      <c r="V6">
        <v>71</v>
      </c>
      <c r="W6">
        <v>71</v>
      </c>
      <c r="X6">
        <v>72</v>
      </c>
      <c r="Y6">
        <v>70</v>
      </c>
      <c r="Z6" s="2">
        <f>AVERAGE(Sheet1__11[[#This Row],[00:00:00]:[23:00:00]])</f>
        <v>74.875</v>
      </c>
      <c r="AA6" t="str" cm="1">
        <f t="array" ref="AA6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7" spans="1:27" x14ac:dyDescent="0.3">
      <c r="A7" s="1">
        <v>45967</v>
      </c>
      <c r="B7">
        <v>69</v>
      </c>
      <c r="C7">
        <v>68</v>
      </c>
      <c r="D7">
        <v>66</v>
      </c>
      <c r="E7">
        <v>64</v>
      </c>
      <c r="F7">
        <v>64</v>
      </c>
      <c r="G7">
        <v>63</v>
      </c>
      <c r="H7">
        <v>63</v>
      </c>
      <c r="I7">
        <v>64</v>
      </c>
      <c r="J7">
        <v>64</v>
      </c>
      <c r="K7">
        <v>65</v>
      </c>
      <c r="L7">
        <v>66</v>
      </c>
      <c r="M7">
        <v>69</v>
      </c>
      <c r="N7">
        <v>70</v>
      </c>
      <c r="O7">
        <v>71</v>
      </c>
      <c r="P7">
        <v>72</v>
      </c>
      <c r="Q7">
        <v>139</v>
      </c>
      <c r="R7">
        <v>74</v>
      </c>
      <c r="S7">
        <v>75</v>
      </c>
      <c r="T7">
        <v>77</v>
      </c>
      <c r="U7">
        <v>77</v>
      </c>
      <c r="V7">
        <v>77</v>
      </c>
      <c r="W7">
        <v>77</v>
      </c>
      <c r="X7">
        <v>77</v>
      </c>
      <c r="Y7">
        <v>77</v>
      </c>
      <c r="Z7" s="2">
        <f>AVERAGE(Sheet1__11[[#This Row],[00:00:00]:[23:00:00]])</f>
        <v>72.833333333333329</v>
      </c>
      <c r="AA7" t="str" cm="1">
        <f t="array" ref="AA7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8" spans="1:27" x14ac:dyDescent="0.3">
      <c r="A8" s="1">
        <v>45968</v>
      </c>
      <c r="B8">
        <v>76</v>
      </c>
      <c r="C8">
        <v>76</v>
      </c>
      <c r="D8">
        <v>76</v>
      </c>
      <c r="E8">
        <v>76</v>
      </c>
      <c r="F8">
        <v>77</v>
      </c>
      <c r="G8">
        <v>79</v>
      </c>
      <c r="H8">
        <v>80</v>
      </c>
      <c r="I8">
        <v>80</v>
      </c>
      <c r="J8">
        <v>80</v>
      </c>
      <c r="K8">
        <v>81</v>
      </c>
      <c r="L8">
        <v>82</v>
      </c>
      <c r="M8">
        <v>83</v>
      </c>
      <c r="N8">
        <v>83</v>
      </c>
      <c r="O8">
        <v>84</v>
      </c>
      <c r="P8">
        <v>84</v>
      </c>
      <c r="Q8">
        <v>85</v>
      </c>
      <c r="R8">
        <v>86</v>
      </c>
      <c r="S8">
        <v>87</v>
      </c>
      <c r="T8">
        <v>87</v>
      </c>
      <c r="U8">
        <v>88</v>
      </c>
      <c r="V8">
        <v>89</v>
      </c>
      <c r="W8">
        <v>90</v>
      </c>
      <c r="X8">
        <v>92</v>
      </c>
      <c r="Y8">
        <v>94</v>
      </c>
      <c r="Z8" s="2">
        <f>AVERAGE(Sheet1__11[[#This Row],[00:00:00]:[23:00:00]])</f>
        <v>83.125</v>
      </c>
      <c r="AA8" t="str" cm="1">
        <f t="array" ref="AA8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9" spans="1:27" x14ac:dyDescent="0.3">
      <c r="A9" s="1">
        <v>45969</v>
      </c>
      <c r="B9">
        <v>97</v>
      </c>
      <c r="C9">
        <v>99</v>
      </c>
      <c r="E9">
        <v>103</v>
      </c>
      <c r="F9">
        <v>105</v>
      </c>
      <c r="G9">
        <v>107</v>
      </c>
      <c r="H9">
        <v>108</v>
      </c>
      <c r="I9">
        <v>110</v>
      </c>
      <c r="J9">
        <v>112</v>
      </c>
      <c r="K9">
        <v>114</v>
      </c>
      <c r="L9">
        <v>116</v>
      </c>
      <c r="M9">
        <v>119</v>
      </c>
      <c r="N9">
        <v>120</v>
      </c>
      <c r="O9">
        <v>122</v>
      </c>
      <c r="P9">
        <v>123</v>
      </c>
      <c r="Q9">
        <v>124</v>
      </c>
      <c r="R9">
        <v>126</v>
      </c>
      <c r="S9">
        <v>126</v>
      </c>
      <c r="T9">
        <v>126</v>
      </c>
      <c r="U9">
        <v>127</v>
      </c>
      <c r="V9">
        <v>128</v>
      </c>
      <c r="W9">
        <v>128</v>
      </c>
      <c r="X9">
        <v>128</v>
      </c>
      <c r="Y9">
        <v>129</v>
      </c>
      <c r="Z9" s="2">
        <f>AVERAGE(Sheet1__11[[#This Row],[00:00:00]:[23:00:00]])</f>
        <v>117.26086956521739</v>
      </c>
      <c r="AA9" t="str" cm="1">
        <f t="array" ref="AA9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0" spans="1:27" x14ac:dyDescent="0.3">
      <c r="A10" s="1">
        <v>45970</v>
      </c>
      <c r="B10">
        <v>129</v>
      </c>
      <c r="C10">
        <v>130</v>
      </c>
      <c r="D10">
        <v>130</v>
      </c>
      <c r="E10">
        <v>173</v>
      </c>
      <c r="F10">
        <v>133</v>
      </c>
      <c r="G10">
        <v>134</v>
      </c>
      <c r="H10">
        <v>134</v>
      </c>
      <c r="I10">
        <v>134</v>
      </c>
      <c r="J10">
        <v>134</v>
      </c>
      <c r="K10">
        <v>135</v>
      </c>
      <c r="L10">
        <v>136</v>
      </c>
      <c r="M10">
        <v>136</v>
      </c>
      <c r="N10">
        <v>136</v>
      </c>
      <c r="O10">
        <v>137</v>
      </c>
      <c r="P10">
        <v>138</v>
      </c>
      <c r="Q10">
        <v>137</v>
      </c>
      <c r="R10">
        <v>137</v>
      </c>
      <c r="S10">
        <v>136</v>
      </c>
      <c r="T10">
        <v>136</v>
      </c>
      <c r="U10">
        <v>136</v>
      </c>
      <c r="V10">
        <v>135</v>
      </c>
      <c r="W10">
        <v>136</v>
      </c>
      <c r="X10">
        <v>137</v>
      </c>
      <c r="Y10">
        <v>138</v>
      </c>
      <c r="Z10" s="2">
        <f>AVERAGE(Sheet1__11[[#This Row],[00:00:00]:[23:00:00]])</f>
        <v>136.54166666666666</v>
      </c>
      <c r="AA10" t="str" cm="1">
        <f t="array" ref="AA10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1" spans="1:27" x14ac:dyDescent="0.3">
      <c r="A11" s="1">
        <v>45971</v>
      </c>
      <c r="B11">
        <v>140</v>
      </c>
      <c r="C11">
        <v>142</v>
      </c>
      <c r="D11">
        <v>142</v>
      </c>
      <c r="E11">
        <v>143</v>
      </c>
      <c r="F11">
        <v>142</v>
      </c>
      <c r="G11">
        <v>142</v>
      </c>
      <c r="H11">
        <v>142</v>
      </c>
      <c r="I11">
        <v>141</v>
      </c>
      <c r="J11">
        <v>140</v>
      </c>
      <c r="K11">
        <v>139</v>
      </c>
      <c r="L11">
        <v>139</v>
      </c>
      <c r="M11">
        <v>138</v>
      </c>
      <c r="N11">
        <v>138</v>
      </c>
      <c r="O11">
        <v>138</v>
      </c>
      <c r="P11">
        <v>138</v>
      </c>
      <c r="Q11">
        <v>138</v>
      </c>
      <c r="R11">
        <v>138</v>
      </c>
      <c r="S11">
        <v>138</v>
      </c>
      <c r="T11">
        <v>137</v>
      </c>
      <c r="U11">
        <v>137</v>
      </c>
      <c r="V11">
        <v>136</v>
      </c>
      <c r="W11">
        <v>133</v>
      </c>
      <c r="X11">
        <v>132</v>
      </c>
      <c r="Y11">
        <v>130</v>
      </c>
      <c r="Z11" s="2">
        <f>AVERAGE(Sheet1__11[[#This Row],[00:00:00]:[23:00:00]])</f>
        <v>138.45833333333334</v>
      </c>
      <c r="AA11" t="str" cm="1">
        <f t="array" ref="AA11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2" spans="1:27" x14ac:dyDescent="0.3">
      <c r="A12" s="1">
        <v>45972</v>
      </c>
      <c r="B12">
        <v>129</v>
      </c>
      <c r="C12">
        <v>128</v>
      </c>
      <c r="D12">
        <v>130</v>
      </c>
      <c r="E12">
        <v>131</v>
      </c>
      <c r="F12">
        <v>132</v>
      </c>
      <c r="G12">
        <v>132</v>
      </c>
      <c r="H12">
        <v>132</v>
      </c>
      <c r="I12">
        <v>132</v>
      </c>
      <c r="J12">
        <v>132</v>
      </c>
      <c r="K12">
        <v>132</v>
      </c>
      <c r="L12">
        <v>131</v>
      </c>
      <c r="M12">
        <v>131</v>
      </c>
      <c r="N12">
        <v>131</v>
      </c>
      <c r="O12">
        <v>130</v>
      </c>
      <c r="P12">
        <v>131</v>
      </c>
      <c r="Q12">
        <v>132</v>
      </c>
      <c r="R12">
        <v>132</v>
      </c>
      <c r="S12">
        <v>134</v>
      </c>
      <c r="T12">
        <v>135</v>
      </c>
      <c r="U12">
        <v>136</v>
      </c>
      <c r="V12">
        <v>138</v>
      </c>
      <c r="W12">
        <v>138</v>
      </c>
      <c r="X12">
        <v>138</v>
      </c>
      <c r="Y12">
        <v>140</v>
      </c>
      <c r="Z12" s="2">
        <f>AVERAGE(Sheet1__11[[#This Row],[00:00:00]:[23:00:00]])</f>
        <v>132.79166666666666</v>
      </c>
      <c r="AA12" t="str" cm="1">
        <f t="array" ref="AA12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3" spans="1:27" x14ac:dyDescent="0.3">
      <c r="A13" s="1">
        <v>45973</v>
      </c>
      <c r="B13">
        <v>141</v>
      </c>
      <c r="C13">
        <v>142</v>
      </c>
      <c r="D13">
        <v>142</v>
      </c>
      <c r="E13">
        <v>142</v>
      </c>
      <c r="F13">
        <v>142</v>
      </c>
      <c r="G13">
        <v>142</v>
      </c>
      <c r="H13">
        <v>142</v>
      </c>
      <c r="I13">
        <v>143</v>
      </c>
      <c r="J13">
        <v>143</v>
      </c>
      <c r="K13">
        <v>144</v>
      </c>
      <c r="L13">
        <v>144</v>
      </c>
      <c r="M13">
        <v>144</v>
      </c>
      <c r="N13">
        <v>146</v>
      </c>
      <c r="O13">
        <v>147</v>
      </c>
      <c r="P13">
        <v>147</v>
      </c>
      <c r="Q13">
        <v>148</v>
      </c>
      <c r="R13">
        <v>148</v>
      </c>
      <c r="S13">
        <v>148</v>
      </c>
      <c r="T13">
        <v>149</v>
      </c>
      <c r="U13">
        <v>150</v>
      </c>
      <c r="V13">
        <v>152</v>
      </c>
      <c r="W13">
        <v>154</v>
      </c>
      <c r="X13">
        <v>155</v>
      </c>
      <c r="Y13">
        <v>155</v>
      </c>
      <c r="Z13" s="2">
        <f>AVERAGE(Sheet1__11[[#This Row],[00:00:00]:[23:00:00]])</f>
        <v>146.25</v>
      </c>
      <c r="AA13" t="str" cm="1">
        <f t="array" ref="AA13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4" spans="1:27" x14ac:dyDescent="0.3">
      <c r="A14" s="1">
        <v>45974</v>
      </c>
      <c r="B14">
        <v>156</v>
      </c>
      <c r="C14">
        <v>158</v>
      </c>
      <c r="D14">
        <v>158</v>
      </c>
      <c r="E14">
        <v>160</v>
      </c>
      <c r="F14">
        <v>162</v>
      </c>
      <c r="G14">
        <v>163</v>
      </c>
      <c r="H14">
        <v>164</v>
      </c>
      <c r="I14">
        <v>164</v>
      </c>
      <c r="J14">
        <v>167</v>
      </c>
      <c r="K14">
        <v>167</v>
      </c>
      <c r="L14">
        <v>168</v>
      </c>
      <c r="M14">
        <v>170</v>
      </c>
      <c r="N14">
        <v>171</v>
      </c>
      <c r="O14">
        <v>172</v>
      </c>
      <c r="P14">
        <v>173</v>
      </c>
      <c r="Q14">
        <v>174</v>
      </c>
      <c r="R14">
        <v>173</v>
      </c>
      <c r="S14">
        <v>174</v>
      </c>
      <c r="T14">
        <v>174</v>
      </c>
      <c r="U14">
        <v>175</v>
      </c>
      <c r="V14">
        <v>175</v>
      </c>
      <c r="W14">
        <v>178</v>
      </c>
      <c r="X14">
        <v>178</v>
      </c>
      <c r="Y14">
        <v>180</v>
      </c>
      <c r="Z14" s="2">
        <f>AVERAGE(Sheet1__11[[#This Row],[00:00:00]:[23:00:00]])</f>
        <v>168.91666666666666</v>
      </c>
      <c r="AA14" t="str" cm="1">
        <f t="array" ref="AA14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15" spans="1:27" x14ac:dyDescent="0.3">
      <c r="A15" s="1">
        <v>45975</v>
      </c>
      <c r="B15">
        <v>182</v>
      </c>
      <c r="C15">
        <v>183</v>
      </c>
      <c r="D15">
        <v>183</v>
      </c>
      <c r="E15">
        <v>182</v>
      </c>
      <c r="F15">
        <v>183</v>
      </c>
      <c r="G15">
        <v>184</v>
      </c>
      <c r="H15">
        <v>184</v>
      </c>
      <c r="I15">
        <v>184</v>
      </c>
      <c r="J15">
        <v>184</v>
      </c>
      <c r="K15">
        <v>185</v>
      </c>
      <c r="L15">
        <v>186</v>
      </c>
      <c r="M15">
        <v>186</v>
      </c>
      <c r="N15">
        <v>186</v>
      </c>
      <c r="O15">
        <v>185</v>
      </c>
      <c r="P15">
        <v>185</v>
      </c>
      <c r="Q15">
        <v>185</v>
      </c>
      <c r="R15">
        <v>185</v>
      </c>
      <c r="S15">
        <v>185</v>
      </c>
      <c r="T15">
        <v>184</v>
      </c>
      <c r="U15">
        <v>183</v>
      </c>
      <c r="V15">
        <v>181</v>
      </c>
      <c r="W15">
        <v>180</v>
      </c>
      <c r="X15">
        <v>180</v>
      </c>
      <c r="Y15">
        <v>180</v>
      </c>
      <c r="Z15" s="2">
        <f>AVERAGE(Sheet1__11[[#This Row],[00:00:00]:[23:00:00]])</f>
        <v>183.54166666666666</v>
      </c>
      <c r="AA15" t="str" cm="1">
        <f t="array" ref="AA15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16" spans="1:27" x14ac:dyDescent="0.3">
      <c r="A16" s="1">
        <v>45976</v>
      </c>
      <c r="B16">
        <v>180</v>
      </c>
      <c r="C16">
        <v>181</v>
      </c>
      <c r="D16">
        <v>181</v>
      </c>
      <c r="E16">
        <v>182</v>
      </c>
      <c r="F16">
        <v>182</v>
      </c>
      <c r="G16">
        <v>182</v>
      </c>
      <c r="H16">
        <v>179</v>
      </c>
      <c r="I16">
        <v>178</v>
      </c>
      <c r="J16">
        <v>175</v>
      </c>
      <c r="K16">
        <v>173</v>
      </c>
      <c r="L16">
        <v>173</v>
      </c>
      <c r="M16">
        <v>170</v>
      </c>
      <c r="N16">
        <v>170</v>
      </c>
      <c r="O16">
        <v>169</v>
      </c>
      <c r="P16">
        <v>168</v>
      </c>
      <c r="Q16">
        <v>166</v>
      </c>
      <c r="R16">
        <v>166</v>
      </c>
      <c r="S16">
        <v>164</v>
      </c>
      <c r="T16">
        <v>164</v>
      </c>
      <c r="U16">
        <v>164</v>
      </c>
      <c r="V16">
        <v>164</v>
      </c>
      <c r="W16">
        <v>164</v>
      </c>
      <c r="X16">
        <v>164</v>
      </c>
      <c r="Y16">
        <v>164</v>
      </c>
      <c r="Z16" s="2">
        <f>AVERAGE(Sheet1__11[[#This Row],[00:00:00]:[23:00:00]])</f>
        <v>171.79166666666666</v>
      </c>
      <c r="AA16" t="str" cm="1">
        <f t="array" ref="AA16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17" spans="1:27" x14ac:dyDescent="0.3">
      <c r="A17" s="1">
        <v>45977</v>
      </c>
      <c r="B17">
        <v>163</v>
      </c>
      <c r="C17">
        <v>162</v>
      </c>
      <c r="D17">
        <v>160</v>
      </c>
      <c r="E17">
        <v>159</v>
      </c>
      <c r="F17">
        <v>158</v>
      </c>
      <c r="G17">
        <v>158</v>
      </c>
      <c r="H17">
        <v>159</v>
      </c>
      <c r="I17">
        <v>160</v>
      </c>
      <c r="J17">
        <v>160</v>
      </c>
      <c r="K17">
        <v>161</v>
      </c>
      <c r="L17">
        <v>162</v>
      </c>
      <c r="M17">
        <v>162</v>
      </c>
      <c r="N17">
        <v>163</v>
      </c>
      <c r="O17">
        <v>163</v>
      </c>
      <c r="P17">
        <v>163</v>
      </c>
      <c r="Q17">
        <v>164</v>
      </c>
      <c r="R17">
        <v>165</v>
      </c>
      <c r="S17">
        <v>165</v>
      </c>
      <c r="T17">
        <v>165</v>
      </c>
      <c r="U17">
        <v>165</v>
      </c>
      <c r="V17">
        <v>165</v>
      </c>
      <c r="W17">
        <v>165</v>
      </c>
      <c r="X17">
        <v>164</v>
      </c>
      <c r="Y17">
        <v>163</v>
      </c>
      <c r="Z17" s="2">
        <f>AVERAGE(Sheet1__11[[#This Row],[00:00:00]:[23:00:00]])</f>
        <v>162.25</v>
      </c>
      <c r="AA17" t="str" cm="1">
        <f t="array" ref="AA17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18" spans="1:27" x14ac:dyDescent="0.3">
      <c r="A18" s="1">
        <v>45978</v>
      </c>
      <c r="B18">
        <v>164</v>
      </c>
      <c r="C18">
        <v>164</v>
      </c>
      <c r="D18">
        <v>166</v>
      </c>
      <c r="E18">
        <v>167</v>
      </c>
      <c r="F18">
        <v>169</v>
      </c>
      <c r="G18">
        <v>170</v>
      </c>
      <c r="H18">
        <v>172</v>
      </c>
      <c r="I18">
        <v>173</v>
      </c>
      <c r="J18">
        <v>174</v>
      </c>
      <c r="K18">
        <v>174</v>
      </c>
      <c r="L18">
        <v>175</v>
      </c>
      <c r="M18">
        <v>176</v>
      </c>
      <c r="N18">
        <v>177</v>
      </c>
      <c r="O18">
        <v>178</v>
      </c>
      <c r="P18">
        <v>180</v>
      </c>
      <c r="Q18">
        <v>181</v>
      </c>
      <c r="R18">
        <v>182</v>
      </c>
      <c r="S18">
        <v>182</v>
      </c>
      <c r="T18">
        <v>182</v>
      </c>
      <c r="U18">
        <v>182</v>
      </c>
      <c r="V18">
        <v>181</v>
      </c>
      <c r="W18">
        <v>180</v>
      </c>
      <c r="X18">
        <v>178</v>
      </c>
      <c r="Y18">
        <v>178</v>
      </c>
      <c r="Z18" s="2">
        <f>AVERAGE(Sheet1__11[[#This Row],[00:00:00]:[23:00:00]])</f>
        <v>175.20833333333334</v>
      </c>
      <c r="AA18" t="str" cm="1">
        <f t="array" ref="AA18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19" spans="1:27" x14ac:dyDescent="0.3">
      <c r="A19" s="1">
        <v>45979</v>
      </c>
      <c r="B19">
        <v>176</v>
      </c>
      <c r="C19">
        <v>176</v>
      </c>
      <c r="D19">
        <v>176</v>
      </c>
      <c r="E19">
        <v>174</v>
      </c>
      <c r="F19">
        <v>173</v>
      </c>
      <c r="G19">
        <v>173</v>
      </c>
      <c r="H19">
        <v>172</v>
      </c>
      <c r="I19">
        <v>173</v>
      </c>
      <c r="J19">
        <v>174</v>
      </c>
      <c r="K19">
        <v>174</v>
      </c>
      <c r="L19">
        <v>176</v>
      </c>
      <c r="M19">
        <v>176</v>
      </c>
      <c r="N19">
        <v>177</v>
      </c>
      <c r="O19">
        <v>178</v>
      </c>
      <c r="P19">
        <v>178</v>
      </c>
      <c r="Q19">
        <v>176</v>
      </c>
      <c r="R19">
        <v>177</v>
      </c>
      <c r="S19">
        <v>176</v>
      </c>
      <c r="T19">
        <v>176</v>
      </c>
      <c r="U19">
        <v>177</v>
      </c>
      <c r="V19">
        <v>178</v>
      </c>
      <c r="W19">
        <v>179</v>
      </c>
      <c r="X19">
        <v>182</v>
      </c>
      <c r="Y19">
        <v>182</v>
      </c>
      <c r="Z19" s="2">
        <f>AVERAGE(Sheet1__11[[#This Row],[00:00:00]:[23:00:00]])</f>
        <v>176.20833333333334</v>
      </c>
      <c r="AA19" t="str" cm="1">
        <f t="array" ref="AA19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20" spans="1:27" x14ac:dyDescent="0.3">
      <c r="A20" s="1">
        <v>45980</v>
      </c>
      <c r="B20">
        <v>185</v>
      </c>
      <c r="C20">
        <v>185</v>
      </c>
      <c r="D20">
        <v>190</v>
      </c>
      <c r="E20">
        <v>192</v>
      </c>
      <c r="F20">
        <v>193</v>
      </c>
      <c r="G20">
        <v>194</v>
      </c>
      <c r="H20">
        <v>194</v>
      </c>
      <c r="I20">
        <v>192</v>
      </c>
      <c r="J20">
        <v>192</v>
      </c>
      <c r="K20">
        <v>191</v>
      </c>
      <c r="L20">
        <v>191</v>
      </c>
      <c r="M20">
        <v>192</v>
      </c>
      <c r="N20">
        <v>193</v>
      </c>
      <c r="O20">
        <v>194</v>
      </c>
      <c r="P20">
        <v>196</v>
      </c>
      <c r="Q20">
        <v>200</v>
      </c>
      <c r="R20">
        <v>203</v>
      </c>
      <c r="S20">
        <v>208</v>
      </c>
      <c r="T20">
        <v>211</v>
      </c>
      <c r="U20">
        <v>214</v>
      </c>
      <c r="V20">
        <v>217</v>
      </c>
      <c r="W20">
        <v>218</v>
      </c>
      <c r="X20">
        <v>219</v>
      </c>
      <c r="Y20">
        <v>219</v>
      </c>
      <c r="Z20" s="2">
        <f>AVERAGE(Sheet1__11[[#This Row],[00:00:00]:[23:00:00]])</f>
        <v>199.29166666666666</v>
      </c>
      <c r="AA20" t="str" cm="1">
        <f t="array" ref="AA20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21" spans="1:27" x14ac:dyDescent="0.3">
      <c r="A21" s="1">
        <v>45981</v>
      </c>
      <c r="B21">
        <v>220</v>
      </c>
      <c r="C21">
        <v>222</v>
      </c>
      <c r="D21">
        <v>222</v>
      </c>
      <c r="E21">
        <v>224</v>
      </c>
      <c r="F21">
        <v>225</v>
      </c>
      <c r="G21">
        <v>225</v>
      </c>
      <c r="I21">
        <v>226</v>
      </c>
      <c r="J21">
        <v>226</v>
      </c>
      <c r="K21">
        <v>226</v>
      </c>
      <c r="L21">
        <v>227</v>
      </c>
      <c r="M21">
        <v>228</v>
      </c>
      <c r="N21">
        <v>229</v>
      </c>
      <c r="O21">
        <v>229</v>
      </c>
      <c r="P21">
        <v>229</v>
      </c>
      <c r="Q21">
        <v>228</v>
      </c>
      <c r="R21">
        <v>228</v>
      </c>
      <c r="S21">
        <v>227</v>
      </c>
      <c r="T21">
        <v>227</v>
      </c>
      <c r="U21">
        <v>226</v>
      </c>
      <c r="V21">
        <v>228</v>
      </c>
      <c r="W21">
        <v>231</v>
      </c>
      <c r="X21">
        <v>232</v>
      </c>
      <c r="Y21">
        <v>234</v>
      </c>
      <c r="Z21" s="2">
        <f>AVERAGE(Sheet1__11[[#This Row],[00:00:00]:[23:00:00]])</f>
        <v>226.91304347826087</v>
      </c>
      <c r="AA21" t="str" cm="1">
        <f t="array" ref="AA21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HAZARDOUS</v>
      </c>
    </row>
    <row r="22" spans="1:27" x14ac:dyDescent="0.3">
      <c r="A22" s="1">
        <v>45982</v>
      </c>
      <c r="B22">
        <v>234</v>
      </c>
      <c r="C22">
        <v>236</v>
      </c>
      <c r="D22">
        <v>237</v>
      </c>
      <c r="E22">
        <v>239</v>
      </c>
      <c r="F22">
        <v>242</v>
      </c>
      <c r="G22">
        <v>246</v>
      </c>
      <c r="H22">
        <v>248</v>
      </c>
      <c r="I22">
        <v>248</v>
      </c>
      <c r="J22">
        <v>248</v>
      </c>
      <c r="K22">
        <v>247</v>
      </c>
      <c r="L22">
        <v>246</v>
      </c>
      <c r="M22">
        <v>245</v>
      </c>
      <c r="N22">
        <v>244</v>
      </c>
      <c r="O22">
        <v>244</v>
      </c>
      <c r="P22">
        <v>239</v>
      </c>
      <c r="Q22">
        <v>238</v>
      </c>
      <c r="R22">
        <v>235</v>
      </c>
      <c r="S22">
        <v>228</v>
      </c>
      <c r="T22">
        <v>224</v>
      </c>
      <c r="U22">
        <v>219</v>
      </c>
      <c r="V22">
        <v>213</v>
      </c>
      <c r="W22">
        <v>209</v>
      </c>
      <c r="X22">
        <v>208</v>
      </c>
      <c r="Y22">
        <v>202</v>
      </c>
      <c r="Z22" s="2">
        <f>AVERAGE(Sheet1__11[[#This Row],[00:00:00]:[23:00:00]])</f>
        <v>234.125</v>
      </c>
      <c r="AA22" t="str" cm="1">
        <f t="array" ref="AA22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HAZARDOUS</v>
      </c>
    </row>
    <row r="23" spans="1:27" x14ac:dyDescent="0.3">
      <c r="A23" s="1">
        <v>45983</v>
      </c>
      <c r="B23">
        <v>200</v>
      </c>
      <c r="C23">
        <v>196</v>
      </c>
      <c r="D23">
        <v>192</v>
      </c>
      <c r="E23">
        <v>191</v>
      </c>
      <c r="F23">
        <v>181</v>
      </c>
      <c r="G23">
        <v>174</v>
      </c>
      <c r="H23">
        <v>171</v>
      </c>
      <c r="I23">
        <v>171</v>
      </c>
      <c r="J23">
        <v>167</v>
      </c>
      <c r="K23">
        <v>167</v>
      </c>
      <c r="L23">
        <v>164</v>
      </c>
      <c r="M23">
        <v>162</v>
      </c>
      <c r="N23">
        <v>158</v>
      </c>
      <c r="O23">
        <v>154</v>
      </c>
      <c r="P23">
        <v>151</v>
      </c>
      <c r="Q23">
        <v>149</v>
      </c>
      <c r="R23">
        <v>149</v>
      </c>
      <c r="S23">
        <v>146</v>
      </c>
      <c r="T23">
        <v>146</v>
      </c>
      <c r="U23">
        <v>146</v>
      </c>
      <c r="V23">
        <v>146</v>
      </c>
      <c r="W23">
        <v>144</v>
      </c>
      <c r="X23">
        <v>143</v>
      </c>
      <c r="Y23">
        <v>142</v>
      </c>
      <c r="Z23" s="2">
        <f>AVERAGE(Sheet1__11[[#This Row],[00:00:00]:[23:00:00]])</f>
        <v>162.91666666666666</v>
      </c>
      <c r="AA23" t="str" cm="1">
        <f t="array" ref="AA23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24" spans="1:27" x14ac:dyDescent="0.3">
      <c r="A24" s="1">
        <v>45984</v>
      </c>
      <c r="B24">
        <v>139</v>
      </c>
      <c r="C24">
        <v>138</v>
      </c>
      <c r="D24">
        <v>137</v>
      </c>
      <c r="E24">
        <v>137</v>
      </c>
      <c r="F24">
        <v>138</v>
      </c>
      <c r="G24">
        <v>139</v>
      </c>
      <c r="H24">
        <v>139</v>
      </c>
      <c r="I24">
        <v>142</v>
      </c>
      <c r="J24">
        <v>143</v>
      </c>
      <c r="K24">
        <v>143</v>
      </c>
      <c r="L24">
        <v>144</v>
      </c>
      <c r="M24">
        <v>144</v>
      </c>
      <c r="N24">
        <v>146</v>
      </c>
      <c r="O24">
        <v>147</v>
      </c>
      <c r="P24">
        <v>148</v>
      </c>
      <c r="Q24">
        <v>149</v>
      </c>
      <c r="R24">
        <v>150</v>
      </c>
      <c r="S24">
        <v>151</v>
      </c>
      <c r="T24">
        <v>152</v>
      </c>
      <c r="U24">
        <v>154</v>
      </c>
      <c r="V24">
        <v>156</v>
      </c>
      <c r="W24">
        <v>158</v>
      </c>
      <c r="X24">
        <v>161</v>
      </c>
      <c r="Y24">
        <v>162</v>
      </c>
      <c r="Z24" s="2">
        <f>AVERAGE(Sheet1__11[[#This Row],[00:00:00]:[23:00:00]])</f>
        <v>146.54166666666666</v>
      </c>
      <c r="AA24" t="str" cm="1">
        <f t="array" ref="AA24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25" spans="1:27" x14ac:dyDescent="0.3">
      <c r="A25" s="1">
        <v>45985</v>
      </c>
      <c r="B25">
        <v>164</v>
      </c>
      <c r="C25">
        <v>165</v>
      </c>
      <c r="D25">
        <v>167</v>
      </c>
      <c r="E25">
        <v>169</v>
      </c>
      <c r="F25">
        <v>170</v>
      </c>
      <c r="G25">
        <v>171</v>
      </c>
      <c r="H25">
        <v>171</v>
      </c>
      <c r="I25">
        <v>171</v>
      </c>
      <c r="J25">
        <v>171</v>
      </c>
      <c r="K25">
        <v>170</v>
      </c>
      <c r="L25">
        <v>170</v>
      </c>
      <c r="M25">
        <v>170</v>
      </c>
      <c r="N25">
        <v>170</v>
      </c>
      <c r="O25">
        <v>170</v>
      </c>
      <c r="P25">
        <v>171</v>
      </c>
      <c r="Q25">
        <v>172</v>
      </c>
      <c r="R25">
        <v>172</v>
      </c>
      <c r="S25">
        <v>172</v>
      </c>
      <c r="T25">
        <v>172</v>
      </c>
      <c r="U25">
        <v>173</v>
      </c>
      <c r="V25">
        <v>174</v>
      </c>
      <c r="W25">
        <v>175</v>
      </c>
      <c r="X25">
        <v>176</v>
      </c>
      <c r="Y25">
        <v>176</v>
      </c>
      <c r="Z25" s="2">
        <f>AVERAGE(Sheet1__11[[#This Row],[00:00:00]:[23:00:00]])</f>
        <v>170.91666666666666</v>
      </c>
      <c r="AA25" t="str" cm="1">
        <f t="array" ref="AA25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26" spans="1:27" x14ac:dyDescent="0.3">
      <c r="A26" s="1">
        <v>45986</v>
      </c>
      <c r="B26">
        <v>176</v>
      </c>
      <c r="C26">
        <v>176</v>
      </c>
      <c r="D26">
        <v>176</v>
      </c>
      <c r="E26">
        <v>176</v>
      </c>
      <c r="F26">
        <v>174</v>
      </c>
      <c r="G26">
        <v>174</v>
      </c>
      <c r="H26">
        <v>176</v>
      </c>
      <c r="I26">
        <v>178</v>
      </c>
      <c r="J26">
        <v>196</v>
      </c>
      <c r="K26">
        <v>197</v>
      </c>
      <c r="L26">
        <v>199</v>
      </c>
      <c r="M26">
        <v>202</v>
      </c>
      <c r="N26">
        <v>205</v>
      </c>
      <c r="O26">
        <v>205</v>
      </c>
      <c r="P26">
        <v>209</v>
      </c>
      <c r="Q26">
        <v>210</v>
      </c>
      <c r="R26">
        <v>211</v>
      </c>
      <c r="S26">
        <v>213</v>
      </c>
      <c r="T26">
        <v>215</v>
      </c>
      <c r="U26">
        <v>217</v>
      </c>
      <c r="V26">
        <v>219</v>
      </c>
      <c r="W26">
        <v>221</v>
      </c>
      <c r="X26">
        <v>222</v>
      </c>
      <c r="Y26">
        <v>223</v>
      </c>
      <c r="Z26" s="2">
        <f>AVERAGE(Sheet1__11[[#This Row],[00:00:00]:[23:00:00]])</f>
        <v>198.75</v>
      </c>
      <c r="AA26" t="str" cm="1">
        <f t="array" ref="AA26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27" spans="1:27" x14ac:dyDescent="0.3">
      <c r="A27" s="1">
        <v>45987</v>
      </c>
      <c r="B27">
        <v>225</v>
      </c>
      <c r="C27">
        <v>227</v>
      </c>
      <c r="D27">
        <v>227</v>
      </c>
      <c r="E27">
        <v>230</v>
      </c>
      <c r="F27">
        <v>232</v>
      </c>
      <c r="G27">
        <v>235</v>
      </c>
      <c r="H27">
        <v>236</v>
      </c>
      <c r="I27">
        <v>236</v>
      </c>
      <c r="J27">
        <v>237</v>
      </c>
      <c r="K27">
        <v>232</v>
      </c>
      <c r="L27">
        <v>232</v>
      </c>
      <c r="M27">
        <v>230</v>
      </c>
      <c r="N27">
        <v>228</v>
      </c>
      <c r="O27">
        <v>226</v>
      </c>
      <c r="P27">
        <v>226</v>
      </c>
      <c r="Q27">
        <v>226</v>
      </c>
      <c r="R27">
        <v>226</v>
      </c>
      <c r="S27">
        <v>226</v>
      </c>
      <c r="T27">
        <v>225</v>
      </c>
      <c r="U27">
        <v>225</v>
      </c>
      <c r="V27">
        <v>224</v>
      </c>
      <c r="W27">
        <v>223</v>
      </c>
      <c r="X27">
        <v>222</v>
      </c>
      <c r="Y27">
        <v>218</v>
      </c>
      <c r="Z27" s="2">
        <f>AVERAGE(Sheet1__11[[#This Row],[00:00:00]:[23:00:00]])</f>
        <v>228.08333333333334</v>
      </c>
      <c r="AA27" t="str" cm="1">
        <f t="array" ref="AA27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HAZARDOUS</v>
      </c>
    </row>
    <row r="28" spans="1:27" x14ac:dyDescent="0.3">
      <c r="A28" s="1">
        <v>45988</v>
      </c>
      <c r="C28">
        <v>213</v>
      </c>
      <c r="D28">
        <v>211</v>
      </c>
      <c r="E28">
        <v>209</v>
      </c>
      <c r="F28">
        <v>207</v>
      </c>
      <c r="G28">
        <v>205</v>
      </c>
      <c r="H28">
        <v>203</v>
      </c>
      <c r="I28">
        <v>202</v>
      </c>
      <c r="J28">
        <v>200</v>
      </c>
      <c r="K28">
        <v>199</v>
      </c>
      <c r="L28">
        <v>198</v>
      </c>
      <c r="M28">
        <v>198</v>
      </c>
      <c r="N28">
        <v>198</v>
      </c>
      <c r="O28">
        <v>198</v>
      </c>
      <c r="P28">
        <v>198</v>
      </c>
      <c r="Q28">
        <v>197</v>
      </c>
      <c r="R28">
        <v>196</v>
      </c>
      <c r="S28">
        <v>194</v>
      </c>
      <c r="T28">
        <v>193</v>
      </c>
      <c r="U28">
        <v>192</v>
      </c>
      <c r="V28">
        <v>191</v>
      </c>
      <c r="W28">
        <v>189</v>
      </c>
      <c r="X28">
        <v>188</v>
      </c>
      <c r="Y28">
        <v>185</v>
      </c>
      <c r="Z28" s="2">
        <f>AVERAGE(Sheet1__11[[#This Row],[00:00:00]:[23:00:00]])</f>
        <v>198.43478260869566</v>
      </c>
      <c r="AA28" t="str" cm="1">
        <f t="array" ref="AA28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29" spans="1:27" x14ac:dyDescent="0.3">
      <c r="A29" s="1">
        <v>45989</v>
      </c>
      <c r="B29">
        <v>181</v>
      </c>
      <c r="C29">
        <v>180</v>
      </c>
      <c r="D29">
        <v>170</v>
      </c>
      <c r="E29">
        <v>164</v>
      </c>
      <c r="F29">
        <v>157</v>
      </c>
      <c r="G29">
        <v>151</v>
      </c>
      <c r="H29">
        <v>145</v>
      </c>
      <c r="I29">
        <v>140</v>
      </c>
      <c r="J29">
        <v>135</v>
      </c>
      <c r="K29">
        <v>131</v>
      </c>
      <c r="L29">
        <v>130</v>
      </c>
      <c r="M29">
        <v>122</v>
      </c>
      <c r="N29">
        <v>117</v>
      </c>
      <c r="O29">
        <v>113</v>
      </c>
      <c r="P29">
        <v>110</v>
      </c>
      <c r="Q29">
        <v>107</v>
      </c>
      <c r="R29">
        <v>105</v>
      </c>
      <c r="S29">
        <v>104</v>
      </c>
      <c r="T29">
        <v>102</v>
      </c>
      <c r="U29">
        <v>100</v>
      </c>
      <c r="V29">
        <v>99</v>
      </c>
      <c r="W29">
        <v>98</v>
      </c>
      <c r="X29">
        <v>98</v>
      </c>
      <c r="Y29">
        <v>97</v>
      </c>
      <c r="Z29" s="2">
        <f>AVERAGE(Sheet1__11[[#This Row],[00:00:00]:[23:00:00]])</f>
        <v>127.33333333333333</v>
      </c>
      <c r="AA29" t="str" cm="1">
        <f t="array" ref="AA29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30" spans="1:27" x14ac:dyDescent="0.3">
      <c r="A30" s="1">
        <v>45990</v>
      </c>
      <c r="B30">
        <v>97</v>
      </c>
      <c r="C30">
        <v>97</v>
      </c>
      <c r="D30">
        <v>97</v>
      </c>
      <c r="E30">
        <v>98</v>
      </c>
      <c r="F30">
        <v>98</v>
      </c>
      <c r="G30">
        <v>100</v>
      </c>
      <c r="H30">
        <v>100</v>
      </c>
      <c r="I30">
        <v>102</v>
      </c>
      <c r="J30">
        <v>104</v>
      </c>
      <c r="K30">
        <v>105</v>
      </c>
      <c r="L30">
        <v>107</v>
      </c>
      <c r="M30">
        <v>108</v>
      </c>
      <c r="N30">
        <v>110</v>
      </c>
      <c r="O30">
        <v>111</v>
      </c>
      <c r="P30">
        <v>112</v>
      </c>
      <c r="Q30">
        <v>113</v>
      </c>
      <c r="R30">
        <v>113</v>
      </c>
      <c r="S30">
        <v>113</v>
      </c>
      <c r="T30">
        <v>112</v>
      </c>
      <c r="U30">
        <v>112</v>
      </c>
      <c r="V30">
        <v>112</v>
      </c>
      <c r="W30">
        <v>112</v>
      </c>
      <c r="X30">
        <v>114</v>
      </c>
      <c r="Y30">
        <v>117</v>
      </c>
      <c r="Z30" s="2">
        <f>AVERAGE(Sheet1__11[[#This Row],[00:00:00]:[23:00:00]])</f>
        <v>106.83333333333333</v>
      </c>
      <c r="AA30" t="str" cm="1">
        <f t="array" ref="AA30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31" spans="1:27" x14ac:dyDescent="0.3">
      <c r="A31" s="1">
        <v>45991</v>
      </c>
      <c r="B31">
        <v>119</v>
      </c>
      <c r="C31">
        <v>122</v>
      </c>
      <c r="D31">
        <v>122</v>
      </c>
      <c r="E31">
        <v>124</v>
      </c>
      <c r="F31">
        <v>124</v>
      </c>
      <c r="G31">
        <v>133</v>
      </c>
      <c r="H31">
        <v>134</v>
      </c>
      <c r="I31">
        <v>135</v>
      </c>
      <c r="J31">
        <v>134</v>
      </c>
      <c r="K31">
        <v>135</v>
      </c>
      <c r="L31">
        <v>134</v>
      </c>
      <c r="M31">
        <v>134</v>
      </c>
      <c r="N31">
        <v>133</v>
      </c>
      <c r="O31">
        <v>133</v>
      </c>
      <c r="P31">
        <v>133</v>
      </c>
      <c r="Q31">
        <v>134</v>
      </c>
      <c r="R31">
        <v>134</v>
      </c>
      <c r="S31">
        <v>134</v>
      </c>
      <c r="T31">
        <v>134</v>
      </c>
      <c r="U31">
        <v>134</v>
      </c>
      <c r="V31">
        <v>133</v>
      </c>
      <c r="W31">
        <v>131</v>
      </c>
      <c r="X31">
        <v>129</v>
      </c>
      <c r="Y31">
        <v>128</v>
      </c>
      <c r="Z31" s="2">
        <f>AVERAGE(Sheet1__11[[#This Row],[00:00:00]:[23:00:00]])</f>
        <v>130.83333333333334</v>
      </c>
      <c r="AA31" t="str" cm="1">
        <f t="array" ref="AA31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32" spans="1:27" x14ac:dyDescent="0.3">
      <c r="Z32" s="2">
        <f>SUBTOTAL(101,Sheet1__11[AVERAGE AQI])</f>
        <v>144.53834541062801</v>
      </c>
      <c r="AA32" s="3"/>
    </row>
  </sheetData>
  <conditionalFormatting sqref="AA1:AA1048576">
    <cfRule type="containsText" dxfId="14" priority="4" operator="containsText" text="BAD">
      <formula>NOT(ISERROR(SEARCH("BAD",AA1)))</formula>
    </cfRule>
    <cfRule type="containsText" dxfId="15" priority="3" operator="containsText" text="MODERATE">
      <formula>NOT(ISERROR(SEARCH("MODERATE",AA1)))</formula>
    </cfRule>
    <cfRule type="containsText" dxfId="16" priority="2" operator="containsText" text="VERY BAD">
      <formula>NOT(ISERROR(SEARCH("VERY BAD",AA1)))</formula>
    </cfRule>
    <cfRule type="containsText" dxfId="17" priority="1" operator="containsText" text="HAZARDOUS">
      <formula>NOT(ISERROR(SEARCH("HAZARDOUS",AA1)))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E4CBB-762E-462F-B52C-CCAE9985DD09}">
  <dimension ref="A1:AA33"/>
  <sheetViews>
    <sheetView tabSelected="1" workbookViewId="0">
      <selection activeCell="AC14" sqref="AC14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6.21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45992</v>
      </c>
      <c r="B2">
        <v>126</v>
      </c>
      <c r="C2">
        <v>124</v>
      </c>
      <c r="D2">
        <v>122</v>
      </c>
      <c r="E2">
        <v>121</v>
      </c>
      <c r="F2">
        <v>120</v>
      </c>
      <c r="G2">
        <v>119</v>
      </c>
      <c r="H2">
        <v>117</v>
      </c>
      <c r="I2">
        <v>116</v>
      </c>
      <c r="J2">
        <v>114</v>
      </c>
      <c r="K2">
        <v>113</v>
      </c>
      <c r="L2">
        <v>112</v>
      </c>
      <c r="M2">
        <v>112</v>
      </c>
      <c r="N2">
        <v>113</v>
      </c>
      <c r="O2">
        <v>114</v>
      </c>
      <c r="P2">
        <v>116</v>
      </c>
      <c r="Q2">
        <v>117</v>
      </c>
      <c r="R2">
        <v>119</v>
      </c>
      <c r="S2">
        <v>121</v>
      </c>
      <c r="T2">
        <v>122</v>
      </c>
      <c r="U2">
        <v>124</v>
      </c>
      <c r="V2">
        <v>127</v>
      </c>
      <c r="W2">
        <v>131</v>
      </c>
      <c r="X2">
        <v>136</v>
      </c>
      <c r="Y2">
        <v>140</v>
      </c>
      <c r="Z2" s="2">
        <f>AVERAGE(Sheet1__12[[#This Row],[00:00:00]:[23:00:00]])</f>
        <v>120.66666666666667</v>
      </c>
      <c r="AA2" t="str" cm="1">
        <f t="array" ref="AA2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3" spans="1:27" x14ac:dyDescent="0.3">
      <c r="A3" s="1">
        <v>45993</v>
      </c>
      <c r="B3">
        <v>144</v>
      </c>
      <c r="C3">
        <v>148</v>
      </c>
      <c r="D3">
        <v>151</v>
      </c>
      <c r="E3">
        <v>153</v>
      </c>
      <c r="F3">
        <v>154</v>
      </c>
      <c r="G3">
        <v>155</v>
      </c>
      <c r="H3">
        <v>152</v>
      </c>
      <c r="I3">
        <v>152</v>
      </c>
      <c r="J3">
        <v>151</v>
      </c>
      <c r="K3">
        <v>151</v>
      </c>
      <c r="L3">
        <v>150</v>
      </c>
      <c r="M3">
        <v>150</v>
      </c>
      <c r="N3">
        <v>149</v>
      </c>
      <c r="O3">
        <v>147</v>
      </c>
      <c r="P3">
        <v>144</v>
      </c>
      <c r="Q3">
        <v>142</v>
      </c>
      <c r="R3">
        <v>140</v>
      </c>
      <c r="S3">
        <v>139</v>
      </c>
      <c r="T3">
        <v>137</v>
      </c>
      <c r="U3">
        <v>136</v>
      </c>
      <c r="V3">
        <v>135</v>
      </c>
      <c r="W3">
        <v>132</v>
      </c>
      <c r="X3">
        <v>130</v>
      </c>
      <c r="Y3">
        <v>128</v>
      </c>
      <c r="Z3" s="2">
        <f>AVERAGE(Sheet1__12[[#This Row],[00:00:00]:[23:00:00]])</f>
        <v>144.58333333333334</v>
      </c>
      <c r="AA3" t="str" cm="1">
        <f t="array" ref="AA3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4" spans="1:27" x14ac:dyDescent="0.3">
      <c r="A4" s="1">
        <v>45994</v>
      </c>
      <c r="B4">
        <v>126</v>
      </c>
      <c r="C4">
        <v>125</v>
      </c>
      <c r="D4">
        <v>124</v>
      </c>
      <c r="E4">
        <v>124</v>
      </c>
      <c r="F4">
        <v>124</v>
      </c>
      <c r="G4">
        <v>124</v>
      </c>
      <c r="H4">
        <v>125</v>
      </c>
      <c r="I4">
        <v>126</v>
      </c>
      <c r="J4">
        <v>126</v>
      </c>
      <c r="K4">
        <v>127</v>
      </c>
      <c r="L4">
        <v>128</v>
      </c>
      <c r="M4">
        <v>127</v>
      </c>
      <c r="N4">
        <v>127</v>
      </c>
      <c r="O4">
        <v>127</v>
      </c>
      <c r="P4">
        <v>127</v>
      </c>
      <c r="Q4">
        <v>127</v>
      </c>
      <c r="R4">
        <v>128</v>
      </c>
      <c r="S4">
        <v>128</v>
      </c>
      <c r="T4">
        <v>129</v>
      </c>
      <c r="U4">
        <v>130</v>
      </c>
      <c r="V4">
        <v>131</v>
      </c>
      <c r="W4">
        <v>133</v>
      </c>
      <c r="X4">
        <v>135</v>
      </c>
      <c r="Y4">
        <v>136</v>
      </c>
      <c r="Z4" s="2">
        <f>AVERAGE(Sheet1__12[[#This Row],[00:00:00]:[23:00:00]])</f>
        <v>127.66666666666667</v>
      </c>
      <c r="AA4" t="str" cm="1">
        <f t="array" ref="AA4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5" spans="1:27" x14ac:dyDescent="0.3">
      <c r="A5" s="1">
        <v>45995</v>
      </c>
      <c r="B5">
        <v>138</v>
      </c>
      <c r="C5">
        <v>140</v>
      </c>
      <c r="D5">
        <v>142</v>
      </c>
      <c r="E5">
        <v>142</v>
      </c>
      <c r="F5">
        <v>141</v>
      </c>
      <c r="G5">
        <v>140</v>
      </c>
      <c r="H5">
        <v>138</v>
      </c>
      <c r="J5">
        <v>187</v>
      </c>
      <c r="K5">
        <v>134</v>
      </c>
      <c r="L5">
        <v>144</v>
      </c>
      <c r="M5">
        <v>131</v>
      </c>
      <c r="N5">
        <v>130</v>
      </c>
      <c r="O5">
        <v>128</v>
      </c>
      <c r="P5">
        <v>127</v>
      </c>
      <c r="Q5">
        <v>126</v>
      </c>
      <c r="R5">
        <v>124</v>
      </c>
      <c r="S5">
        <v>122</v>
      </c>
      <c r="T5">
        <v>120</v>
      </c>
      <c r="U5">
        <v>118</v>
      </c>
      <c r="V5">
        <v>116</v>
      </c>
      <c r="W5">
        <v>112</v>
      </c>
      <c r="X5">
        <v>110</v>
      </c>
      <c r="Y5">
        <v>109</v>
      </c>
      <c r="Z5" s="2">
        <f>AVERAGE(Sheet1__12[[#This Row],[00:00:00]:[23:00:00]])</f>
        <v>131.2608695652174</v>
      </c>
      <c r="AA5" t="str" cm="1">
        <f t="array" ref="AA5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6" spans="1:27" x14ac:dyDescent="0.3">
      <c r="A6" s="1">
        <v>45996</v>
      </c>
      <c r="B6">
        <v>108</v>
      </c>
      <c r="C6">
        <v>104</v>
      </c>
      <c r="D6">
        <v>102</v>
      </c>
      <c r="E6">
        <v>101</v>
      </c>
      <c r="F6">
        <v>100</v>
      </c>
      <c r="G6">
        <v>100</v>
      </c>
      <c r="H6">
        <v>100</v>
      </c>
      <c r="I6">
        <v>100</v>
      </c>
      <c r="J6">
        <v>102</v>
      </c>
      <c r="K6">
        <v>102</v>
      </c>
      <c r="L6">
        <v>103</v>
      </c>
      <c r="M6">
        <v>104</v>
      </c>
      <c r="N6">
        <v>104</v>
      </c>
      <c r="O6">
        <v>106</v>
      </c>
      <c r="P6">
        <v>106</v>
      </c>
      <c r="Q6">
        <v>108</v>
      </c>
      <c r="R6">
        <v>110</v>
      </c>
      <c r="S6">
        <v>111</v>
      </c>
      <c r="T6">
        <v>112</v>
      </c>
      <c r="U6">
        <v>112</v>
      </c>
      <c r="V6">
        <v>113</v>
      </c>
      <c r="W6">
        <v>114</v>
      </c>
      <c r="X6">
        <v>114</v>
      </c>
      <c r="Y6">
        <v>113</v>
      </c>
      <c r="Z6" s="2">
        <f>AVERAGE(Sheet1__12[[#This Row],[00:00:00]:[23:00:00]])</f>
        <v>106.20833333333333</v>
      </c>
      <c r="AA6" t="str" cm="1">
        <f t="array" ref="AA6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7" spans="1:27" x14ac:dyDescent="0.3">
      <c r="A7" s="1">
        <v>45997</v>
      </c>
      <c r="B7">
        <v>112</v>
      </c>
      <c r="C7">
        <v>112</v>
      </c>
      <c r="D7">
        <v>112</v>
      </c>
      <c r="E7">
        <v>111</v>
      </c>
      <c r="F7">
        <v>111</v>
      </c>
      <c r="G7">
        <v>110</v>
      </c>
      <c r="H7">
        <v>110</v>
      </c>
      <c r="I7">
        <v>109</v>
      </c>
      <c r="J7">
        <v>108</v>
      </c>
      <c r="K7">
        <v>108</v>
      </c>
      <c r="L7">
        <v>108</v>
      </c>
      <c r="M7">
        <v>108</v>
      </c>
      <c r="N7">
        <v>108</v>
      </c>
      <c r="O7">
        <v>107</v>
      </c>
      <c r="P7">
        <v>107</v>
      </c>
      <c r="Q7">
        <v>106</v>
      </c>
      <c r="R7">
        <v>106</v>
      </c>
      <c r="S7">
        <v>106</v>
      </c>
      <c r="T7">
        <v>106</v>
      </c>
      <c r="U7">
        <v>106</v>
      </c>
      <c r="V7">
        <v>106</v>
      </c>
      <c r="W7">
        <v>119</v>
      </c>
      <c r="X7">
        <v>106</v>
      </c>
      <c r="Y7">
        <v>107</v>
      </c>
      <c r="Z7" s="2">
        <f>AVERAGE(Sheet1__12[[#This Row],[00:00:00]:[23:00:00]])</f>
        <v>108.70833333333333</v>
      </c>
      <c r="AA7" t="str" cm="1">
        <f t="array" ref="AA7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8" spans="1:27" x14ac:dyDescent="0.3">
      <c r="A8" s="1">
        <v>45998</v>
      </c>
      <c r="B8">
        <v>109</v>
      </c>
      <c r="C8">
        <v>110</v>
      </c>
      <c r="D8">
        <v>112</v>
      </c>
      <c r="E8">
        <v>113</v>
      </c>
      <c r="F8">
        <v>114</v>
      </c>
      <c r="G8">
        <v>114</v>
      </c>
      <c r="H8">
        <v>114</v>
      </c>
      <c r="I8">
        <v>114</v>
      </c>
      <c r="J8">
        <v>114</v>
      </c>
      <c r="K8">
        <v>114</v>
      </c>
      <c r="L8">
        <v>115</v>
      </c>
      <c r="M8">
        <v>115</v>
      </c>
      <c r="N8">
        <v>115</v>
      </c>
      <c r="O8">
        <v>116</v>
      </c>
      <c r="P8">
        <v>116</v>
      </c>
      <c r="Q8">
        <v>117</v>
      </c>
      <c r="R8">
        <v>117</v>
      </c>
      <c r="S8">
        <v>117</v>
      </c>
      <c r="T8">
        <v>116</v>
      </c>
      <c r="U8">
        <v>117</v>
      </c>
      <c r="V8">
        <v>118</v>
      </c>
      <c r="W8">
        <v>125</v>
      </c>
      <c r="X8">
        <v>124</v>
      </c>
      <c r="Y8">
        <v>122</v>
      </c>
      <c r="Z8" s="2">
        <f>AVERAGE(Sheet1__12[[#This Row],[00:00:00]:[23:00:00]])</f>
        <v>115.75</v>
      </c>
      <c r="AA8" t="str" cm="1">
        <f t="array" ref="AA8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9" spans="1:27" x14ac:dyDescent="0.3">
      <c r="A9" s="1">
        <v>45999</v>
      </c>
      <c r="B9">
        <v>123</v>
      </c>
      <c r="C9">
        <v>124</v>
      </c>
      <c r="D9">
        <v>126</v>
      </c>
      <c r="E9">
        <v>127</v>
      </c>
      <c r="F9">
        <v>127</v>
      </c>
      <c r="G9">
        <v>128</v>
      </c>
      <c r="H9">
        <v>127</v>
      </c>
      <c r="I9">
        <v>127</v>
      </c>
      <c r="J9">
        <v>127</v>
      </c>
      <c r="K9">
        <v>126</v>
      </c>
      <c r="L9">
        <v>127</v>
      </c>
      <c r="M9">
        <v>127</v>
      </c>
      <c r="N9">
        <v>127</v>
      </c>
      <c r="O9">
        <v>126</v>
      </c>
      <c r="P9">
        <v>126</v>
      </c>
      <c r="Q9">
        <v>124</v>
      </c>
      <c r="R9">
        <v>123</v>
      </c>
      <c r="S9">
        <v>122</v>
      </c>
      <c r="T9">
        <v>120</v>
      </c>
      <c r="U9">
        <v>119</v>
      </c>
      <c r="V9">
        <v>118</v>
      </c>
      <c r="W9">
        <v>116</v>
      </c>
      <c r="X9">
        <v>114</v>
      </c>
      <c r="Y9">
        <v>110</v>
      </c>
      <c r="Z9" s="2">
        <f>AVERAGE(Sheet1__12[[#This Row],[00:00:00]:[23:00:00]])</f>
        <v>123.375</v>
      </c>
      <c r="AA9" t="str" cm="1">
        <f t="array" ref="AA9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0" spans="1:27" x14ac:dyDescent="0.3">
      <c r="A10" s="1">
        <v>46000</v>
      </c>
      <c r="B10">
        <v>108</v>
      </c>
      <c r="C10">
        <v>106</v>
      </c>
      <c r="D10">
        <v>104</v>
      </c>
      <c r="E10">
        <v>102</v>
      </c>
      <c r="F10">
        <v>100</v>
      </c>
      <c r="G10">
        <v>99</v>
      </c>
      <c r="H10">
        <v>98</v>
      </c>
      <c r="I10">
        <v>98</v>
      </c>
      <c r="J10">
        <v>98</v>
      </c>
      <c r="K10">
        <v>98</v>
      </c>
      <c r="L10">
        <v>97</v>
      </c>
      <c r="M10">
        <v>97</v>
      </c>
      <c r="N10">
        <v>96</v>
      </c>
      <c r="O10">
        <v>96</v>
      </c>
      <c r="P10">
        <v>95</v>
      </c>
      <c r="Q10">
        <v>96</v>
      </c>
      <c r="R10">
        <v>96</v>
      </c>
      <c r="S10">
        <v>96</v>
      </c>
      <c r="T10">
        <v>96</v>
      </c>
      <c r="U10">
        <v>96</v>
      </c>
      <c r="V10">
        <v>96</v>
      </c>
      <c r="W10">
        <v>96</v>
      </c>
      <c r="X10">
        <v>96</v>
      </c>
      <c r="Y10">
        <v>96</v>
      </c>
      <c r="Z10" s="2">
        <f>AVERAGE(Sheet1__12[[#This Row],[00:00:00]:[23:00:00]])</f>
        <v>98.166666666666671</v>
      </c>
      <c r="AA10" t="str" cm="1">
        <f t="array" ref="AA10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MODERATE</v>
      </c>
    </row>
    <row r="11" spans="1:27" x14ac:dyDescent="0.3">
      <c r="A11" s="1">
        <v>46001</v>
      </c>
      <c r="B11">
        <v>96</v>
      </c>
      <c r="C11">
        <v>94</v>
      </c>
      <c r="D11">
        <v>94</v>
      </c>
      <c r="E11">
        <v>93</v>
      </c>
      <c r="F11">
        <v>92</v>
      </c>
      <c r="G11">
        <v>92</v>
      </c>
      <c r="H11">
        <v>92</v>
      </c>
      <c r="I11">
        <v>92</v>
      </c>
      <c r="J11">
        <v>92</v>
      </c>
      <c r="K11">
        <v>92</v>
      </c>
      <c r="L11">
        <v>92</v>
      </c>
      <c r="M11">
        <v>92</v>
      </c>
      <c r="N11">
        <v>93</v>
      </c>
      <c r="O11">
        <v>94</v>
      </c>
      <c r="P11">
        <v>94</v>
      </c>
      <c r="Q11">
        <v>95</v>
      </c>
      <c r="R11">
        <v>95</v>
      </c>
      <c r="S11">
        <v>95</v>
      </c>
      <c r="T11">
        <v>95</v>
      </c>
      <c r="U11">
        <v>94</v>
      </c>
      <c r="V11">
        <v>94</v>
      </c>
      <c r="W11">
        <v>112</v>
      </c>
      <c r="X11">
        <v>93</v>
      </c>
      <c r="Y11">
        <v>92</v>
      </c>
      <c r="Z11" s="2">
        <f>AVERAGE(Sheet1__12[[#This Row],[00:00:00]:[23:00:00]])</f>
        <v>94.125</v>
      </c>
      <c r="AA11" t="str" cm="1">
        <f t="array" ref="AA11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MODERATE</v>
      </c>
    </row>
    <row r="12" spans="1:27" x14ac:dyDescent="0.3">
      <c r="A12" s="1">
        <v>46002</v>
      </c>
      <c r="B12">
        <v>92</v>
      </c>
      <c r="C12">
        <v>92</v>
      </c>
      <c r="D12">
        <v>95</v>
      </c>
      <c r="E12">
        <v>94</v>
      </c>
      <c r="F12">
        <v>95</v>
      </c>
      <c r="G12">
        <v>95</v>
      </c>
      <c r="H12">
        <v>96</v>
      </c>
      <c r="I12">
        <v>92</v>
      </c>
      <c r="J12">
        <v>99</v>
      </c>
      <c r="K12">
        <v>98</v>
      </c>
      <c r="L12">
        <v>98</v>
      </c>
      <c r="M12">
        <v>98</v>
      </c>
      <c r="N12">
        <v>98</v>
      </c>
      <c r="O12">
        <v>98</v>
      </c>
      <c r="P12">
        <v>98</v>
      </c>
      <c r="Q12">
        <v>98</v>
      </c>
      <c r="R12">
        <v>98</v>
      </c>
      <c r="S12">
        <v>98</v>
      </c>
      <c r="T12">
        <v>100</v>
      </c>
      <c r="U12">
        <v>101</v>
      </c>
      <c r="W12">
        <v>104</v>
      </c>
      <c r="X12">
        <v>106</v>
      </c>
      <c r="Y12">
        <v>108</v>
      </c>
      <c r="Z12" s="2">
        <f>AVERAGE(Sheet1__12[[#This Row],[00:00:00]:[23:00:00]])</f>
        <v>97.869565217391298</v>
      </c>
      <c r="AA12" t="str" cm="1">
        <f t="array" ref="AA12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MODERATE</v>
      </c>
    </row>
    <row r="13" spans="1:27" x14ac:dyDescent="0.3">
      <c r="A13" s="1">
        <v>46003</v>
      </c>
      <c r="B13">
        <v>108</v>
      </c>
      <c r="C13">
        <v>112</v>
      </c>
      <c r="D13">
        <v>115</v>
      </c>
      <c r="E13">
        <v>113</v>
      </c>
      <c r="F13">
        <v>123</v>
      </c>
      <c r="G13">
        <v>123</v>
      </c>
      <c r="H13">
        <v>124</v>
      </c>
      <c r="I13">
        <v>124</v>
      </c>
      <c r="J13">
        <v>124</v>
      </c>
      <c r="K13">
        <v>124</v>
      </c>
      <c r="L13">
        <v>125</v>
      </c>
      <c r="M13">
        <v>125</v>
      </c>
      <c r="N13">
        <v>124</v>
      </c>
      <c r="O13">
        <v>124</v>
      </c>
      <c r="P13">
        <v>125</v>
      </c>
      <c r="Q13">
        <v>124</v>
      </c>
      <c r="R13">
        <v>124</v>
      </c>
      <c r="S13">
        <v>124</v>
      </c>
      <c r="T13">
        <v>124</v>
      </c>
      <c r="U13">
        <v>124</v>
      </c>
      <c r="V13">
        <v>122</v>
      </c>
      <c r="W13">
        <v>122</v>
      </c>
      <c r="X13">
        <v>120</v>
      </c>
      <c r="Y13">
        <v>120</v>
      </c>
      <c r="Z13" s="2">
        <f>AVERAGE(Sheet1__12[[#This Row],[00:00:00]:[23:00:00]])</f>
        <v>121.54166666666667</v>
      </c>
      <c r="AA13" t="str" cm="1">
        <f t="array" ref="AA13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4" spans="1:27" x14ac:dyDescent="0.3">
      <c r="A14" s="1">
        <v>46004</v>
      </c>
      <c r="B14">
        <v>118</v>
      </c>
      <c r="C14">
        <v>117</v>
      </c>
      <c r="D14">
        <v>118</v>
      </c>
      <c r="E14">
        <v>117</v>
      </c>
      <c r="F14">
        <v>117</v>
      </c>
      <c r="G14">
        <v>118</v>
      </c>
      <c r="H14">
        <v>120</v>
      </c>
      <c r="I14">
        <v>120</v>
      </c>
      <c r="J14">
        <v>119</v>
      </c>
      <c r="K14">
        <v>120</v>
      </c>
      <c r="L14">
        <v>119</v>
      </c>
      <c r="M14">
        <v>120</v>
      </c>
      <c r="N14">
        <v>120</v>
      </c>
      <c r="O14">
        <v>122</v>
      </c>
      <c r="P14">
        <v>122</v>
      </c>
      <c r="Q14">
        <v>124</v>
      </c>
      <c r="R14">
        <v>124</v>
      </c>
      <c r="S14">
        <v>125</v>
      </c>
      <c r="T14">
        <v>125</v>
      </c>
      <c r="U14">
        <v>125</v>
      </c>
      <c r="V14">
        <v>125</v>
      </c>
      <c r="W14">
        <v>125</v>
      </c>
      <c r="X14">
        <v>125</v>
      </c>
      <c r="Y14">
        <v>124</v>
      </c>
      <c r="Z14" s="2">
        <f>AVERAGE(Sheet1__12[[#This Row],[00:00:00]:[23:00:00]])</f>
        <v>121.20833333333333</v>
      </c>
      <c r="AA14" t="str" cm="1">
        <f t="array" ref="AA14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5" spans="1:27" x14ac:dyDescent="0.3">
      <c r="A15" s="1">
        <v>46005</v>
      </c>
      <c r="B15">
        <v>124</v>
      </c>
      <c r="C15">
        <v>122</v>
      </c>
      <c r="D15">
        <v>122</v>
      </c>
      <c r="E15">
        <v>122</v>
      </c>
      <c r="F15">
        <v>123</v>
      </c>
      <c r="G15">
        <v>121</v>
      </c>
      <c r="H15">
        <v>121</v>
      </c>
      <c r="I15">
        <v>120</v>
      </c>
      <c r="J15">
        <v>120</v>
      </c>
      <c r="K15">
        <v>120</v>
      </c>
      <c r="L15">
        <v>120</v>
      </c>
      <c r="M15">
        <v>120</v>
      </c>
      <c r="N15">
        <v>120</v>
      </c>
      <c r="O15">
        <v>118</v>
      </c>
      <c r="P15">
        <v>118</v>
      </c>
      <c r="Q15">
        <v>119</v>
      </c>
      <c r="R15">
        <v>119</v>
      </c>
      <c r="S15">
        <v>119</v>
      </c>
      <c r="T15">
        <v>119</v>
      </c>
      <c r="U15">
        <v>119</v>
      </c>
      <c r="V15">
        <v>118</v>
      </c>
      <c r="W15">
        <v>118</v>
      </c>
      <c r="X15">
        <v>118</v>
      </c>
      <c r="Y15">
        <v>117</v>
      </c>
      <c r="Z15" s="2">
        <f>AVERAGE(Sheet1__12[[#This Row],[00:00:00]:[23:00:00]])</f>
        <v>119.875</v>
      </c>
      <c r="AA15" t="str" cm="1">
        <f t="array" ref="AA15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6" spans="1:27" x14ac:dyDescent="0.3">
      <c r="A16" s="1">
        <v>46006</v>
      </c>
      <c r="B16">
        <v>116</v>
      </c>
      <c r="C16">
        <v>113</v>
      </c>
      <c r="D16">
        <v>112</v>
      </c>
      <c r="E16">
        <v>110</v>
      </c>
      <c r="F16">
        <v>110</v>
      </c>
      <c r="G16">
        <v>111</v>
      </c>
      <c r="H16">
        <v>113</v>
      </c>
      <c r="I16">
        <v>114</v>
      </c>
      <c r="J16">
        <v>116</v>
      </c>
      <c r="K16">
        <v>118</v>
      </c>
      <c r="L16">
        <v>122</v>
      </c>
      <c r="M16">
        <v>126</v>
      </c>
      <c r="N16">
        <v>130</v>
      </c>
      <c r="O16">
        <v>135</v>
      </c>
      <c r="P16">
        <v>140</v>
      </c>
      <c r="Q16">
        <v>144</v>
      </c>
      <c r="R16">
        <v>147</v>
      </c>
      <c r="S16">
        <v>152</v>
      </c>
      <c r="T16">
        <v>156</v>
      </c>
      <c r="U16">
        <v>160</v>
      </c>
      <c r="V16">
        <v>166</v>
      </c>
      <c r="W16">
        <v>170</v>
      </c>
      <c r="X16">
        <v>176</v>
      </c>
      <c r="Y16">
        <v>182</v>
      </c>
      <c r="Z16" s="2">
        <f>AVERAGE(Sheet1__12[[#This Row],[00:00:00]:[23:00:00]])</f>
        <v>134.95833333333334</v>
      </c>
      <c r="AA16" t="str" cm="1">
        <f t="array" ref="AA16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7" spans="1:27" x14ac:dyDescent="0.3">
      <c r="A17" s="1">
        <v>46007</v>
      </c>
      <c r="B17">
        <v>190</v>
      </c>
      <c r="C17">
        <v>198</v>
      </c>
      <c r="D17">
        <v>204</v>
      </c>
      <c r="E17">
        <v>210</v>
      </c>
      <c r="F17">
        <v>214</v>
      </c>
      <c r="G17">
        <v>217</v>
      </c>
      <c r="H17">
        <v>218</v>
      </c>
      <c r="I17">
        <v>220</v>
      </c>
      <c r="J17">
        <v>220</v>
      </c>
      <c r="K17">
        <v>221</v>
      </c>
      <c r="L17">
        <v>221</v>
      </c>
      <c r="M17">
        <v>221</v>
      </c>
      <c r="N17">
        <v>220</v>
      </c>
      <c r="O17">
        <v>220</v>
      </c>
      <c r="P17">
        <v>219</v>
      </c>
      <c r="Q17">
        <v>218</v>
      </c>
      <c r="R17">
        <v>216</v>
      </c>
      <c r="S17">
        <v>214</v>
      </c>
      <c r="T17">
        <v>212</v>
      </c>
      <c r="U17">
        <v>210</v>
      </c>
      <c r="V17">
        <v>207</v>
      </c>
      <c r="W17">
        <v>205</v>
      </c>
      <c r="X17">
        <v>203</v>
      </c>
      <c r="Y17">
        <v>201</v>
      </c>
      <c r="Z17" s="2">
        <f>AVERAGE(Sheet1__12[[#This Row],[00:00:00]:[23:00:00]])</f>
        <v>212.45833333333334</v>
      </c>
      <c r="AA17" t="str" cm="1">
        <f t="array" ref="AA17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HAZARDOUS</v>
      </c>
    </row>
    <row r="18" spans="1:27" x14ac:dyDescent="0.3">
      <c r="A18" s="1">
        <v>46008</v>
      </c>
      <c r="B18">
        <v>200</v>
      </c>
      <c r="C18">
        <v>199</v>
      </c>
      <c r="D18">
        <v>200</v>
      </c>
      <c r="E18">
        <v>200</v>
      </c>
      <c r="F18">
        <v>201</v>
      </c>
      <c r="G18">
        <v>201</v>
      </c>
      <c r="H18">
        <v>200</v>
      </c>
      <c r="I18">
        <v>199</v>
      </c>
      <c r="J18">
        <v>198</v>
      </c>
      <c r="K18">
        <v>196</v>
      </c>
      <c r="L18">
        <v>193</v>
      </c>
      <c r="M18">
        <v>189</v>
      </c>
      <c r="N18">
        <v>185</v>
      </c>
      <c r="O18">
        <v>178</v>
      </c>
      <c r="P18">
        <v>173</v>
      </c>
      <c r="Q18">
        <v>171</v>
      </c>
      <c r="R18">
        <v>168</v>
      </c>
      <c r="S18">
        <v>167</v>
      </c>
      <c r="T18">
        <v>167</v>
      </c>
      <c r="U18">
        <v>166</v>
      </c>
      <c r="V18">
        <v>166</v>
      </c>
      <c r="W18">
        <v>165</v>
      </c>
      <c r="X18">
        <v>164</v>
      </c>
      <c r="Y18">
        <v>163</v>
      </c>
      <c r="Z18" s="2">
        <f>AVERAGE(Sheet1__12[[#This Row],[00:00:00]:[23:00:00]])</f>
        <v>183.70833333333334</v>
      </c>
      <c r="AA18" t="str" cm="1">
        <f t="array" ref="AA18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19" spans="1:27" x14ac:dyDescent="0.3">
      <c r="A19" s="1">
        <v>46009</v>
      </c>
      <c r="B19">
        <v>162</v>
      </c>
      <c r="C19">
        <v>158</v>
      </c>
      <c r="D19">
        <v>156</v>
      </c>
      <c r="E19">
        <v>156</v>
      </c>
      <c r="F19">
        <v>150</v>
      </c>
      <c r="G19">
        <v>148</v>
      </c>
      <c r="H19">
        <v>146</v>
      </c>
      <c r="I19">
        <v>143</v>
      </c>
      <c r="J19">
        <v>141</v>
      </c>
      <c r="K19">
        <v>139</v>
      </c>
      <c r="L19">
        <v>137</v>
      </c>
      <c r="M19">
        <v>136</v>
      </c>
      <c r="N19">
        <v>135</v>
      </c>
      <c r="O19">
        <v>135</v>
      </c>
      <c r="P19">
        <v>134</v>
      </c>
      <c r="Q19">
        <v>132</v>
      </c>
      <c r="R19">
        <v>130</v>
      </c>
      <c r="S19">
        <v>127</v>
      </c>
      <c r="T19">
        <v>124</v>
      </c>
      <c r="U19">
        <v>124</v>
      </c>
      <c r="V19">
        <v>120</v>
      </c>
      <c r="W19">
        <v>124</v>
      </c>
      <c r="X19">
        <v>111</v>
      </c>
      <c r="Y19">
        <v>107</v>
      </c>
      <c r="Z19" s="2">
        <f>AVERAGE(Sheet1__12[[#This Row],[00:00:00]:[23:00:00]])</f>
        <v>136.45833333333334</v>
      </c>
      <c r="AA19" t="str" cm="1">
        <f t="array" ref="AA19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20" spans="1:27" x14ac:dyDescent="0.3">
      <c r="A20" s="1">
        <v>46010</v>
      </c>
      <c r="B20">
        <v>105</v>
      </c>
      <c r="C20">
        <v>104</v>
      </c>
      <c r="D20">
        <v>101</v>
      </c>
      <c r="E20">
        <v>100</v>
      </c>
      <c r="F20">
        <v>99</v>
      </c>
      <c r="G20">
        <v>99</v>
      </c>
      <c r="H20">
        <v>100</v>
      </c>
      <c r="I20">
        <v>100</v>
      </c>
      <c r="J20">
        <v>99</v>
      </c>
      <c r="K20">
        <v>98</v>
      </c>
      <c r="L20">
        <v>98</v>
      </c>
      <c r="M20">
        <v>97</v>
      </c>
      <c r="N20">
        <v>96</v>
      </c>
      <c r="O20">
        <v>95</v>
      </c>
      <c r="P20">
        <v>94</v>
      </c>
      <c r="Q20">
        <v>94</v>
      </c>
      <c r="R20">
        <v>93</v>
      </c>
      <c r="S20">
        <v>92</v>
      </c>
      <c r="T20">
        <v>92</v>
      </c>
      <c r="U20">
        <v>102</v>
      </c>
      <c r="V20">
        <v>93</v>
      </c>
      <c r="W20">
        <v>93</v>
      </c>
      <c r="X20">
        <v>92</v>
      </c>
      <c r="Y20">
        <v>87</v>
      </c>
      <c r="Z20" s="2">
        <f>AVERAGE(Sheet1__12[[#This Row],[00:00:00]:[23:00:00]])</f>
        <v>96.791666666666671</v>
      </c>
      <c r="AA20" t="str" cm="1">
        <f t="array" ref="AA20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MODERATE</v>
      </c>
    </row>
    <row r="21" spans="1:27" x14ac:dyDescent="0.3">
      <c r="A21" s="1">
        <v>46011</v>
      </c>
      <c r="B21">
        <v>85</v>
      </c>
      <c r="C21">
        <v>84</v>
      </c>
      <c r="D21">
        <v>83</v>
      </c>
      <c r="E21">
        <v>82</v>
      </c>
      <c r="F21">
        <v>82</v>
      </c>
      <c r="G21">
        <v>82</v>
      </c>
      <c r="H21">
        <v>82</v>
      </c>
      <c r="I21">
        <v>82</v>
      </c>
      <c r="J21">
        <v>83</v>
      </c>
      <c r="K21">
        <v>84</v>
      </c>
      <c r="L21">
        <v>85</v>
      </c>
      <c r="M21">
        <v>86</v>
      </c>
      <c r="N21">
        <v>88</v>
      </c>
      <c r="O21">
        <v>90</v>
      </c>
      <c r="P21">
        <v>92</v>
      </c>
      <c r="Q21">
        <v>94</v>
      </c>
      <c r="R21">
        <v>96</v>
      </c>
      <c r="S21">
        <v>98</v>
      </c>
      <c r="T21">
        <v>99</v>
      </c>
      <c r="U21">
        <v>100</v>
      </c>
      <c r="V21">
        <v>102</v>
      </c>
      <c r="W21">
        <v>103</v>
      </c>
      <c r="X21">
        <v>106</v>
      </c>
      <c r="Y21">
        <v>112</v>
      </c>
      <c r="Z21" s="2">
        <f>AVERAGE(Sheet1__12[[#This Row],[00:00:00]:[23:00:00]])</f>
        <v>90.833333333333329</v>
      </c>
      <c r="AA21" t="str" cm="1">
        <f t="array" ref="AA21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MODERATE</v>
      </c>
    </row>
    <row r="22" spans="1:27" x14ac:dyDescent="0.3">
      <c r="A22" s="1">
        <v>46012</v>
      </c>
      <c r="B22">
        <v>114</v>
      </c>
      <c r="C22">
        <v>117</v>
      </c>
      <c r="D22">
        <v>122</v>
      </c>
      <c r="E22">
        <v>123</v>
      </c>
      <c r="F22">
        <v>123</v>
      </c>
      <c r="G22">
        <v>123</v>
      </c>
      <c r="H22">
        <v>123</v>
      </c>
      <c r="I22">
        <v>122</v>
      </c>
      <c r="J22">
        <v>122</v>
      </c>
      <c r="K22">
        <v>122</v>
      </c>
      <c r="L22">
        <v>122</v>
      </c>
      <c r="M22">
        <v>121</v>
      </c>
      <c r="N22">
        <v>121</v>
      </c>
      <c r="O22">
        <v>122</v>
      </c>
      <c r="P22">
        <v>122</v>
      </c>
      <c r="Q22">
        <v>127</v>
      </c>
      <c r="R22">
        <v>128</v>
      </c>
      <c r="S22">
        <v>134</v>
      </c>
      <c r="T22">
        <v>136</v>
      </c>
      <c r="U22">
        <v>140</v>
      </c>
      <c r="V22">
        <v>144</v>
      </c>
      <c r="W22">
        <v>148</v>
      </c>
      <c r="X22">
        <v>148</v>
      </c>
      <c r="Y22">
        <v>155</v>
      </c>
      <c r="Z22" s="2">
        <f>AVERAGE(Sheet1__12[[#This Row],[00:00:00]:[23:00:00]])</f>
        <v>128.29166666666666</v>
      </c>
      <c r="AA22" t="str" cm="1">
        <f t="array" ref="AA22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23" spans="1:27" x14ac:dyDescent="0.3">
      <c r="A23" s="1">
        <v>46013</v>
      </c>
      <c r="B23">
        <v>160</v>
      </c>
      <c r="C23">
        <v>164</v>
      </c>
      <c r="D23">
        <v>168</v>
      </c>
      <c r="E23">
        <v>171</v>
      </c>
      <c r="F23">
        <v>173</v>
      </c>
      <c r="G23">
        <v>174</v>
      </c>
      <c r="H23">
        <v>175</v>
      </c>
      <c r="I23">
        <v>176</v>
      </c>
      <c r="J23">
        <v>176</v>
      </c>
      <c r="K23">
        <v>176</v>
      </c>
      <c r="L23">
        <v>177</v>
      </c>
      <c r="M23">
        <v>178</v>
      </c>
      <c r="N23">
        <v>176</v>
      </c>
      <c r="O23">
        <v>173</v>
      </c>
      <c r="P23">
        <v>169</v>
      </c>
      <c r="Q23">
        <v>166</v>
      </c>
      <c r="R23">
        <v>162</v>
      </c>
      <c r="S23">
        <v>158</v>
      </c>
      <c r="T23">
        <v>158</v>
      </c>
      <c r="U23">
        <v>153</v>
      </c>
      <c r="V23">
        <v>150</v>
      </c>
      <c r="W23">
        <v>147</v>
      </c>
      <c r="X23">
        <v>147</v>
      </c>
      <c r="Y23">
        <v>142</v>
      </c>
      <c r="Z23" s="2">
        <f>AVERAGE(Sheet1__12[[#This Row],[00:00:00]:[23:00:00]])</f>
        <v>165.375</v>
      </c>
      <c r="AA23" t="str" cm="1">
        <f t="array" ref="AA23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24" spans="1:27" x14ac:dyDescent="0.3">
      <c r="A24" s="1">
        <v>46014</v>
      </c>
      <c r="B24">
        <v>140</v>
      </c>
      <c r="C24">
        <v>138</v>
      </c>
      <c r="D24">
        <v>136</v>
      </c>
      <c r="E24">
        <v>134</v>
      </c>
      <c r="F24">
        <v>133</v>
      </c>
      <c r="G24">
        <v>132</v>
      </c>
      <c r="H24">
        <v>132</v>
      </c>
      <c r="I24">
        <v>132</v>
      </c>
      <c r="J24">
        <v>132</v>
      </c>
      <c r="K24">
        <v>132</v>
      </c>
      <c r="L24">
        <v>132</v>
      </c>
      <c r="M24">
        <v>133</v>
      </c>
      <c r="N24">
        <v>134</v>
      </c>
      <c r="O24">
        <v>134</v>
      </c>
      <c r="P24">
        <v>134</v>
      </c>
      <c r="Q24">
        <v>133</v>
      </c>
      <c r="R24">
        <v>132</v>
      </c>
      <c r="S24">
        <v>131</v>
      </c>
      <c r="T24">
        <v>130</v>
      </c>
      <c r="U24">
        <v>128</v>
      </c>
      <c r="V24">
        <v>126</v>
      </c>
      <c r="W24">
        <v>126</v>
      </c>
      <c r="X24">
        <v>120</v>
      </c>
      <c r="Y24">
        <v>120</v>
      </c>
      <c r="Z24" s="2">
        <f>AVERAGE(Sheet1__12[[#This Row],[00:00:00]:[23:00:00]])</f>
        <v>131.41666666666666</v>
      </c>
      <c r="AA24" t="str" cm="1">
        <f t="array" ref="AA24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25" spans="1:27" x14ac:dyDescent="0.3">
      <c r="A25" s="1">
        <v>46015</v>
      </c>
      <c r="B25">
        <v>113</v>
      </c>
      <c r="C25">
        <v>105</v>
      </c>
      <c r="D25">
        <v>102</v>
      </c>
      <c r="E25">
        <v>101</v>
      </c>
      <c r="F25">
        <v>100</v>
      </c>
      <c r="G25">
        <v>98</v>
      </c>
      <c r="H25">
        <v>98</v>
      </c>
      <c r="I25">
        <v>98</v>
      </c>
      <c r="J25">
        <v>97</v>
      </c>
      <c r="K25">
        <v>96</v>
      </c>
      <c r="L25">
        <v>96</v>
      </c>
      <c r="M25">
        <v>94</v>
      </c>
      <c r="N25">
        <v>94</v>
      </c>
      <c r="O25">
        <v>94</v>
      </c>
      <c r="P25">
        <v>93</v>
      </c>
      <c r="Q25">
        <v>92</v>
      </c>
      <c r="R25">
        <v>91</v>
      </c>
      <c r="S25">
        <v>90</v>
      </c>
      <c r="T25">
        <v>89</v>
      </c>
      <c r="U25">
        <v>89</v>
      </c>
      <c r="V25">
        <v>90</v>
      </c>
      <c r="W25">
        <v>91</v>
      </c>
      <c r="X25">
        <v>92</v>
      </c>
      <c r="Y25">
        <v>92</v>
      </c>
      <c r="Z25" s="2">
        <f>AVERAGE(Sheet1__12[[#This Row],[00:00:00]:[23:00:00]])</f>
        <v>95.625</v>
      </c>
      <c r="AA25" t="str" cm="1">
        <f t="array" ref="AA25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MODERATE</v>
      </c>
    </row>
    <row r="26" spans="1:27" x14ac:dyDescent="0.3">
      <c r="A26" s="1">
        <v>46016</v>
      </c>
      <c r="B26">
        <v>93</v>
      </c>
      <c r="C26">
        <v>95</v>
      </c>
      <c r="D26">
        <v>96</v>
      </c>
      <c r="E26">
        <v>98</v>
      </c>
      <c r="F26">
        <v>100</v>
      </c>
      <c r="G26">
        <v>101</v>
      </c>
      <c r="H26">
        <v>102</v>
      </c>
      <c r="I26">
        <v>104</v>
      </c>
      <c r="J26">
        <v>105</v>
      </c>
      <c r="K26">
        <v>106</v>
      </c>
      <c r="L26">
        <v>146</v>
      </c>
      <c r="M26">
        <v>107</v>
      </c>
      <c r="N26">
        <v>108</v>
      </c>
      <c r="O26">
        <v>108</v>
      </c>
      <c r="P26">
        <v>109</v>
      </c>
      <c r="Q26">
        <v>110</v>
      </c>
      <c r="R26">
        <v>111</v>
      </c>
      <c r="S26">
        <v>112</v>
      </c>
      <c r="T26">
        <v>113</v>
      </c>
      <c r="U26">
        <v>114</v>
      </c>
      <c r="V26">
        <v>116</v>
      </c>
      <c r="W26">
        <v>118</v>
      </c>
      <c r="X26">
        <v>121</v>
      </c>
      <c r="Y26">
        <v>122</v>
      </c>
      <c r="Z26" s="2">
        <f>AVERAGE(Sheet1__12[[#This Row],[00:00:00]:[23:00:00]])</f>
        <v>108.95833333333333</v>
      </c>
      <c r="AA26" t="str" cm="1">
        <f t="array" ref="AA26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27" spans="1:27" x14ac:dyDescent="0.3">
      <c r="A27" s="1">
        <v>46017</v>
      </c>
      <c r="B27">
        <v>122</v>
      </c>
      <c r="C27">
        <v>122</v>
      </c>
      <c r="D27">
        <v>121</v>
      </c>
      <c r="E27">
        <v>121</v>
      </c>
      <c r="F27">
        <v>120</v>
      </c>
      <c r="G27">
        <v>119</v>
      </c>
      <c r="H27">
        <v>119</v>
      </c>
      <c r="I27">
        <v>119</v>
      </c>
      <c r="J27">
        <v>120</v>
      </c>
      <c r="K27">
        <v>121</v>
      </c>
      <c r="L27">
        <v>122</v>
      </c>
      <c r="M27">
        <v>122</v>
      </c>
      <c r="N27">
        <v>122</v>
      </c>
      <c r="O27">
        <v>122</v>
      </c>
      <c r="P27">
        <v>123</v>
      </c>
      <c r="Q27">
        <v>124</v>
      </c>
      <c r="R27">
        <v>125</v>
      </c>
      <c r="S27">
        <v>126</v>
      </c>
      <c r="T27">
        <v>128</v>
      </c>
      <c r="U27">
        <v>130</v>
      </c>
      <c r="V27">
        <v>131</v>
      </c>
      <c r="W27">
        <v>131</v>
      </c>
      <c r="X27">
        <v>129</v>
      </c>
      <c r="Y27">
        <v>131</v>
      </c>
      <c r="Z27" s="2">
        <f>AVERAGE(Sheet1__12[[#This Row],[00:00:00]:[23:00:00]])</f>
        <v>123.75</v>
      </c>
      <c r="AA27" t="str" cm="1">
        <f t="array" ref="AA27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28" spans="1:27" x14ac:dyDescent="0.3">
      <c r="A28" s="1">
        <v>46018</v>
      </c>
      <c r="B28">
        <v>134</v>
      </c>
      <c r="C28">
        <v>136</v>
      </c>
      <c r="D28">
        <v>138</v>
      </c>
      <c r="E28">
        <v>139</v>
      </c>
      <c r="F28">
        <v>141</v>
      </c>
      <c r="G28">
        <v>142</v>
      </c>
      <c r="H28">
        <v>150</v>
      </c>
      <c r="I28">
        <v>150</v>
      </c>
      <c r="J28">
        <v>148</v>
      </c>
      <c r="K28">
        <v>148</v>
      </c>
      <c r="L28">
        <v>148</v>
      </c>
      <c r="M28">
        <v>149</v>
      </c>
      <c r="N28">
        <v>150</v>
      </c>
      <c r="O28">
        <v>150</v>
      </c>
      <c r="P28">
        <v>151</v>
      </c>
      <c r="Q28">
        <v>150</v>
      </c>
      <c r="R28">
        <v>150</v>
      </c>
      <c r="S28">
        <v>150</v>
      </c>
      <c r="T28">
        <v>149</v>
      </c>
      <c r="U28">
        <v>148</v>
      </c>
      <c r="V28">
        <v>146</v>
      </c>
      <c r="W28">
        <v>146</v>
      </c>
      <c r="X28">
        <v>146</v>
      </c>
      <c r="Y28">
        <v>146</v>
      </c>
      <c r="Z28" s="2">
        <f>AVERAGE(Sheet1__12[[#This Row],[00:00:00]:[23:00:00]])</f>
        <v>146.04166666666666</v>
      </c>
      <c r="AA28" t="str" cm="1">
        <f t="array" ref="AA28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29" spans="1:27" x14ac:dyDescent="0.3">
      <c r="A29" s="1">
        <v>46019</v>
      </c>
      <c r="B29">
        <v>146</v>
      </c>
      <c r="C29">
        <v>148</v>
      </c>
      <c r="D29">
        <v>151</v>
      </c>
      <c r="E29">
        <v>155</v>
      </c>
      <c r="F29">
        <v>160</v>
      </c>
      <c r="G29">
        <v>166</v>
      </c>
      <c r="H29">
        <v>169</v>
      </c>
      <c r="I29">
        <v>172</v>
      </c>
      <c r="J29">
        <v>175</v>
      </c>
      <c r="K29">
        <v>178</v>
      </c>
      <c r="L29">
        <v>179</v>
      </c>
      <c r="M29">
        <v>180</v>
      </c>
      <c r="N29">
        <v>180</v>
      </c>
      <c r="O29">
        <v>180</v>
      </c>
      <c r="P29">
        <v>180</v>
      </c>
      <c r="Q29">
        <v>180</v>
      </c>
      <c r="R29">
        <v>180</v>
      </c>
      <c r="S29">
        <v>180</v>
      </c>
      <c r="T29">
        <v>180</v>
      </c>
      <c r="U29">
        <v>180</v>
      </c>
      <c r="V29">
        <v>181</v>
      </c>
      <c r="W29">
        <v>181</v>
      </c>
      <c r="X29">
        <v>180</v>
      </c>
      <c r="Y29">
        <v>180</v>
      </c>
      <c r="Z29" s="2">
        <f>AVERAGE(Sheet1__12[[#This Row],[00:00:00]:[23:00:00]])</f>
        <v>172.54166666666666</v>
      </c>
      <c r="AA29" t="str" cm="1">
        <f t="array" ref="AA29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30" spans="1:27" x14ac:dyDescent="0.3">
      <c r="A30" s="1">
        <v>46020</v>
      </c>
      <c r="B30">
        <v>181</v>
      </c>
      <c r="C30">
        <v>181</v>
      </c>
      <c r="D30">
        <v>182</v>
      </c>
      <c r="E30">
        <v>180</v>
      </c>
      <c r="F30">
        <v>177</v>
      </c>
      <c r="G30">
        <v>174</v>
      </c>
      <c r="H30">
        <v>173</v>
      </c>
      <c r="I30">
        <v>171</v>
      </c>
      <c r="J30">
        <v>168</v>
      </c>
      <c r="K30">
        <v>167</v>
      </c>
      <c r="L30">
        <v>166</v>
      </c>
      <c r="M30">
        <v>164</v>
      </c>
      <c r="N30">
        <v>164</v>
      </c>
      <c r="O30">
        <v>164</v>
      </c>
      <c r="P30">
        <v>163</v>
      </c>
      <c r="Q30">
        <v>162</v>
      </c>
      <c r="R30">
        <v>161</v>
      </c>
      <c r="S30">
        <v>161</v>
      </c>
      <c r="T30">
        <v>161</v>
      </c>
      <c r="U30">
        <v>161</v>
      </c>
      <c r="V30">
        <v>158</v>
      </c>
      <c r="W30">
        <v>156</v>
      </c>
      <c r="X30">
        <v>156</v>
      </c>
      <c r="Y30">
        <v>162</v>
      </c>
      <c r="Z30" s="2">
        <f>AVERAGE(Sheet1__12[[#This Row],[00:00:00]:[23:00:00]])</f>
        <v>167.20833333333334</v>
      </c>
      <c r="AA30" t="str" cm="1">
        <f t="array" ref="AA30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31" spans="1:27" x14ac:dyDescent="0.3">
      <c r="A31" s="1">
        <v>46021</v>
      </c>
      <c r="B31">
        <v>152</v>
      </c>
      <c r="C31">
        <v>150</v>
      </c>
      <c r="D31">
        <v>147</v>
      </c>
      <c r="E31">
        <v>145</v>
      </c>
      <c r="F31">
        <v>142</v>
      </c>
      <c r="G31">
        <v>140</v>
      </c>
      <c r="H31">
        <v>138</v>
      </c>
      <c r="I31">
        <v>136</v>
      </c>
      <c r="J31">
        <v>134</v>
      </c>
      <c r="K31">
        <v>134</v>
      </c>
      <c r="L31">
        <v>131</v>
      </c>
      <c r="M31">
        <v>130</v>
      </c>
      <c r="N31">
        <v>129</v>
      </c>
      <c r="O31">
        <v>130</v>
      </c>
      <c r="P31">
        <v>130</v>
      </c>
      <c r="Q31">
        <v>131</v>
      </c>
      <c r="R31">
        <v>132</v>
      </c>
      <c r="S31">
        <v>131</v>
      </c>
      <c r="T31">
        <v>132</v>
      </c>
      <c r="U31">
        <v>134</v>
      </c>
      <c r="V31">
        <v>136</v>
      </c>
      <c r="W31">
        <v>139</v>
      </c>
      <c r="X31">
        <v>139</v>
      </c>
      <c r="Y31">
        <v>143</v>
      </c>
      <c r="Z31" s="2">
        <f>AVERAGE(Sheet1__12[[#This Row],[00:00:00]:[23:00:00]])</f>
        <v>136.875</v>
      </c>
      <c r="AA31" t="str" cm="1">
        <f t="array" ref="AA31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32" spans="1:27" x14ac:dyDescent="0.3">
      <c r="A32" s="1">
        <v>46022</v>
      </c>
      <c r="B32">
        <v>143</v>
      </c>
      <c r="C32">
        <v>144</v>
      </c>
      <c r="D32">
        <v>145</v>
      </c>
      <c r="E32">
        <v>148</v>
      </c>
      <c r="F32">
        <v>150</v>
      </c>
      <c r="G32">
        <v>154</v>
      </c>
      <c r="H32">
        <v>156</v>
      </c>
      <c r="I32">
        <v>158</v>
      </c>
      <c r="J32">
        <v>158</v>
      </c>
      <c r="K32">
        <v>163</v>
      </c>
      <c r="L32">
        <v>166</v>
      </c>
      <c r="M32">
        <v>169</v>
      </c>
      <c r="N32">
        <v>173</v>
      </c>
      <c r="O32">
        <v>175</v>
      </c>
      <c r="P32">
        <v>178</v>
      </c>
      <c r="Q32">
        <v>181</v>
      </c>
      <c r="R32">
        <v>182</v>
      </c>
      <c r="S32">
        <v>183</v>
      </c>
      <c r="T32">
        <v>184</v>
      </c>
      <c r="U32">
        <v>184</v>
      </c>
      <c r="V32">
        <v>181</v>
      </c>
      <c r="W32">
        <v>179</v>
      </c>
      <c r="X32">
        <v>177</v>
      </c>
      <c r="Y32">
        <v>176</v>
      </c>
      <c r="Z32" s="2">
        <f>AVERAGE(Sheet1__12[[#This Row],[00:00:00]:[23:00:00]])</f>
        <v>166.95833333333334</v>
      </c>
      <c r="AA32" t="str" cm="1">
        <f t="array" ref="AA32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33" spans="26:27" x14ac:dyDescent="0.3">
      <c r="Z33" s="2">
        <f>SUBTOTAL(101,Sheet1__12[AVERAGE AQI])</f>
        <v>129.97598176718091</v>
      </c>
      <c r="AA33" s="3"/>
    </row>
  </sheetData>
  <conditionalFormatting sqref="AA1:AA1048576">
    <cfRule type="containsText" dxfId="0" priority="4" operator="containsText" text="BAD">
      <formula>NOT(ISERROR(SEARCH("BAD",AA1)))</formula>
    </cfRule>
    <cfRule type="containsText" dxfId="1" priority="3" operator="containsText" text="VERY BAD">
      <formula>NOT(ISERROR(SEARCH("VERY BAD",AA1)))</formula>
    </cfRule>
    <cfRule type="containsText" dxfId="2" priority="2" operator="containsText" text="MODERATE">
      <formula>NOT(ISERROR(SEARCH("MODERATE",AA1)))</formula>
    </cfRule>
    <cfRule type="containsText" dxfId="3" priority="1" operator="containsText" text="HAZARDOUS">
      <formula>NOT(ISERROR(SEARCH("HAZARDOUS",AA1)))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5AFFFB-2D46-4525-90BE-840090EE2B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SEPT</vt:lpstr>
      <vt:lpstr>OCT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omkarkusale18@gmail.com</dc:creator>
  <cp:lastModifiedBy>omkarkusale18@gmail.com</cp:lastModifiedBy>
  <dcterms:created xsi:type="dcterms:W3CDTF">2026-09-04T15:04:46Z</dcterms:created>
  <dcterms:modified xsi:type="dcterms:W3CDTF">2026-09-04T15:33:39Z</dcterms:modified>
</cp:coreProperties>
</file>
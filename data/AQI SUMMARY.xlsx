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8_{6A477EDC-2A71-40DF-957F-642DE3703BE2}" xr6:coauthVersionLast="47" xr6:coauthVersionMax="47" xr10:uidLastSave="{00000000-0000-0000-0000-000000000000}"/>
  <bookViews>
    <workbookView xWindow="-108" yWindow="-108" windowWidth="23256" windowHeight="12456" xr2:uid="{AC51F894-06FA-4B08-A58D-963CD6564CFC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<sst xmlns="http://schemas.openxmlformats.org/spreadsheetml/2006/main" count="185" uniqueCount="26">
  <si>
    <t>CITY</t>
  </si>
  <si>
    <t>MONTH</t>
  </si>
  <si>
    <t>MONTH NUMBER</t>
  </si>
  <si>
    <t>AQI</t>
  </si>
  <si>
    <t>MUMBAI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</si>
  <si>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</si>
  <si>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</si>
  <si>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</si>
  <si>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</si>
  <si>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</si>
  <si>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</si>
  <si>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</si>
  <si>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</si>
  <si>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</si>
  <si>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</si>
  <si>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</si>
  <si>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</si>
  <si>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PUNE</t>
  </si>
  <si>
    <t>QUARTER</t>
  </si>
  <si>
    <t>Q1</t>
  </si>
  <si>
    <t>Q2</t>
  </si>
  <si>
    <t>Q3</t>
  </si>
  <si>
    <t>Q4</t>
  </si>
  <si>
    <t>THANE</t>
  </si>
  <si>
    <t>NAGPUR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</si>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</sst>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theme="9"/>
      </top>
      <bottom style="thin">
        <color theme="9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theme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kar\OneDrive\Desktop\AQI%20PROJECT\MUMBAI-2025.xlsx" TargetMode="External"/><Relationship Id="rId1" Type="http://schemas.openxmlformats.org/officeDocument/2006/relationships/externalLinkPath" Target="MUMBAI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kar\OneDrive\Desktop\AQI%20PROJECT\PUNE-2025.xlsx" TargetMode="External"/><Relationship Id="rId1" Type="http://schemas.openxmlformats.org/officeDocument/2006/relationships/externalLinkPath" Target="PUNE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kar\OneDrive\Desktop\AQI%20PROJECT\THANE-2025.xlsx" TargetMode="External"/><Relationship Id="rId1" Type="http://schemas.openxmlformats.org/officeDocument/2006/relationships/externalLinkPath" Target="THANE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kar\OneDrive\Desktop\AQI%20PROJECT\NAGPUR-2025.xlsx" TargetMode="External"/><Relationship Id="rId1" Type="http://schemas.openxmlformats.org/officeDocument/2006/relationships/externalLinkPath" Target="NAGPUR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kar\OneDrive\Desktop\AQI%20PROJECT\NASHIK-2025.xlsx" TargetMode="External"/><Relationship Id="rId1" Type="http://schemas.openxmlformats.org/officeDocument/2006/relationships/externalLinkPath" Target="NASHIK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"/>
      <sheetName val="AUG"/>
      <sheetName val="SEPT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BB40-D0DF-412D-BA54-1A47A035D168}">
  <dimension ref="A1:E62"/>
  <sheetViews>
    <sheetView tabSelected="1" zoomScale="115" zoomScaleNormal="115" workbookViewId="0">
      <selection activeCell="F69" sqref="F69"/>
    </sheetView>
  </sheetViews>
  <sheetFormatPr defaultColWidth="19.6640625" defaultRowHeight="14.4" x14ac:dyDescent="0.3"/>
  <cols>
    <col min="1" max="16384" width="19.6640625" style="1"/>
  </cols>
  <sheetData>
    <row r="1" spans="1:5" ht="15" thickBot="1" x14ac:dyDescent="0.35">
      <c r="A1" s="6" t="s">
        <v>0</v>
      </c>
      <c r="B1" s="5" t="s">
        <v>1</v>
      </c>
      <c r="C1" s="5" t="s">
        <v>2</v>
      </c>
      <c r="D1" s="5" t="s">
        <v>18</v>
      </c>
      <c r="E1" s="7" t="s">
        <v>3</v>
      </c>
    </row>
    <row r="2" spans="1:5" ht="15.6" thickTop="1" thickBot="1" x14ac:dyDescent="0.35">
      <c r="A2" s="8" t="s">
        <v>4</v>
      </c>
      <c r="B2" s="3" t="s">
        <v>5</v>
      </c>
      <c r="C2" s="3">
        <v>1</v>
      </c>
      <c r="D2" s="3" t="s">
        <v>19</v>
      </c>
      <c r="E2" s="9">
        <f>AVERAGE([1]!Sheet1__13[AVERAGE AQI])</f>
        <v>118.00759700794764</v>
      </c>
    </row>
    <row r="3" spans="1:5" ht="15.6" thickTop="1" thickBot="1" x14ac:dyDescent="0.35">
      <c r="A3" s="8" t="s">
        <v>4</v>
      </c>
      <c r="B3" s="3" t="s">
        <v>6</v>
      </c>
      <c r="C3" s="3">
        <v>2</v>
      </c>
      <c r="D3" s="3" t="s">
        <v>19</v>
      </c>
      <c r="E3" s="9">
        <f>SUBTOTAL(101,[1]!Sheet1__3[AVERAGE AQI])</f>
        <v>120.82142857142858</v>
      </c>
    </row>
    <row r="4" spans="1:5" ht="15.6" thickTop="1" thickBot="1" x14ac:dyDescent="0.35">
      <c r="A4" s="8" t="s">
        <v>4</v>
      </c>
      <c r="B4" s="3" t="s">
        <v>7</v>
      </c>
      <c r="C4" s="3">
        <v>3</v>
      </c>
      <c r="D4" s="3" t="s">
        <v>19</v>
      </c>
      <c r="E4" s="9">
        <f>AVERAGE([1]!Sheet1__4[AVERAGE AQI])</f>
        <v>103.17843406009605</v>
      </c>
    </row>
    <row r="5" spans="1:5" ht="15.6" thickTop="1" thickBot="1" x14ac:dyDescent="0.35">
      <c r="A5" s="8" t="s">
        <v>4</v>
      </c>
      <c r="B5" s="3" t="s">
        <v>8</v>
      </c>
      <c r="C5" s="3">
        <v>4</v>
      </c>
      <c r="D5" s="3" t="s">
        <v>20</v>
      </c>
      <c r="E5" s="9">
        <f>SUBTOTAL(101,[1]!Sheet1__5[AVERAGE AQI])</f>
        <v>76.40022507685552</v>
      </c>
    </row>
    <row r="6" spans="1:5" ht="15.6" thickTop="1" thickBot="1" x14ac:dyDescent="0.35">
      <c r="A6" s="8" t="s">
        <v>4</v>
      </c>
      <c r="B6" s="3" t="s">
        <v>9</v>
      </c>
      <c r="C6" s="3">
        <v>5</v>
      </c>
      <c r="D6" s="3" t="s">
        <v>20</v>
      </c>
      <c r="E6" s="9">
        <f>SUBTOTAL(101,[1]!Sheet1__6[AVERAGE AQI])</f>
        <v>67.610926941221464</v>
      </c>
    </row>
    <row r="7" spans="1:5" ht="15.6" thickTop="1" thickBot="1" x14ac:dyDescent="0.35">
      <c r="A7" s="8" t="s">
        <v>4</v>
      </c>
      <c r="B7" s="3" t="s">
        <v>10</v>
      </c>
      <c r="C7" s="3">
        <v>6</v>
      </c>
      <c r="D7" s="3" t="s">
        <v>20</v>
      </c>
      <c r="E7" s="9">
        <f>SUBTOTAL(101,[1]!Sheet1__7[AVERAGE AQI])</f>
        <v>58.836842806951502</v>
      </c>
    </row>
    <row r="8" spans="1:5" ht="15.6" thickTop="1" thickBot="1" x14ac:dyDescent="0.35">
      <c r="A8" s="8" t="s">
        <v>4</v>
      </c>
      <c r="B8" s="3" t="s">
        <v>11</v>
      </c>
      <c r="C8" s="3">
        <v>7</v>
      </c>
      <c r="D8" s="3" t="s">
        <v>21</v>
      </c>
      <c r="E8" s="9">
        <f>SUBTOTAL(101,[1]!Sheet1__8[AVERAGE AQI])</f>
        <v>51.089118747078075</v>
      </c>
    </row>
    <row r="9" spans="1:5" ht="15.6" thickTop="1" thickBot="1" x14ac:dyDescent="0.35">
      <c r="A9" s="8" t="s">
        <v>4</v>
      </c>
      <c r="B9" s="3" t="s">
        <v>12</v>
      </c>
      <c r="C9" s="3">
        <v>8</v>
      </c>
      <c r="D9" s="3" t="s">
        <v>21</v>
      </c>
      <c r="E9" s="9">
        <f>SUBTOTAL(101,[1]!Sheet1__9[AVERAGE AQI])</f>
        <v>47.823669726720219</v>
      </c>
    </row>
    <row r="10" spans="1:5" ht="15.6" thickTop="1" thickBot="1" x14ac:dyDescent="0.35">
      <c r="A10" s="8" t="s">
        <v>4</v>
      </c>
      <c r="B10" s="3" t="s">
        <v>13</v>
      </c>
      <c r="C10" s="3">
        <v>9</v>
      </c>
      <c r="D10" s="3" t="s">
        <v>21</v>
      </c>
      <c r="E10" s="9">
        <f>AVERAGE([1]!Sheet1__10[AVERAGE AQI])</f>
        <v>50.561111111111117</v>
      </c>
    </row>
    <row r="11" spans="1:5" ht="15.6" thickTop="1" thickBot="1" x14ac:dyDescent="0.35">
      <c r="A11" s="8" t="s">
        <v>4</v>
      </c>
      <c r="B11" s="3" t="s">
        <v>14</v>
      </c>
      <c r="C11" s="3">
        <v>10</v>
      </c>
      <c r="D11" s="3" t="s">
        <v>22</v>
      </c>
      <c r="E11" s="9">
        <f>SUBTOTAL(101,[1]!Sheet1__11[AVERAGE AQI])</f>
        <v>95.598059841047231</v>
      </c>
    </row>
    <row r="12" spans="1:5" ht="15.6" thickTop="1" thickBot="1" x14ac:dyDescent="0.35">
      <c r="A12" s="8" t="s">
        <v>4</v>
      </c>
      <c r="B12" s="3" t="s">
        <v>15</v>
      </c>
      <c r="C12" s="3">
        <v>11</v>
      </c>
      <c r="D12" s="3" t="s">
        <v>22</v>
      </c>
      <c r="E12" s="9">
        <f>SUBTOTAL(101,[1]!Sheet1__12[AVERAGE AQI])</f>
        <v>130.42789855072468</v>
      </c>
    </row>
    <row r="13" spans="1:5" ht="15" thickTop="1" x14ac:dyDescent="0.3">
      <c r="A13" s="10" t="s">
        <v>4</v>
      </c>
      <c r="B13" s="4" t="s">
        <v>16</v>
      </c>
      <c r="C13" s="4">
        <v>12</v>
      </c>
      <c r="D13" s="4" t="s">
        <v>22</v>
      </c>
      <c r="E13" s="11">
        <f>AVERAGE([1]!Sheet1__13[AVERAGE AQI])</f>
        <v>118.00759700794764</v>
      </c>
    </row>
    <row r="14" spans="1:5" ht="15" thickBot="1" x14ac:dyDescent="0.35">
      <c r="A14" s="6" t="s">
        <v>17</v>
      </c>
      <c r="B14" s="2" t="s">
        <v>5</v>
      </c>
      <c r="C14" s="2">
        <v>1</v>
      </c>
      <c r="D14" s="2" t="s">
        <v>19</v>
      </c>
      <c r="E14" s="12">
        <f>SUBTOTAL(101,[2]!Sheet1[AVERAGE AQI])</f>
        <v>140.02471949509115</v>
      </c>
    </row>
    <row r="15" spans="1:5" ht="15.6" thickTop="1" thickBot="1" x14ac:dyDescent="0.35">
      <c r="A15" s="8" t="s">
        <v>17</v>
      </c>
      <c r="B15" s="3" t="s">
        <v>6</v>
      </c>
      <c r="C15" s="3">
        <v>2</v>
      </c>
      <c r="D15" s="3" t="s">
        <v>19</v>
      </c>
      <c r="E15" s="9">
        <f>SUBTOTAL(101,[2]!Sheet1__2[AVERAGE AQI])</f>
        <v>131.48660714285711</v>
      </c>
    </row>
    <row r="16" spans="1:5" ht="15.6" thickTop="1" thickBot="1" x14ac:dyDescent="0.35">
      <c r="A16" s="8" t="s">
        <v>17</v>
      </c>
      <c r="B16" s="3" t="s">
        <v>7</v>
      </c>
      <c r="C16" s="3">
        <v>3</v>
      </c>
      <c r="D16" s="3" t="s">
        <v>19</v>
      </c>
      <c r="E16" s="9">
        <f>AVERAGE([2]!Sheet1__3[AVERAGE AQI])</f>
        <v>126.79326044455779</v>
      </c>
    </row>
    <row r="17" spans="1:5" ht="15.6" thickTop="1" thickBot="1" x14ac:dyDescent="0.35">
      <c r="A17" s="8" t="s">
        <v>17</v>
      </c>
      <c r="B17" s="3" t="s">
        <v>8</v>
      </c>
      <c r="C17" s="3">
        <v>4</v>
      </c>
      <c r="D17" s="3" t="s">
        <v>20</v>
      </c>
      <c r="E17" s="9">
        <f>AVERAGE([2]!Sheet1__4[AVERAGE AQI])</f>
        <v>114.84500439174354</v>
      </c>
    </row>
    <row r="18" spans="1:5" ht="15.6" thickTop="1" thickBot="1" x14ac:dyDescent="0.35">
      <c r="A18" s="8" t="s">
        <v>17</v>
      </c>
      <c r="B18" s="3" t="s">
        <v>9</v>
      </c>
      <c r="C18" s="3">
        <v>5</v>
      </c>
      <c r="D18" s="3" t="s">
        <v>20</v>
      </c>
      <c r="E18" s="9">
        <f>AVERAGE([2]!Sheet1__5[AVERAGE AQI])</f>
        <v>79.2416144514672</v>
      </c>
    </row>
    <row r="19" spans="1:5" ht="15.6" thickTop="1" thickBot="1" x14ac:dyDescent="0.35">
      <c r="A19" s="8" t="s">
        <v>17</v>
      </c>
      <c r="B19" s="3" t="s">
        <v>10</v>
      </c>
      <c r="C19" s="3">
        <v>6</v>
      </c>
      <c r="D19" s="3" t="s">
        <v>20</v>
      </c>
      <c r="E19" s="9">
        <f>AVERAGE([2]!Sheet1__6[AVERAGE AQI])</f>
        <v>64.119611487546265</v>
      </c>
    </row>
    <row r="20" spans="1:5" ht="15.6" thickTop="1" thickBot="1" x14ac:dyDescent="0.35">
      <c r="A20" s="8" t="s">
        <v>17</v>
      </c>
      <c r="B20" s="3" t="s">
        <v>11</v>
      </c>
      <c r="C20" s="3">
        <v>7</v>
      </c>
      <c r="D20" s="3" t="s">
        <v>21</v>
      </c>
      <c r="E20" s="9">
        <f>AVERAGE([2]!Sheet1__7[AVERAGE AQI])</f>
        <v>53.206112669471715</v>
      </c>
    </row>
    <row r="21" spans="1:5" ht="15.6" thickTop="1" thickBot="1" x14ac:dyDescent="0.35">
      <c r="A21" s="8" t="s">
        <v>17</v>
      </c>
      <c r="B21" s="3" t="s">
        <v>12</v>
      </c>
      <c r="C21" s="3">
        <v>8</v>
      </c>
      <c r="D21" s="3" t="s">
        <v>21</v>
      </c>
      <c r="E21" s="9">
        <f>AVERAGE([2]!Sheet1__8[AVERAGE AQI])</f>
        <v>55.955889540566965</v>
      </c>
    </row>
    <row r="22" spans="1:5" ht="15.6" thickTop="1" thickBot="1" x14ac:dyDescent="0.35">
      <c r="A22" s="8" t="s">
        <v>17</v>
      </c>
      <c r="B22" s="3" t="s">
        <v>13</v>
      </c>
      <c r="C22" s="3">
        <v>9</v>
      </c>
      <c r="D22" s="3" t="s">
        <v>21</v>
      </c>
      <c r="E22" s="9">
        <f>AVERAGE([2]!Sheet1__9[AVERAGE AQI])</f>
        <v>57.271678743961353</v>
      </c>
    </row>
    <row r="23" spans="1:5" ht="15.6" thickTop="1" thickBot="1" x14ac:dyDescent="0.35">
      <c r="A23" s="8" t="s">
        <v>17</v>
      </c>
      <c r="B23" s="3" t="s">
        <v>14</v>
      </c>
      <c r="C23" s="3">
        <v>10</v>
      </c>
      <c r="D23" s="3" t="s">
        <v>22</v>
      </c>
      <c r="E23" s="9">
        <f>AVERAGE([2]!Sheet1__10[AVERAGE AQI])</f>
        <v>87.506077606358119</v>
      </c>
    </row>
    <row r="24" spans="1:5" ht="15.6" thickTop="1" thickBot="1" x14ac:dyDescent="0.35">
      <c r="A24" s="8" t="s">
        <v>17</v>
      </c>
      <c r="B24" s="3" t="s">
        <v>15</v>
      </c>
      <c r="C24" s="3">
        <v>11</v>
      </c>
      <c r="D24" s="3" t="s">
        <v>22</v>
      </c>
      <c r="E24" s="9">
        <f>AVERAGE([2]!Sheet1__11[AVERAGE AQI])</f>
        <v>129.57397342995168</v>
      </c>
    </row>
    <row r="25" spans="1:5" ht="15" thickTop="1" x14ac:dyDescent="0.3">
      <c r="A25" s="10" t="s">
        <v>17</v>
      </c>
      <c r="B25" s="4" t="s">
        <v>16</v>
      </c>
      <c r="C25" s="4">
        <v>12</v>
      </c>
      <c r="D25" s="4" t="s">
        <v>22</v>
      </c>
      <c r="E25" s="11">
        <f>AVERAGE([2]!Sheet1__12[AVERAGE AQI])</f>
        <v>193.18484104721836</v>
      </c>
    </row>
    <row r="26" spans="1:5" ht="15" thickBot="1" x14ac:dyDescent="0.35">
      <c r="A26" s="6" t="s">
        <v>23</v>
      </c>
      <c r="B26" s="2" t="s">
        <v>5</v>
      </c>
      <c r="C26" s="2">
        <v>1</v>
      </c>
      <c r="D26" s="2" t="s">
        <v>19</v>
      </c>
      <c r="E26" s="12">
        <f>AVERAGE([3]!Sheet1[AVERAGE AQI])</f>
        <v>121.81813931743805</v>
      </c>
    </row>
    <row r="27" spans="1:5" ht="15.6" thickTop="1" thickBot="1" x14ac:dyDescent="0.35">
      <c r="A27" s="8" t="s">
        <v>23</v>
      </c>
      <c r="B27" s="3" t="s">
        <v>6</v>
      </c>
      <c r="C27" s="3">
        <v>2</v>
      </c>
      <c r="D27" s="3" t="s">
        <v>19</v>
      </c>
      <c r="E27" s="9">
        <f>AVERAGE([3]!Sheet1__2[AVERAGE AQI])</f>
        <v>98.93607660455487</v>
      </c>
    </row>
    <row r="28" spans="1:5" ht="15.6" thickTop="1" thickBot="1" x14ac:dyDescent="0.35">
      <c r="A28" s="8" t="s">
        <v>23</v>
      </c>
      <c r="B28" s="3" t="s">
        <v>7</v>
      </c>
      <c r="C28" s="3">
        <v>3</v>
      </c>
      <c r="D28" s="3" t="s">
        <v>19</v>
      </c>
      <c r="E28" s="9">
        <f>AVERAGE([3]!Sheet1__3[AVERAGE AQI])</f>
        <v>98.367376429087486</v>
      </c>
    </row>
    <row r="29" spans="1:5" ht="15.6" thickTop="1" thickBot="1" x14ac:dyDescent="0.35">
      <c r="A29" s="8" t="s">
        <v>23</v>
      </c>
      <c r="B29" s="3" t="s">
        <v>8</v>
      </c>
      <c r="C29" s="3">
        <v>4</v>
      </c>
      <c r="D29" s="3" t="s">
        <v>20</v>
      </c>
      <c r="E29" s="9">
        <f>AVERAGE([3]!Sheet1__4[AVERAGE AQI])</f>
        <v>69.848534255599461</v>
      </c>
    </row>
    <row r="30" spans="1:5" ht="15.6" thickTop="1" thickBot="1" x14ac:dyDescent="0.35">
      <c r="A30" s="8" t="s">
        <v>23</v>
      </c>
      <c r="B30" s="3" t="s">
        <v>9</v>
      </c>
      <c r="C30" s="3">
        <v>5</v>
      </c>
      <c r="D30" s="3" t="s">
        <v>20</v>
      </c>
      <c r="E30" s="9">
        <f>AVERAGE([3]!Sheet1__5[AVERAGE AQI])</f>
        <v>55.747696611476421</v>
      </c>
    </row>
    <row r="31" spans="1:5" ht="15.6" thickTop="1" thickBot="1" x14ac:dyDescent="0.35">
      <c r="A31" s="8" t="s">
        <v>23</v>
      </c>
      <c r="B31" s="3" t="s">
        <v>10</v>
      </c>
      <c r="C31" s="3">
        <v>6</v>
      </c>
      <c r="D31" s="3" t="s">
        <v>20</v>
      </c>
      <c r="E31" s="9">
        <f>SUBTOTAL(101,[3]!Sheet1__6[AVERAGE AQI])</f>
        <v>54.639634701047754</v>
      </c>
    </row>
    <row r="32" spans="1:5" ht="15.6" thickTop="1" thickBot="1" x14ac:dyDescent="0.35">
      <c r="A32" s="8" t="s">
        <v>23</v>
      </c>
      <c r="B32" s="3" t="s">
        <v>11</v>
      </c>
      <c r="C32" s="3">
        <v>7</v>
      </c>
      <c r="D32" s="3" t="s">
        <v>21</v>
      </c>
      <c r="E32" s="9">
        <f>SUBTOTAL(101,[3]!Sheet1__7[AVERAGE AQI])</f>
        <v>50.600639484405264</v>
      </c>
    </row>
    <row r="33" spans="1:5" ht="15.6" thickTop="1" thickBot="1" x14ac:dyDescent="0.35">
      <c r="A33" s="8" t="s">
        <v>23</v>
      </c>
      <c r="B33" s="3" t="s">
        <v>12</v>
      </c>
      <c r="C33" s="3">
        <v>8</v>
      </c>
      <c r="D33" s="3" t="s">
        <v>21</v>
      </c>
      <c r="E33" s="9">
        <f>SUBTOTAL(101,[3]!Sheet1__8[AVERAGE AQI])</f>
        <v>48.101566152407663</v>
      </c>
    </row>
    <row r="34" spans="1:5" ht="15.6" thickTop="1" thickBot="1" x14ac:dyDescent="0.35">
      <c r="A34" s="8" t="s">
        <v>23</v>
      </c>
      <c r="B34" s="3" t="s">
        <v>13</v>
      </c>
      <c r="C34" s="3">
        <v>9</v>
      </c>
      <c r="D34" s="3" t="s">
        <v>21</v>
      </c>
      <c r="E34" s="9">
        <f>SUBTOTAL(101,[3]!Sheet1__9[AVERAGE AQI])</f>
        <v>50.874758454106278</v>
      </c>
    </row>
    <row r="35" spans="1:5" ht="15.6" thickTop="1" thickBot="1" x14ac:dyDescent="0.35">
      <c r="A35" s="8" t="s">
        <v>23</v>
      </c>
      <c r="B35" s="3" t="s">
        <v>14</v>
      </c>
      <c r="C35" s="3">
        <v>10</v>
      </c>
      <c r="D35" s="3" t="s">
        <v>22</v>
      </c>
      <c r="E35" s="9">
        <f>SUBTOTAL(101,[3]!Sheet1__10[AVERAGE AQI])</f>
        <v>81.349287050023392</v>
      </c>
    </row>
    <row r="36" spans="1:5" ht="15.6" thickTop="1" thickBot="1" x14ac:dyDescent="0.35">
      <c r="A36" s="8" t="s">
        <v>23</v>
      </c>
      <c r="B36" s="3" t="s">
        <v>15</v>
      </c>
      <c r="C36" s="3">
        <v>11</v>
      </c>
      <c r="D36" s="3" t="s">
        <v>22</v>
      </c>
      <c r="E36" s="9">
        <f>SUBTOTAL(101,[3]!Sheet1__11[AVERAGE AQI])</f>
        <v>97.945289855072446</v>
      </c>
    </row>
    <row r="37" spans="1:5" ht="15" thickTop="1" x14ac:dyDescent="0.3">
      <c r="A37" s="10" t="s">
        <v>23</v>
      </c>
      <c r="B37" s="4" t="s">
        <v>16</v>
      </c>
      <c r="C37" s="4">
        <v>12</v>
      </c>
      <c r="D37" s="4" t="s">
        <v>22</v>
      </c>
      <c r="E37" s="11">
        <f>SUBTOTAL(101,[3]!Sheet1__12[AVERAGE AQI])</f>
        <v>112.40246610565686</v>
      </c>
    </row>
    <row r="38" spans="1:5" ht="15" thickBot="1" x14ac:dyDescent="0.35">
      <c r="A38" s="6" t="s">
        <v>24</v>
      </c>
      <c r="B38" s="2" t="s">
        <v>5</v>
      </c>
      <c r="C38" s="2">
        <v>1</v>
      </c>
      <c r="D38" s="2" t="s">
        <v>19</v>
      </c>
      <c r="E38" s="12">
        <f>SUBTOTAL(101,[4]!Sheet1[AVERAGE AQI])</f>
        <v>152.17145862552593</v>
      </c>
    </row>
    <row r="39" spans="1:5" ht="15.6" thickTop="1" thickBot="1" x14ac:dyDescent="0.35">
      <c r="A39" s="8" t="s">
        <v>24</v>
      </c>
      <c r="B39" s="3" t="s">
        <v>6</v>
      </c>
      <c r="C39" s="3">
        <v>2</v>
      </c>
      <c r="D39" s="3" t="s">
        <v>19</v>
      </c>
      <c r="E39" s="9">
        <f>SUBTOTAL(101,[4]!Sheet1__2[AVERAGE AQI])</f>
        <v>115.95833333333333</v>
      </c>
    </row>
    <row r="40" spans="1:5" ht="15.6" thickTop="1" thickBot="1" x14ac:dyDescent="0.35">
      <c r="A40" s="8" t="s">
        <v>24</v>
      </c>
      <c r="B40" s="3" t="s">
        <v>7</v>
      </c>
      <c r="C40" s="3">
        <v>3</v>
      </c>
      <c r="D40" s="3" t="s">
        <v>19</v>
      </c>
      <c r="E40" s="9">
        <f>SUBTOTAL(101,[4]!Sheet1__3[AVERAGE AQI])</f>
        <v>122.34959518041566</v>
      </c>
    </row>
    <row r="41" spans="1:5" ht="15.6" thickTop="1" thickBot="1" x14ac:dyDescent="0.35">
      <c r="A41" s="8" t="s">
        <v>24</v>
      </c>
      <c r="B41" s="3" t="s">
        <v>8</v>
      </c>
      <c r="C41" s="3">
        <v>4</v>
      </c>
      <c r="D41" s="3" t="s">
        <v>20</v>
      </c>
      <c r="E41" s="9">
        <f>SUBTOTAL(101,[4]!Sheet1__4[AVERAGE AQI])</f>
        <v>112.55346947738252</v>
      </c>
    </row>
    <row r="42" spans="1:5" ht="15.6" thickTop="1" thickBot="1" x14ac:dyDescent="0.35">
      <c r="A42" s="8" t="s">
        <v>24</v>
      </c>
      <c r="B42" s="3" t="s">
        <v>9</v>
      </c>
      <c r="C42" s="3">
        <v>5</v>
      </c>
      <c r="D42" s="3" t="s">
        <v>20</v>
      </c>
      <c r="E42" s="9">
        <f>SUBTOTAL(101,[4]!Sheet1__5[AVERAGE AQI])</f>
        <v>72.40690363867084</v>
      </c>
    </row>
    <row r="43" spans="1:5" ht="15.6" thickTop="1" thickBot="1" x14ac:dyDescent="0.35">
      <c r="A43" s="8" t="s">
        <v>24</v>
      </c>
      <c r="B43" s="3" t="s">
        <v>10</v>
      </c>
      <c r="C43" s="3">
        <v>6</v>
      </c>
      <c r="D43" s="3" t="s">
        <v>20</v>
      </c>
      <c r="E43" s="9">
        <f>SUBTOTAL(101,[4]!Sheet1__6[AVERAGE AQI])</f>
        <v>64.487262375305846</v>
      </c>
    </row>
    <row r="44" spans="1:5" ht="15.6" thickTop="1" thickBot="1" x14ac:dyDescent="0.35">
      <c r="A44" s="8" t="s">
        <v>24</v>
      </c>
      <c r="B44" s="3" t="s">
        <v>11</v>
      </c>
      <c r="C44" s="3">
        <v>7</v>
      </c>
      <c r="D44" s="3" t="s">
        <v>21</v>
      </c>
      <c r="E44" s="9">
        <f>SUBTOTAL(101,[4]!Sheet1__7[AVERAGE AQI])</f>
        <v>46.83467741935484</v>
      </c>
    </row>
    <row r="45" spans="1:5" ht="15.6" thickTop="1" thickBot="1" x14ac:dyDescent="0.35">
      <c r="A45" s="8" t="s">
        <v>24</v>
      </c>
      <c r="B45" s="3" t="s">
        <v>12</v>
      </c>
      <c r="C45" s="3">
        <v>8</v>
      </c>
      <c r="D45" s="3" t="s">
        <v>21</v>
      </c>
      <c r="E45" s="9">
        <f>SUBTOTAL(101,[4]!Sheet1__8[AVERAGE AQI])</f>
        <v>48.831086106506874</v>
      </c>
    </row>
    <row r="46" spans="1:5" ht="15.6" thickTop="1" thickBot="1" x14ac:dyDescent="0.35">
      <c r="A46" s="8" t="s">
        <v>24</v>
      </c>
      <c r="B46" s="3" t="s">
        <v>13</v>
      </c>
      <c r="C46" s="3">
        <v>9</v>
      </c>
      <c r="D46" s="3" t="s">
        <v>21</v>
      </c>
      <c r="E46" s="9">
        <f>SUBTOTAL(101,[4]!Sheet1__9[AVERAGE AQI])</f>
        <v>48.565277777777773</v>
      </c>
    </row>
    <row r="47" spans="1:5" ht="15.6" thickTop="1" thickBot="1" x14ac:dyDescent="0.35">
      <c r="A47" s="8" t="s">
        <v>24</v>
      </c>
      <c r="B47" s="3" t="s">
        <v>14</v>
      </c>
      <c r="C47" s="3">
        <v>10</v>
      </c>
      <c r="D47" s="3" t="s">
        <v>22</v>
      </c>
      <c r="E47" s="9">
        <f>SUBTOTAL(101,[4]!Sheet1__10[AVERAGE AQI])</f>
        <v>91.229488078541365</v>
      </c>
    </row>
    <row r="48" spans="1:5" ht="15.6" thickTop="1" thickBot="1" x14ac:dyDescent="0.35">
      <c r="A48" s="8" t="s">
        <v>24</v>
      </c>
      <c r="B48" s="3" t="s">
        <v>15</v>
      </c>
      <c r="C48" s="3">
        <v>11</v>
      </c>
      <c r="D48" s="3" t="s">
        <v>22</v>
      </c>
      <c r="E48" s="9">
        <f>SUBTOTAL(101,[4]!Sheet1__11[AVERAGE AQI])</f>
        <v>144.53834541062801</v>
      </c>
    </row>
    <row r="49" spans="1:5" ht="15" thickTop="1" x14ac:dyDescent="0.3">
      <c r="A49" s="10" t="s">
        <v>24</v>
      </c>
      <c r="B49" s="4" t="s">
        <v>16</v>
      </c>
      <c r="C49" s="4">
        <v>12</v>
      </c>
      <c r="D49" s="4" t="s">
        <v>22</v>
      </c>
      <c r="E49" s="11">
        <f>SUBTOTAL(101,[4]!Sheet1__12[AVERAGE AQI])</f>
        <v>129.97598176718091</v>
      </c>
    </row>
    <row r="50" spans="1:5" ht="15" thickBot="1" x14ac:dyDescent="0.35">
      <c r="A50" s="6" t="s">
        <v>25</v>
      </c>
      <c r="B50" s="2" t="s">
        <v>5</v>
      </c>
      <c r="C50" s="2">
        <v>1</v>
      </c>
      <c r="D50" s="2" t="s">
        <v>19</v>
      </c>
      <c r="E50" s="12">
        <f>AVERAGE([5]!Sheet1[AVERAGE AQI])</f>
        <v>123.5243688639551</v>
      </c>
    </row>
    <row r="51" spans="1:5" ht="15.6" thickTop="1" thickBot="1" x14ac:dyDescent="0.35">
      <c r="A51" s="8" t="s">
        <v>25</v>
      </c>
      <c r="B51" s="3" t="s">
        <v>6</v>
      </c>
      <c r="C51" s="3">
        <v>2</v>
      </c>
      <c r="D51" s="3" t="s">
        <v>19</v>
      </c>
      <c r="E51" s="9">
        <f>AVERAGE([5]!Sheet1__2[AVERAGE AQI])</f>
        <v>108.61755952380953</v>
      </c>
    </row>
    <row r="52" spans="1:5" ht="15.6" thickTop="1" thickBot="1" x14ac:dyDescent="0.35">
      <c r="A52" s="8" t="s">
        <v>25</v>
      </c>
      <c r="B52" s="3" t="s">
        <v>7</v>
      </c>
      <c r="C52" s="3">
        <v>3</v>
      </c>
      <c r="D52" s="3" t="s">
        <v>19</v>
      </c>
      <c r="E52" s="9">
        <f>AVERAGE([5]!Sheet1__3[AVERAGE AQI])</f>
        <v>116.18870330230776</v>
      </c>
    </row>
    <row r="53" spans="1:5" ht="15.6" thickTop="1" thickBot="1" x14ac:dyDescent="0.35">
      <c r="A53" s="8" t="s">
        <v>25</v>
      </c>
      <c r="B53" s="3" t="s">
        <v>8</v>
      </c>
      <c r="C53" s="3">
        <v>4</v>
      </c>
      <c r="D53" s="3" t="s">
        <v>20</v>
      </c>
      <c r="E53" s="9">
        <f>AVERAGE([5]!Sheet1__4[AVERAGE AQI])</f>
        <v>102.4477547211243</v>
      </c>
    </row>
    <row r="54" spans="1:5" ht="15.6" thickTop="1" thickBot="1" x14ac:dyDescent="0.35">
      <c r="A54" s="8" t="s">
        <v>25</v>
      </c>
      <c r="B54" s="3" t="s">
        <v>9</v>
      </c>
      <c r="C54" s="3">
        <v>5</v>
      </c>
      <c r="D54" s="3" t="s">
        <v>20</v>
      </c>
      <c r="E54" s="9">
        <f>AVERAGE([5]!Sheet1__5[AVERAGE AQI])</f>
        <v>66.513777071455891</v>
      </c>
    </row>
    <row r="55" spans="1:5" ht="15.6" thickTop="1" thickBot="1" x14ac:dyDescent="0.35">
      <c r="A55" s="8" t="s">
        <v>25</v>
      </c>
      <c r="B55" s="3" t="s">
        <v>10</v>
      </c>
      <c r="C55" s="3">
        <v>6</v>
      </c>
      <c r="D55" s="3" t="s">
        <v>20</v>
      </c>
      <c r="E55" s="9">
        <f>AVERAGE([5]!Sheet1__6[AVERAGE AQI])</f>
        <v>60.968382583599961</v>
      </c>
    </row>
    <row r="56" spans="1:5" ht="15.6" thickTop="1" thickBot="1" x14ac:dyDescent="0.35">
      <c r="A56" s="8" t="s">
        <v>25</v>
      </c>
      <c r="B56" s="3" t="s">
        <v>11</v>
      </c>
      <c r="C56" s="3">
        <v>7</v>
      </c>
      <c r="D56" s="3" t="s">
        <v>21</v>
      </c>
      <c r="E56" s="9">
        <f>AVERAGE([5]!Sheet1__7[AVERAGE AQI])</f>
        <v>44.974988312295459</v>
      </c>
    </row>
    <row r="57" spans="1:5" ht="15.6" thickTop="1" thickBot="1" x14ac:dyDescent="0.35">
      <c r="A57" s="8" t="s">
        <v>25</v>
      </c>
      <c r="B57" s="3" t="s">
        <v>12</v>
      </c>
      <c r="C57" s="3">
        <v>8</v>
      </c>
      <c r="D57" s="3" t="s">
        <v>21</v>
      </c>
      <c r="E57" s="9">
        <f>AVERAGE([5]!Sheet1__8[AVERAGE AQI])</f>
        <v>43.615007012622719</v>
      </c>
    </row>
    <row r="58" spans="1:5" ht="15.6" thickTop="1" thickBot="1" x14ac:dyDescent="0.35">
      <c r="A58" s="8" t="s">
        <v>25</v>
      </c>
      <c r="B58" s="3" t="s">
        <v>13</v>
      </c>
      <c r="C58" s="3">
        <v>9</v>
      </c>
      <c r="D58" s="3" t="s">
        <v>21</v>
      </c>
      <c r="E58" s="9">
        <f>AVERAGE([5]!Sheet1__9[AVERAGE AQI])</f>
        <v>44.556884057971011</v>
      </c>
    </row>
    <row r="59" spans="1:5" ht="15.6" thickTop="1" thickBot="1" x14ac:dyDescent="0.35">
      <c r="A59" s="8" t="s">
        <v>25</v>
      </c>
      <c r="B59" s="3" t="s">
        <v>14</v>
      </c>
      <c r="C59" s="3">
        <v>10</v>
      </c>
      <c r="D59" s="3" t="s">
        <v>22</v>
      </c>
      <c r="E59" s="9">
        <f>AVERAGE([5]!Sheet1__10[AVERAGE AQI])</f>
        <v>82.563055165965423</v>
      </c>
    </row>
    <row r="60" spans="1:5" ht="15.6" thickTop="1" thickBot="1" x14ac:dyDescent="0.35">
      <c r="A60" s="8" t="s">
        <v>25</v>
      </c>
      <c r="B60" s="3" t="s">
        <v>15</v>
      </c>
      <c r="C60" s="3">
        <v>11</v>
      </c>
      <c r="D60" s="3" t="s">
        <v>22</v>
      </c>
      <c r="E60" s="9">
        <f>AVERAGE([5]!Sheet1__11[AVERAGE AQI])</f>
        <v>114.96708937198065</v>
      </c>
    </row>
    <row r="61" spans="1:5" ht="15" thickTop="1" x14ac:dyDescent="0.3">
      <c r="A61" s="10" t="s">
        <v>25</v>
      </c>
      <c r="B61" s="4" t="s">
        <v>16</v>
      </c>
      <c r="C61" s="4">
        <v>12</v>
      </c>
      <c r="D61" s="4" t="s">
        <v>22</v>
      </c>
      <c r="E61" s="11">
        <f>AVERAGE([5]!Sheet1__12[AVERAGE AQI])</f>
        <v>112.87213651238899</v>
      </c>
    </row>
    <row r="62" spans="1:5" x14ac:dyDescent="0.3">
      <c r="A62" s="3"/>
      <c r="B62" s="3"/>
      <c r="C62" s="3"/>
      <c r="D62" s="3"/>
      <c r="E6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2026-09-07T12:21:11Z</dcterms:created>
  <dcterms:modified xsi:type="dcterms:W3CDTF">2026-09-07T12:37:33Z</dcterms:modified>
</cp:coreProperties>
</file>
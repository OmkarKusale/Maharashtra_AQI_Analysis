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kar\OneDrive\Desktop\AQI PROJECT\"/>
    </mc:Choice>
  </mc:AlternateContent>
  <xr:revisionPtr revIDLastSave="0" documentId="13_ncr:1_{294BA11C-7AFD-472B-9F23-F34F5D46D7F3}" xr6:coauthVersionLast="47" xr6:coauthVersionMax="47" xr10:uidLastSave="{00000000-0000-0000-0000-000000000000}"/>
  <bookViews>
    <workbookView xWindow="-108" yWindow="-108" windowWidth="23256" windowHeight="12456" activeTab="11" xr2:uid="{1A978D90-A83F-406D-9A30-23779E8E8110}"/>
  </bookViews>
  <sheets>
    <sheet name="JAN" sheetId="4" r:id="rId1"/>
    <sheet name="FEB" sheetId="5" r:id="rId2"/>
    <sheet name="MAR" sheetId="6" r:id="rId3"/>
    <sheet name="APR" sheetId="7" r:id="rId4"/>
    <sheet name="MAY" sheetId="8" r:id="rId5"/>
    <sheet name="JUN" sheetId="9" r:id="rId6"/>
    <sheet name="JUL" sheetId="10" r:id="rId7"/>
    <sheet name="AUG" sheetId="11" r:id="rId8"/>
    <sheet name="SEPT" sheetId="12" r:id="rId9"/>
    <sheet name="OCT" sheetId="13" r:id="rId10"/>
    <sheet name="NOV" sheetId="14" r:id="rId11"/>
    <sheet name="DEC" sheetId="15" r:id="rId12"/>
  </sheets>
  <definedNames>
    <definedName name="ExternalData_1" localSheetId="3" hidden="1">APR!$A$1:$Y$31</definedName>
    <definedName name="ExternalData_1" localSheetId="7" hidden="1">AUG!$A$1:$Y$32</definedName>
    <definedName name="ExternalData_1" localSheetId="11" hidden="1">DEC!$A$1:$Y$32</definedName>
    <definedName name="ExternalData_1" localSheetId="1" hidden="1">FEB!$A$1:$Y$29</definedName>
    <definedName name="ExternalData_1" localSheetId="0" hidden="1">JAN!$A$1:$Y$32</definedName>
    <definedName name="ExternalData_1" localSheetId="6" hidden="1">JUL!$A$1:$Y$32</definedName>
    <definedName name="ExternalData_1" localSheetId="5" hidden="1">JUN!$A$1:$Y$31</definedName>
    <definedName name="ExternalData_1" localSheetId="2" hidden="1">MAR!$A$1:$Y$32</definedName>
    <definedName name="ExternalData_1" localSheetId="4" hidden="1">MAY!$A$1:$Y$32</definedName>
    <definedName name="ExternalData_1" localSheetId="10" hidden="1">NOV!$A$1:$Y$31</definedName>
    <definedName name="ExternalData_1" localSheetId="9" hidden="1">OCT!$A$1:$Y$32</definedName>
    <definedName name="ExternalData_1" localSheetId="8" hidden="1">SEPT!$A$1:$Y$31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1" i="7" l="1"/>
  <c r="Z32" i="11"/>
  <c r="AD1" i="15"/>
  <c r="AD1" i="14"/>
  <c r="AD1" i="13"/>
  <c r="AD1" i="12"/>
  <c r="AD1" i="10"/>
  <c r="AD1" i="9"/>
  <c r="AD1" i="8"/>
  <c r="AD1" i="6"/>
  <c r="AD1" i="5"/>
  <c r="AD1" i="4"/>
  <c r="Z7" i="9"/>
  <c r="Z3" i="15"/>
  <c r="AA3" i="15" s="1" a="1"/>
  <c r="Z4" i="15"/>
  <c r="AA4" i="15" s="1" a="1"/>
  <c r="Z5" i="15"/>
  <c r="AA5" i="15" s="1" a="1"/>
  <c r="Z6" i="15"/>
  <c r="AA6" i="15" s="1" a="1"/>
  <c r="Z7" i="15"/>
  <c r="AA7" i="15" s="1" a="1"/>
  <c r="Z8" i="15"/>
  <c r="AA8" i="15" s="1" a="1"/>
  <c r="Z9" i="15"/>
  <c r="AA9" i="15" s="1" a="1"/>
  <c r="Z10" i="15"/>
  <c r="AA10" i="15" s="1" a="1"/>
  <c r="Z11" i="15"/>
  <c r="AA11" i="15" s="1" a="1"/>
  <c r="Z12" i="15"/>
  <c r="AA12" i="15" s="1" a="1"/>
  <c r="Z13" i="15"/>
  <c r="AA13" i="15" s="1" a="1"/>
  <c r="Z14" i="15"/>
  <c r="AA14" i="15" s="1" a="1"/>
  <c r="Z15" i="15"/>
  <c r="AA15" i="15" s="1" a="1"/>
  <c r="Z16" i="15"/>
  <c r="AA16" i="15" s="1" a="1"/>
  <c r="Z17" i="15"/>
  <c r="AA17" i="15" s="1" a="1"/>
  <c r="Z18" i="15"/>
  <c r="AA18" i="15" s="1" a="1"/>
  <c r="Z19" i="15"/>
  <c r="AA19" i="15" s="1" a="1"/>
  <c r="Z20" i="15"/>
  <c r="AA20" i="15" s="1" a="1"/>
  <c r="Z21" i="15"/>
  <c r="AA21" i="15" s="1" a="1"/>
  <c r="Z22" i="15"/>
  <c r="AA22" i="15" s="1" a="1"/>
  <c r="Z23" i="15"/>
  <c r="AA23" i="15" s="1" a="1"/>
  <c r="Z24" i="15"/>
  <c r="AA24" i="15" s="1" a="1"/>
  <c r="Z25" i="15"/>
  <c r="AA25" i="15" s="1" a="1"/>
  <c r="Z26" i="15"/>
  <c r="AA26" i="15" s="1" a="1"/>
  <c r="Z27" i="15"/>
  <c r="AA27" i="15" s="1" a="1"/>
  <c r="Z28" i="15"/>
  <c r="AA28" i="15" s="1" a="1"/>
  <c r="Z29" i="15"/>
  <c r="AA29" i="15" s="1" a="1"/>
  <c r="Z30" i="15"/>
  <c r="AA30" i="15" s="1" a="1"/>
  <c r="Z31" i="15"/>
  <c r="AA31" i="15" s="1" a="1"/>
  <c r="Z32" i="15"/>
  <c r="AA32" i="15" s="1" a="1"/>
  <c r="Z2" i="15"/>
  <c r="AA2" i="15" s="1" a="1"/>
  <c r="Z32" i="14"/>
  <c r="Z3" i="14"/>
  <c r="AA3" i="14" s="1" a="1"/>
  <c r="Z4" i="14"/>
  <c r="AA4" i="14" s="1" a="1"/>
  <c r="Z5" i="14"/>
  <c r="AA5" i="14" s="1" a="1"/>
  <c r="Z6" i="14"/>
  <c r="AA6" i="14" s="1" a="1"/>
  <c r="Z7" i="14"/>
  <c r="AA7" i="14" s="1" a="1"/>
  <c r="Z8" i="14"/>
  <c r="AA8" i="14" s="1" a="1"/>
  <c r="Z9" i="14"/>
  <c r="AA9" i="14" s="1" a="1"/>
  <c r="Z10" i="14"/>
  <c r="AA10" i="14" s="1" a="1"/>
  <c r="Z11" i="14"/>
  <c r="AA11" i="14" s="1" a="1"/>
  <c r="Z12" i="14"/>
  <c r="AA12" i="14" s="1" a="1"/>
  <c r="Z13" i="14"/>
  <c r="AA13" i="14" s="1" a="1"/>
  <c r="Z14" i="14"/>
  <c r="AA14" i="14" s="1" a="1"/>
  <c r="Z15" i="14"/>
  <c r="AA15" i="14" s="1" a="1"/>
  <c r="Z16" i="14"/>
  <c r="AA16" i="14" s="1" a="1"/>
  <c r="Z17" i="14"/>
  <c r="AA17" i="14" s="1" a="1"/>
  <c r="Z18" i="14"/>
  <c r="AA18" i="14" s="1" a="1"/>
  <c r="Z19" i="14"/>
  <c r="AA19" i="14" s="1" a="1"/>
  <c r="Z20" i="14"/>
  <c r="AA20" i="14" s="1" a="1"/>
  <c r="Z21" i="14"/>
  <c r="AA21" i="14" s="1" a="1"/>
  <c r="Z22" i="14"/>
  <c r="AA22" i="14" s="1" a="1"/>
  <c r="Z23" i="14"/>
  <c r="AA23" i="14" s="1" a="1"/>
  <c r="Z24" i="14"/>
  <c r="AA24" i="14" s="1" a="1"/>
  <c r="Z25" i="14"/>
  <c r="AA25" i="14" s="1" a="1"/>
  <c r="Z26" i="14"/>
  <c r="AA26" i="14" s="1" a="1"/>
  <c r="Z27" i="14"/>
  <c r="AA27" i="14" s="1" a="1"/>
  <c r="Z28" i="14"/>
  <c r="AA28" i="14" s="1" a="1"/>
  <c r="Z29" i="14"/>
  <c r="AA29" i="14" s="1" a="1"/>
  <c r="Z30" i="14"/>
  <c r="AA30" i="14" s="1" a="1"/>
  <c r="Z31" i="14"/>
  <c r="AA31" i="14" s="1" a="1"/>
  <c r="Z2" i="14"/>
  <c r="Z33" i="13"/>
  <c r="Z3" i="13"/>
  <c r="AA3" i="13" s="1" a="1"/>
  <c r="Z4" i="13"/>
  <c r="AA4" i="13" s="1" a="1"/>
  <c r="Z5" i="13"/>
  <c r="AA5" i="13" s="1" a="1"/>
  <c r="Z6" i="13"/>
  <c r="AA6" i="13" s="1" a="1"/>
  <c r="Z7" i="13"/>
  <c r="AA7" i="13" s="1" a="1"/>
  <c r="Z8" i="13"/>
  <c r="AA8" i="13" s="1" a="1"/>
  <c r="Z9" i="13"/>
  <c r="AA9" i="13" s="1" a="1"/>
  <c r="Z10" i="13"/>
  <c r="AA10" i="13" s="1" a="1"/>
  <c r="Z11" i="13"/>
  <c r="AA11" i="13" s="1" a="1"/>
  <c r="Z12" i="13"/>
  <c r="AA12" i="13" s="1" a="1"/>
  <c r="Z13" i="13"/>
  <c r="AA13" i="13" s="1" a="1"/>
  <c r="Z14" i="13"/>
  <c r="AA14" i="13" s="1" a="1"/>
  <c r="Z15" i="13"/>
  <c r="AA15" i="13" s="1" a="1"/>
  <c r="Z16" i="13"/>
  <c r="AA16" i="13" s="1" a="1"/>
  <c r="Z17" i="13"/>
  <c r="AA17" i="13" s="1" a="1"/>
  <c r="Z18" i="13"/>
  <c r="AA18" i="13" s="1" a="1"/>
  <c r="Z19" i="13"/>
  <c r="AA19" i="13" s="1" a="1"/>
  <c r="Z20" i="13"/>
  <c r="AA20" i="13" s="1" a="1"/>
  <c r="Z21" i="13"/>
  <c r="AA21" i="13" s="1" a="1"/>
  <c r="Z22" i="13"/>
  <c r="AA22" i="13" s="1" a="1"/>
  <c r="Z23" i="13"/>
  <c r="AA23" i="13" s="1" a="1"/>
  <c r="Z24" i="13"/>
  <c r="AA24" i="13" s="1" a="1"/>
  <c r="Z25" i="13"/>
  <c r="AA25" i="13" s="1" a="1"/>
  <c r="Z26" i="13"/>
  <c r="AA26" i="13" s="1" a="1"/>
  <c r="Z27" i="13"/>
  <c r="AA27" i="13" s="1" a="1"/>
  <c r="Z28" i="13"/>
  <c r="AA28" i="13" s="1" a="1"/>
  <c r="Z29" i="13"/>
  <c r="AA29" i="13" s="1" a="1"/>
  <c r="Z30" i="13"/>
  <c r="AA30" i="13" s="1" a="1"/>
  <c r="Z31" i="13"/>
  <c r="AA31" i="13" s="1" a="1"/>
  <c r="Z32" i="13"/>
  <c r="AA32" i="13" s="1" a="1"/>
  <c r="Z2" i="13"/>
  <c r="Z3" i="12"/>
  <c r="AA3" i="12" s="1" a="1"/>
  <c r="Z4" i="12"/>
  <c r="AA4" i="12" s="1" a="1"/>
  <c r="Z5" i="12"/>
  <c r="AA5" i="12" s="1" a="1"/>
  <c r="Z6" i="12"/>
  <c r="AA6" i="12" s="1" a="1"/>
  <c r="Z7" i="12"/>
  <c r="AA7" i="12" s="1" a="1"/>
  <c r="Z8" i="12"/>
  <c r="AA8" i="12" s="1" a="1"/>
  <c r="Z9" i="12"/>
  <c r="AA9" i="12" s="1" a="1"/>
  <c r="Z10" i="12"/>
  <c r="AA10" i="12" s="1" a="1"/>
  <c r="Z11" i="12"/>
  <c r="AA11" i="12" s="1" a="1"/>
  <c r="Z12" i="12"/>
  <c r="AA12" i="12" s="1" a="1"/>
  <c r="Z13" i="12"/>
  <c r="AA13" i="12" s="1" a="1"/>
  <c r="Z14" i="12"/>
  <c r="AA14" i="12" s="1" a="1"/>
  <c r="Z15" i="12"/>
  <c r="AA15" i="12" s="1" a="1"/>
  <c r="Z16" i="12"/>
  <c r="AA16" i="12" s="1" a="1"/>
  <c r="Z17" i="12"/>
  <c r="AA17" i="12" s="1" a="1"/>
  <c r="Z18" i="12"/>
  <c r="AA18" i="12" s="1" a="1"/>
  <c r="Z19" i="12"/>
  <c r="AA19" i="12" s="1" a="1"/>
  <c r="Z20" i="12"/>
  <c r="AA20" i="12" s="1" a="1"/>
  <c r="Z21" i="12"/>
  <c r="AA21" i="12" s="1" a="1"/>
  <c r="Z22" i="12"/>
  <c r="AA22" i="12" s="1" a="1"/>
  <c r="Z23" i="12"/>
  <c r="AA23" i="12" s="1" a="1"/>
  <c r="Z24" i="12"/>
  <c r="AA24" i="12" s="1" a="1"/>
  <c r="Z25" i="12"/>
  <c r="AA25" i="12" s="1" a="1"/>
  <c r="Z26" i="12"/>
  <c r="AA26" i="12" s="1" a="1"/>
  <c r="Z27" i="12"/>
  <c r="AA27" i="12" s="1" a="1"/>
  <c r="Z28" i="12"/>
  <c r="AA28" i="12" s="1" a="1"/>
  <c r="Z29" i="12"/>
  <c r="AA29" i="12" s="1" a="1"/>
  <c r="Z30" i="12"/>
  <c r="AA30" i="12" s="1" a="1"/>
  <c r="Z31" i="12"/>
  <c r="AA31" i="12" s="1" a="1"/>
  <c r="Z2" i="12"/>
  <c r="Z3" i="11"/>
  <c r="AA3" i="11" s="1" a="1"/>
  <c r="Z4" i="11"/>
  <c r="AA4" i="11" s="1" a="1"/>
  <c r="Z5" i="11"/>
  <c r="AA5" i="11" s="1" a="1"/>
  <c r="Z6" i="11"/>
  <c r="AA6" i="11" s="1" a="1"/>
  <c r="Z7" i="11"/>
  <c r="AA7" i="11" s="1" a="1"/>
  <c r="Z8" i="11"/>
  <c r="AA8" i="11" s="1" a="1"/>
  <c r="Z9" i="11"/>
  <c r="AA9" i="11" s="1" a="1"/>
  <c r="Z10" i="11"/>
  <c r="AA10" i="11" s="1" a="1"/>
  <c r="Z11" i="11"/>
  <c r="AA11" i="11" s="1" a="1"/>
  <c r="Z12" i="11"/>
  <c r="AA12" i="11" s="1" a="1"/>
  <c r="Z13" i="11"/>
  <c r="AA13" i="11" s="1" a="1"/>
  <c r="Z14" i="11"/>
  <c r="AA14" i="11" s="1" a="1"/>
  <c r="Z15" i="11"/>
  <c r="AA15" i="11" s="1" a="1"/>
  <c r="Z16" i="11"/>
  <c r="AA16" i="11" s="1" a="1"/>
  <c r="Z17" i="11"/>
  <c r="AA17" i="11" s="1" a="1"/>
  <c r="Z18" i="11"/>
  <c r="AA18" i="11" s="1" a="1"/>
  <c r="Z19" i="11"/>
  <c r="AA19" i="11" s="1" a="1"/>
  <c r="Z20" i="11"/>
  <c r="AA20" i="11" s="1" a="1"/>
  <c r="Z21" i="11"/>
  <c r="AA21" i="11" s="1" a="1"/>
  <c r="Z22" i="11"/>
  <c r="AA22" i="11" s="1" a="1"/>
  <c r="Z23" i="11"/>
  <c r="AA23" i="11" s="1" a="1"/>
  <c r="Z24" i="11"/>
  <c r="AA24" i="11" s="1" a="1"/>
  <c r="Z25" i="11"/>
  <c r="AA25" i="11" s="1" a="1"/>
  <c r="Z26" i="11"/>
  <c r="AA26" i="11" s="1" a="1"/>
  <c r="Z27" i="11"/>
  <c r="AA27" i="11" s="1" a="1"/>
  <c r="Z28" i="11"/>
  <c r="AA28" i="11" s="1" a="1"/>
  <c r="Z29" i="11"/>
  <c r="AA29" i="11" s="1" a="1"/>
  <c r="Z30" i="11"/>
  <c r="AA30" i="11" s="1" a="1"/>
  <c r="Z31" i="11"/>
  <c r="AA31" i="11" s="1" a="1"/>
  <c r="AA32" i="11" a="1"/>
  <c r="Z2" i="11"/>
  <c r="Z33" i="10"/>
  <c r="Z3" i="10"/>
  <c r="AA3" i="10" s="1" a="1"/>
  <c r="Z4" i="10"/>
  <c r="AA4" i="10" s="1" a="1"/>
  <c r="Z5" i="10"/>
  <c r="AA5" i="10" s="1" a="1"/>
  <c r="Z6" i="10"/>
  <c r="AA6" i="10" s="1" a="1"/>
  <c r="Z7" i="10"/>
  <c r="AA7" i="10" s="1" a="1"/>
  <c r="Z8" i="10"/>
  <c r="AA8" i="10" s="1" a="1"/>
  <c r="Z9" i="10"/>
  <c r="AA9" i="10" s="1" a="1"/>
  <c r="Z10" i="10"/>
  <c r="AA10" i="10" s="1" a="1"/>
  <c r="Z11" i="10"/>
  <c r="AA11" i="10" s="1" a="1"/>
  <c r="Z12" i="10"/>
  <c r="AA12" i="10" s="1" a="1"/>
  <c r="Z13" i="10"/>
  <c r="AA13" i="10" s="1" a="1"/>
  <c r="Z14" i="10"/>
  <c r="AA14" i="10" s="1" a="1"/>
  <c r="Z15" i="10"/>
  <c r="AA15" i="10" s="1" a="1"/>
  <c r="Z16" i="10"/>
  <c r="AA16" i="10" s="1" a="1"/>
  <c r="Z17" i="10"/>
  <c r="AA17" i="10" s="1" a="1"/>
  <c r="Z18" i="10"/>
  <c r="AA18" i="10" s="1" a="1"/>
  <c r="Z19" i="10"/>
  <c r="AA19" i="10" s="1" a="1"/>
  <c r="Z20" i="10"/>
  <c r="AA20" i="10" s="1" a="1"/>
  <c r="Z21" i="10"/>
  <c r="AA21" i="10" s="1" a="1"/>
  <c r="Z22" i="10"/>
  <c r="AA22" i="10" s="1" a="1"/>
  <c r="Z23" i="10"/>
  <c r="AA23" i="10" s="1" a="1"/>
  <c r="Z24" i="10"/>
  <c r="AA24" i="10" s="1" a="1"/>
  <c r="Z25" i="10"/>
  <c r="AA25" i="10" s="1" a="1"/>
  <c r="Z26" i="10"/>
  <c r="AA26" i="10" s="1" a="1"/>
  <c r="Z27" i="10"/>
  <c r="AA27" i="10" s="1" a="1"/>
  <c r="Z28" i="10"/>
  <c r="AA28" i="10" s="1" a="1"/>
  <c r="Z29" i="10"/>
  <c r="AA29" i="10" s="1" a="1"/>
  <c r="Z30" i="10"/>
  <c r="AA30" i="10" s="1" a="1"/>
  <c r="Z31" i="10"/>
  <c r="AA31" i="10" s="1" a="1"/>
  <c r="Z32" i="10"/>
  <c r="AA32" i="10" s="1" a="1"/>
  <c r="Z2" i="10"/>
  <c r="Z3" i="9"/>
  <c r="AA3" i="9" s="1" a="1"/>
  <c r="Z4" i="9"/>
  <c r="AA4" i="9" s="1" a="1"/>
  <c r="Z5" i="9"/>
  <c r="AA5" i="9" s="1" a="1"/>
  <c r="Z6" i="9"/>
  <c r="AA6" i="9" s="1" a="1"/>
  <c r="AA7" i="9" a="1"/>
  <c r="Z8" i="9"/>
  <c r="AA8" i="9" s="1" a="1"/>
  <c r="Z9" i="9"/>
  <c r="AA9" i="9" s="1" a="1"/>
  <c r="Z10" i="9"/>
  <c r="AA10" i="9" s="1" a="1"/>
  <c r="Z11" i="9"/>
  <c r="AA11" i="9" s="1" a="1"/>
  <c r="Z12" i="9"/>
  <c r="AA12" i="9" s="1" a="1"/>
  <c r="Z13" i="9"/>
  <c r="AA13" i="9" s="1" a="1"/>
  <c r="Z14" i="9"/>
  <c r="AA14" i="9" s="1" a="1"/>
  <c r="Z15" i="9"/>
  <c r="AA15" i="9" s="1" a="1"/>
  <c r="Z16" i="9"/>
  <c r="AA16" i="9" s="1" a="1"/>
  <c r="Z17" i="9"/>
  <c r="AA17" i="9" s="1" a="1"/>
  <c r="Z18" i="9"/>
  <c r="AA18" i="9" s="1" a="1"/>
  <c r="Z19" i="9"/>
  <c r="AA19" i="9" s="1" a="1"/>
  <c r="Z20" i="9"/>
  <c r="AA20" i="9" s="1" a="1"/>
  <c r="Z21" i="9"/>
  <c r="AA21" i="9" s="1" a="1"/>
  <c r="Z22" i="9"/>
  <c r="AA22" i="9" s="1" a="1"/>
  <c r="Z23" i="9"/>
  <c r="AA23" i="9" s="1" a="1"/>
  <c r="Z24" i="9"/>
  <c r="AA24" i="9" s="1" a="1"/>
  <c r="Z25" i="9"/>
  <c r="AA25" i="9" s="1" a="1"/>
  <c r="Z26" i="9"/>
  <c r="AA26" i="9" s="1" a="1"/>
  <c r="Z27" i="9"/>
  <c r="AA27" i="9" s="1" a="1"/>
  <c r="Z28" i="9"/>
  <c r="AA28" i="9" s="1" a="1"/>
  <c r="Z29" i="9"/>
  <c r="AA29" i="9" s="1" a="1"/>
  <c r="Z30" i="9"/>
  <c r="AA30" i="9" s="1" a="1"/>
  <c r="Z31" i="9"/>
  <c r="AA31" i="9" s="1" a="1"/>
  <c r="Z2" i="9"/>
  <c r="Z3" i="8"/>
  <c r="AA3" i="8" s="1" a="1"/>
  <c r="Z4" i="8"/>
  <c r="AA4" i="8" s="1" a="1"/>
  <c r="Z5" i="8"/>
  <c r="AA5" i="8" s="1" a="1"/>
  <c r="Z6" i="8"/>
  <c r="AA6" i="8" s="1" a="1"/>
  <c r="Z7" i="8"/>
  <c r="AA7" i="8" s="1" a="1"/>
  <c r="Z8" i="8"/>
  <c r="AA8" i="8" s="1" a="1"/>
  <c r="Z9" i="8"/>
  <c r="AA9" i="8" s="1" a="1"/>
  <c r="Z10" i="8"/>
  <c r="AA10" i="8" s="1" a="1"/>
  <c r="Z11" i="8"/>
  <c r="AA11" i="8" s="1" a="1"/>
  <c r="Z12" i="8"/>
  <c r="AA12" i="8" s="1" a="1"/>
  <c r="Z13" i="8"/>
  <c r="AA13" i="8" s="1" a="1"/>
  <c r="Z14" i="8"/>
  <c r="AA14" i="8" s="1" a="1"/>
  <c r="Z15" i="8"/>
  <c r="AA15" i="8" s="1" a="1"/>
  <c r="Z16" i="8"/>
  <c r="AA16" i="8" s="1" a="1"/>
  <c r="Z17" i="8"/>
  <c r="AA17" i="8" s="1" a="1"/>
  <c r="Z18" i="8"/>
  <c r="AA18" i="8" s="1" a="1"/>
  <c r="Z19" i="8"/>
  <c r="AA19" i="8" s="1" a="1"/>
  <c r="Z20" i="8"/>
  <c r="AA20" i="8" s="1" a="1"/>
  <c r="Z21" i="8"/>
  <c r="AA21" i="8" s="1" a="1"/>
  <c r="Z22" i="8"/>
  <c r="AA22" i="8" s="1" a="1"/>
  <c r="Z23" i="8"/>
  <c r="AA23" i="8" s="1" a="1"/>
  <c r="Z24" i="8"/>
  <c r="AA24" i="8" s="1" a="1"/>
  <c r="Z25" i="8"/>
  <c r="AA25" i="8" s="1" a="1"/>
  <c r="Z26" i="8"/>
  <c r="AA26" i="8" s="1" a="1"/>
  <c r="Z27" i="8"/>
  <c r="AA27" i="8" s="1" a="1"/>
  <c r="Z28" i="8"/>
  <c r="AA28" i="8" s="1" a="1"/>
  <c r="Z29" i="8"/>
  <c r="AA29" i="8" s="1" a="1"/>
  <c r="Z30" i="8"/>
  <c r="AA30" i="8" s="1" a="1"/>
  <c r="Z31" i="8"/>
  <c r="AA31" i="8" s="1" a="1"/>
  <c r="Z32" i="8"/>
  <c r="AA32" i="8" s="1" a="1"/>
  <c r="Z2" i="8"/>
  <c r="AA2" i="8" s="1" a="1"/>
  <c r="Z3" i="7"/>
  <c r="AA3" i="7" s="1" a="1"/>
  <c r="Z4" i="7"/>
  <c r="AA4" i="7" s="1" a="1"/>
  <c r="Z5" i="7"/>
  <c r="AA5" i="7" s="1" a="1"/>
  <c r="Z6" i="7"/>
  <c r="AA6" i="7" s="1" a="1"/>
  <c r="Z7" i="7"/>
  <c r="AA7" i="7" s="1" a="1"/>
  <c r="Z8" i="7"/>
  <c r="AA8" i="7" s="1" a="1"/>
  <c r="Z9" i="7"/>
  <c r="AA9" i="7" s="1" a="1"/>
  <c r="Z10" i="7"/>
  <c r="AA10" i="7" s="1" a="1"/>
  <c r="Z11" i="7"/>
  <c r="AA11" i="7" s="1" a="1"/>
  <c r="Z12" i="7"/>
  <c r="AA12" i="7" s="1" a="1"/>
  <c r="Z13" i="7"/>
  <c r="AA13" i="7" s="1" a="1"/>
  <c r="Z14" i="7"/>
  <c r="AA14" i="7" s="1" a="1"/>
  <c r="Z15" i="7"/>
  <c r="AA15" i="7" s="1" a="1"/>
  <c r="Z16" i="7"/>
  <c r="AA16" i="7" s="1" a="1"/>
  <c r="Z17" i="7"/>
  <c r="AA17" i="7" s="1" a="1"/>
  <c r="Z18" i="7"/>
  <c r="AA18" i="7" s="1" a="1"/>
  <c r="Z19" i="7"/>
  <c r="AA19" i="7" s="1" a="1"/>
  <c r="Z20" i="7"/>
  <c r="AA20" i="7" s="1" a="1"/>
  <c r="Z21" i="7"/>
  <c r="AA21" i="7" s="1" a="1"/>
  <c r="Z22" i="7"/>
  <c r="AA22" i="7" s="1" a="1"/>
  <c r="Z23" i="7"/>
  <c r="AA23" i="7" s="1" a="1"/>
  <c r="Z24" i="7"/>
  <c r="AA24" i="7" s="1" a="1"/>
  <c r="Z25" i="7"/>
  <c r="AA25" i="7" s="1" a="1"/>
  <c r="Z26" i="7"/>
  <c r="AA26" i="7" s="1" a="1"/>
  <c r="Z27" i="7"/>
  <c r="AA27" i="7" s="1" a="1"/>
  <c r="Z28" i="7"/>
  <c r="AA28" i="7" s="1" a="1"/>
  <c r="Z29" i="7"/>
  <c r="AA29" i="7" s="1" a="1"/>
  <c r="Z30" i="7"/>
  <c r="AA30" i="7" s="1" a="1"/>
  <c r="AA31" i="7" a="1"/>
  <c r="Z2" i="7"/>
  <c r="AA17" i="6" a="1"/>
  <c r="AA18" i="6" a="1"/>
  <c r="AA19" i="6" a="1"/>
  <c r="AA20" i="6" a="1"/>
  <c r="AA21" i="6" a="1"/>
  <c r="AA22" i="6" a="1"/>
  <c r="AA23" i="6" a="1"/>
  <c r="AA24" i="6" a="1"/>
  <c r="AA25" i="6" a="1"/>
  <c r="AA26" i="6" a="1"/>
  <c r="AA27" i="6" a="1"/>
  <c r="AA28" i="6" a="1"/>
  <c r="AA29" i="6" a="1"/>
  <c r="AA30" i="6" a="1"/>
  <c r="AA31" i="6" a="1"/>
  <c r="AA32" i="6" a="1"/>
  <c r="Z3" i="6"/>
  <c r="AA3" i="6" s="1" a="1"/>
  <c r="Z4" i="6"/>
  <c r="AA4" i="6" s="1" a="1"/>
  <c r="Z5" i="6"/>
  <c r="AA5" i="6" s="1" a="1"/>
  <c r="Z6" i="6"/>
  <c r="AA6" i="6" s="1" a="1"/>
  <c r="Z7" i="6"/>
  <c r="AA7" i="6" s="1" a="1"/>
  <c r="Z8" i="6"/>
  <c r="AA8" i="6" s="1" a="1"/>
  <c r="Z9" i="6"/>
  <c r="AA9" i="6" s="1" a="1"/>
  <c r="Z10" i="6"/>
  <c r="AA10" i="6" s="1" a="1"/>
  <c r="Z11" i="6"/>
  <c r="AA11" i="6" s="1" a="1"/>
  <c r="Z12" i="6"/>
  <c r="AA12" i="6" s="1" a="1"/>
  <c r="Z13" i="6"/>
  <c r="AA13" i="6" s="1" a="1"/>
  <c r="Z14" i="6"/>
  <c r="AA14" i="6" s="1" a="1"/>
  <c r="Z15" i="6"/>
  <c r="AA15" i="6" s="1" a="1"/>
  <c r="Z16" i="6"/>
  <c r="AA16" i="6" s="1" a="1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2" i="6"/>
  <c r="Z3" i="5"/>
  <c r="AA3" i="5" s="1" a="1"/>
  <c r="Z4" i="5"/>
  <c r="AA4" i="5" s="1" a="1"/>
  <c r="Z5" i="5"/>
  <c r="AA5" i="5" s="1" a="1"/>
  <c r="Z6" i="5"/>
  <c r="AA6" i="5" s="1" a="1"/>
  <c r="Z7" i="5"/>
  <c r="AA7" i="5" s="1" a="1"/>
  <c r="Z8" i="5"/>
  <c r="AA8" i="5" s="1" a="1"/>
  <c r="Z9" i="5"/>
  <c r="AA9" i="5" s="1" a="1"/>
  <c r="Z10" i="5"/>
  <c r="AA10" i="5" s="1" a="1"/>
  <c r="Z11" i="5"/>
  <c r="AA11" i="5" s="1" a="1"/>
  <c r="Z12" i="5"/>
  <c r="AA12" i="5" s="1" a="1"/>
  <c r="Z13" i="5"/>
  <c r="AA13" i="5" s="1" a="1"/>
  <c r="Z14" i="5"/>
  <c r="AA14" i="5" s="1" a="1"/>
  <c r="Z15" i="5"/>
  <c r="AA15" i="5" s="1" a="1"/>
  <c r="Z16" i="5"/>
  <c r="AA16" i="5" s="1" a="1"/>
  <c r="Z17" i="5"/>
  <c r="AA17" i="5" s="1" a="1"/>
  <c r="Z18" i="5"/>
  <c r="AA18" i="5" s="1" a="1"/>
  <c r="Z19" i="5"/>
  <c r="AA19" i="5" s="1" a="1"/>
  <c r="Z20" i="5"/>
  <c r="AA20" i="5" s="1" a="1"/>
  <c r="Z21" i="5"/>
  <c r="AA21" i="5" s="1" a="1"/>
  <c r="Z22" i="5"/>
  <c r="AA22" i="5" s="1" a="1"/>
  <c r="Z23" i="5"/>
  <c r="AA23" i="5" s="1" a="1"/>
  <c r="Z24" i="5"/>
  <c r="AA24" i="5" s="1" a="1"/>
  <c r="Z25" i="5"/>
  <c r="AA25" i="5" s="1" a="1"/>
  <c r="Z26" i="5"/>
  <c r="AA26" i="5" s="1" a="1"/>
  <c r="Z27" i="5"/>
  <c r="AA27" i="5" s="1" a="1"/>
  <c r="Z28" i="5"/>
  <c r="AA28" i="5" s="1" a="1"/>
  <c r="Z29" i="5"/>
  <c r="AA29" i="5" s="1" a="1"/>
  <c r="Z2" i="5"/>
  <c r="Z3" i="4"/>
  <c r="AA3" i="4" s="1" a="1"/>
  <c r="Z4" i="4"/>
  <c r="AA4" i="4" s="1" a="1"/>
  <c r="Z5" i="4"/>
  <c r="AA5" i="4" s="1" a="1"/>
  <c r="Z6" i="4"/>
  <c r="AA6" i="4" s="1" a="1"/>
  <c r="Z7" i="4"/>
  <c r="AA7" i="4" s="1" a="1"/>
  <c r="Z8" i="4"/>
  <c r="AA8" i="4" s="1" a="1"/>
  <c r="Z9" i="4"/>
  <c r="AA9" i="4" s="1" a="1"/>
  <c r="Z10" i="4"/>
  <c r="AA10" i="4" s="1" a="1"/>
  <c r="Z11" i="4"/>
  <c r="AA11" i="4" s="1" a="1"/>
  <c r="Z12" i="4"/>
  <c r="AA12" i="4" s="1" a="1"/>
  <c r="Z13" i="4"/>
  <c r="AA13" i="4" s="1" a="1"/>
  <c r="Z14" i="4"/>
  <c r="AA14" i="4" s="1" a="1"/>
  <c r="Z15" i="4"/>
  <c r="AA15" i="4" s="1" a="1"/>
  <c r="Z16" i="4"/>
  <c r="AA16" i="4" s="1" a="1"/>
  <c r="Z17" i="4"/>
  <c r="AA17" i="4" s="1" a="1"/>
  <c r="Z18" i="4"/>
  <c r="AA18" i="4" s="1" a="1"/>
  <c r="Z19" i="4"/>
  <c r="AA19" i="4" s="1" a="1"/>
  <c r="Z20" i="4"/>
  <c r="AA20" i="4" s="1" a="1"/>
  <c r="Z21" i="4"/>
  <c r="AA21" i="4" s="1" a="1"/>
  <c r="Z22" i="4"/>
  <c r="AA22" i="4" s="1" a="1"/>
  <c r="Z23" i="4"/>
  <c r="AA23" i="4" s="1" a="1"/>
  <c r="Z24" i="4"/>
  <c r="AA24" i="4" s="1" a="1"/>
  <c r="Z25" i="4"/>
  <c r="AA25" i="4" s="1" a="1"/>
  <c r="Z26" i="4"/>
  <c r="AA26" i="4" s="1" a="1"/>
  <c r="Z27" i="4"/>
  <c r="AA27" i="4" s="1" a="1"/>
  <c r="Z28" i="4"/>
  <c r="AA28" i="4" s="1" a="1"/>
  <c r="Z29" i="4"/>
  <c r="AA29" i="4" s="1" a="1"/>
  <c r="Z30" i="4"/>
  <c r="AA30" i="4" s="1" a="1"/>
  <c r="Z31" i="4"/>
  <c r="AA31" i="4" s="1" a="1"/>
  <c r="Z32" i="4"/>
  <c r="AA32" i="4" s="1" a="1"/>
  <c r="Z2" i="4"/>
  <c r="AA2" i="4" s="1" a="1"/>
  <c r="AA2" i="7" l="1" a="1"/>
  <c r="AD1" i="7"/>
  <c r="AA2" i="11" a="1"/>
  <c r="AD1" i="11"/>
  <c r="Z32" i="9"/>
  <c r="Z33" i="15"/>
  <c r="AA2" i="14" a="1"/>
  <c r="AA2" i="13" a="1"/>
  <c r="AA2" i="12" a="1"/>
  <c r="Z32" i="12"/>
  <c r="Z33" i="11"/>
  <c r="AA2" i="10" a="1"/>
  <c r="AA2" i="9" a="1"/>
  <c r="Z33" i="8"/>
  <c r="Z32" i="7"/>
  <c r="AA2" i="6" a="1"/>
  <c r="Z33" i="6"/>
  <c r="AA2" i="5" a="1"/>
  <c r="Z30" i="5"/>
  <c r="Z3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575917-0072-4E26-AFA1-A9276EC1E149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2" xr16:uid="{FE84B0E5-9C26-404F-BD34-AC6166EA2067}" keepAlive="1" name="Query - Sheet1 (10)" description="Connection to the 'Sheet1 (10)' query in the workbook." type="5" refreshedVersion="8" background="1" saveData="1">
    <dbPr connection="Provider=Microsoft.Mashup.OleDb.1;Data Source=$Workbook$;Location=&quot;Sheet1 (10)&quot;;Extended Properties=&quot;&quot;" command="SELECT * FROM [Sheet1 (10)]"/>
  </connection>
  <connection id="3" xr16:uid="{9B9BD74E-A6E5-440C-89A2-E8EB28EE4A41}" keepAlive="1" name="Query - Sheet1 (11)" description="Connection to the 'Sheet1 (11)' query in the workbook." type="5" refreshedVersion="8" background="1" saveData="1">
    <dbPr connection="Provider=Microsoft.Mashup.OleDb.1;Data Source=$Workbook$;Location=&quot;Sheet1 (11)&quot;;Extended Properties=&quot;&quot;" command="SELECT * FROM [Sheet1 (11)]"/>
  </connection>
  <connection id="4" xr16:uid="{019FD2DA-FD5A-4505-8928-5987DF3072A1}" keepAlive="1" name="Query - Sheet1 (12)" description="Connection to the 'Sheet1 (12)' query in the workbook." type="5" refreshedVersion="8" background="1" saveData="1">
    <dbPr connection="Provider=Microsoft.Mashup.OleDb.1;Data Source=$Workbook$;Location=&quot;Sheet1 (12)&quot;;Extended Properties=&quot;&quot;" command="SELECT * FROM [Sheet1 (12)]"/>
  </connection>
  <connection id="5" xr16:uid="{391EAF49-D774-4F15-B05E-6727A7024825}" keepAlive="1" name="Query - Sheet1 (13)" description="Connection to the 'Sheet1 (13)' query in the workbook." type="5" refreshedVersion="8" background="1" saveData="1">
    <dbPr connection="Provider=Microsoft.Mashup.OleDb.1;Data Source=$Workbook$;Location=&quot;Sheet1 (13)&quot;;Extended Properties=&quot;&quot;" command="SELECT * FROM [Sheet1 (13)]"/>
  </connection>
  <connection id="6" xr16:uid="{610871F1-3EA6-4C35-A649-CBA68CD31430}" keepAlive="1" name="Query - Sheet1 (14)" description="Connection to the 'Sheet1 (14)' query in the workbook." type="5" refreshedVersion="0" background="1">
    <dbPr connection="Provider=Microsoft.Mashup.OleDb.1;Data Source=$Workbook$;Location=&quot;Sheet1 (14)&quot;;Extended Properties=&quot;&quot;" command="SELECT * FROM [Sheet1 (14)]"/>
  </connection>
  <connection id="7" xr16:uid="{44C730E8-F37C-45BE-9595-37489FC3DE87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8" xr16:uid="{9787A12B-917D-42E6-954E-48A9420488E5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9" xr16:uid="{ACC59725-6987-4AA2-BF72-17CF6F741A8A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10" xr16:uid="{FED753AA-4C13-4307-A6BD-C9206B6F53DC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11" xr16:uid="{3A4D87BB-5F41-418D-816D-92962D3B7822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12" xr16:uid="{B3CD6158-0666-4CE7-BA2A-23518E7D2B71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  <connection id="13" xr16:uid="{2309844A-E204-4EBF-9B03-5FAA24854498}" keepAlive="1" name="Query - Sheet1 (8)" description="Connection to the 'Sheet1 (8)' query in the workbook." type="5" refreshedVersion="8" background="1" saveData="1">
    <dbPr connection="Provider=Microsoft.Mashup.OleDb.1;Data Source=$Workbook$;Location=&quot;Sheet1 (8)&quot;;Extended Properties=&quot;&quot;" command="SELECT * FROM [Sheet1 (8)]"/>
  </connection>
  <connection id="14" xr16:uid="{C4DC0E07-B567-4B32-99B8-877B4A379A98}" keepAlive="1" name="Query - Sheet1 (9)" description="Connection to the 'Sheet1 (9)' query in the workbook." type="5" refreshedVersion="8" background="1" saveData="1">
    <dbPr connection="Provider=Microsoft.Mashup.OleDb.1;Data Source=$Workbook$;Location=&quot;Sheet1 (9)&quot;;Extended Properties=&quot;&quot;" command="SELECT * FROM [Sheet1 (9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<sst xmlns="http://schemas.openxmlformats.org/spreadsheetml/2006/main" count="336" uniqueCount="29">
  <si>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</si>
  <si>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</si>
  <si>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</si>
  <si>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</si>
  <si>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</si>
  <si>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</si>
  <si>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</si>
  <si>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</si>
  <si>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</si>
  <si>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</si>
  <si>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</si>
  <si>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</si>
  <si>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</si>
  <si>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</si>
  <si>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</si>
  <si>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</si>
  <si>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</si>
  <si>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</si>
  <si>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</si>
  <si>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</si>
  <si>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</si>
  <si>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</si>
  <si>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</si>
  <si>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</si>
  <si>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</si>
  <si>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Quality</t>
  </si>
  <si>
    <t>QUALITY</t>
  </si>
  <si>
    <t>MONTHAVERAGE</t>
  </si>
  <si>
    <t>AVERAGE AQI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</si>
</sst>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theme="9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2" fontId="1" fillId="0" borderId="1" xfId="0" applyNumberFormat="1" applyFont="1" applyBorder="1"/>
  </cellXfs>
  <cellStyles count="1">
    <cellStyle name="Normal" xfId="0" builtinId="0"/>
  </cellStyles>
  <dxfs count="67"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3C784F9D-ECFC-4759-910C-642776C0E453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06F958B4-FEED-4ED2-9981-B97A7E28E4AF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E1156FE2-5D15-430C-815C-ADE6CF0C7F31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DE808486-3C32-44B5-A927-4001F552F659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EC10AABC-239B-4E7E-80F5-81D8F46F27E3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83D6FF32-8746-4812-94F3-F82DB1910E8C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648C80EC-E39C-48D4-9375-94E9CE569B4A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E8E6E3FA-E3CF-4592-84C3-501D39AAA97C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B31786A-961D-4108-B27F-B305D70D357D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4C64EAB-5FBC-42DA-86DD-5BDEE1272827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19466DD-BEB9-4462-ACC4-7264575DC5CF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75C2334-9AFE-42A4-9355-5C35A307EECB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10A47B-63E3-4ABD-A84C-6499640035A6}" name="Sheet1__2" displayName="Sheet1__2" ref="A1:AA33" tableType="queryTable" totalsRowCount="1">
  <autoFilter ref="A1:AA32" xr:uid="{8010A47B-63E3-4ABD-A84C-6499640035A6}"/>
  <tableColumns count="27">
    <tableColumn id="1" xr3:uid="{528711FD-E0AE-44CA-ACF8-B3B50DD6032C}" uniqueName="1" name="Date" queryTableFieldId="1"/>
    <tableColumn id="2" xr3:uid="{64F3909E-D30D-490F-8EA9-08582D1E110A}" uniqueName="2" name="00:00:00" queryTableFieldId="2"/>
    <tableColumn id="3" xr3:uid="{A2AEB757-6B68-4EE5-8BBE-327CABCCFEC5}" uniqueName="3" name="01:00:00" queryTableFieldId="3"/>
    <tableColumn id="4" xr3:uid="{D425893C-B1E1-4807-A64E-BA268C636BB9}" uniqueName="4" name="02:00:00" queryTableFieldId="4"/>
    <tableColumn id="5" xr3:uid="{5546837E-346F-4FC3-8FF3-3B8059F867F3}" uniqueName="5" name="03:00:00" queryTableFieldId="5"/>
    <tableColumn id="6" xr3:uid="{67CBD8A4-EFD5-4666-A057-70956F997C81}" uniqueName="6" name="04:00:00" queryTableFieldId="6"/>
    <tableColumn id="7" xr3:uid="{2AB51CE3-3C90-4931-832E-057606CF8CB6}" uniqueName="7" name="05:00:00" queryTableFieldId="7"/>
    <tableColumn id="8" xr3:uid="{0148DBDF-8936-4E9B-A8E6-D23EC58EBF57}" uniqueName="8" name="06:00:00" queryTableFieldId="8"/>
    <tableColumn id="9" xr3:uid="{B29B71B8-EAF9-4C54-87C6-36227F3FD059}" uniqueName="9" name="07:00:00" queryTableFieldId="9"/>
    <tableColumn id="10" xr3:uid="{066D2667-BD5D-404A-9834-A2FFCCB7F4EB}" uniqueName="10" name="08:00:00" queryTableFieldId="10"/>
    <tableColumn id="11" xr3:uid="{572C3372-A966-4214-BB32-FABC6EE5C03A}" uniqueName="11" name="09:00:00" queryTableFieldId="11"/>
    <tableColumn id="12" xr3:uid="{3D6B5200-8080-4687-94DF-2342F51AF811}" uniqueName="12" name="10:00:00" queryTableFieldId="12"/>
    <tableColumn id="13" xr3:uid="{9232019F-4ED0-4EDA-A095-89E83F8E48DD}" uniqueName="13" name="11:00:00" queryTableFieldId="13"/>
    <tableColumn id="14" xr3:uid="{AA3402C7-44A6-487D-889D-B6C2AAB46400}" uniqueName="14" name="12:00:00" queryTableFieldId="14"/>
    <tableColumn id="15" xr3:uid="{FEF4225B-F358-403E-851A-A90102692BE8}" uniqueName="15" name="13:00:00" queryTableFieldId="15"/>
    <tableColumn id="16" xr3:uid="{DD699277-A741-4FF6-A99F-1D7C77FB24C2}" uniqueName="16" name="14:00:00" queryTableFieldId="16"/>
    <tableColumn id="17" xr3:uid="{46150717-0EFC-4819-94BC-780A6E57B6D3}" uniqueName="17" name="15:00:00" queryTableFieldId="17"/>
    <tableColumn id="18" xr3:uid="{59AC34C3-2456-4CE3-BDBE-A83552C2EA9B}" uniqueName="18" name="16:00:00" queryTableFieldId="18"/>
    <tableColumn id="19" xr3:uid="{5C295CBD-C375-4500-B8FD-596F6054FF23}" uniqueName="19" name="17:00:00" queryTableFieldId="19"/>
    <tableColumn id="20" xr3:uid="{11B8CCD7-D1B8-4430-A867-90423FCCF473}" uniqueName="20" name="18:00:00" queryTableFieldId="20"/>
    <tableColumn id="21" xr3:uid="{8107D8BF-9116-43A3-BB1D-86893C8546AE}" uniqueName="21" name="19:00:00" queryTableFieldId="21"/>
    <tableColumn id="22" xr3:uid="{287A30A7-5EBB-4AB3-9891-CBE8F9EEAC88}" uniqueName="22" name="20:00:00" queryTableFieldId="22"/>
    <tableColumn id="23" xr3:uid="{4AD3FFCB-504C-43A8-8215-7FD6672C4629}" uniqueName="23" name="21:00:00" queryTableFieldId="23"/>
    <tableColumn id="24" xr3:uid="{11BC0629-7AD0-4405-8151-60F617C53F8B}" uniqueName="24" name="22:00:00" queryTableFieldId="24"/>
    <tableColumn id="25" xr3:uid="{181E37CE-1F76-473A-AA13-B106F11B4289}" uniqueName="25" name="23:00:00" queryTableFieldId="25"/>
    <tableColumn id="26" xr3:uid="{5DD63DF5-C0F2-4533-9439-F923E14EA860}" uniqueName="26" name="AVERAGE AQI" totalsRowFunction="average" queryTableFieldId="26" dataDxfId="63" totalsRowDxfId="62">
      <calculatedColumnFormula>AVERAGE(Sheet1__2[[#This Row],[00:00:00]:[23:00:00]])</calculatedColumnFormula>
    </tableColumn>
    <tableColumn id="27" xr3:uid="{1AC332BE-2A8B-4E7D-8227-03D74CAA0FF4}" uniqueName="27" name="Quality" queryTableFieldId="27" dataDxfId="61">
      <calculatedColumnFormula array="1">_xlfn.IFS(
Sheet1__2[[#This Row],[AVERAGE AQI]]&lt;50,"GOOD",
Sheet1__2[[#This Row],[AVERAGE AQI]]&lt;=100,"AVERAGE",
Sheet1__2[[#This Row],[AVERAGE AQI]]&lt;=150,"UNHEALTHY",
Sheet1__2[[#This Row],[AVERAGE AQI]]&gt;150,"VERY BAD"
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B8C71C-FE00-496F-98AA-CA4E3CB1CB14}" name="Sheet1__3" displayName="Sheet1__3" ref="A1:AA30" tableType="queryTable" totalsRowCount="1">
  <autoFilter ref="A1:AA29" xr:uid="{EAB8C71C-FE00-496F-98AA-CA4E3CB1CB14}"/>
  <tableColumns count="27">
    <tableColumn id="1" xr3:uid="{DAC1AA81-E4C0-4B83-8DE3-D636829B548B}" uniqueName="1" name="Date" queryTableFieldId="1"/>
    <tableColumn id="2" xr3:uid="{8629204B-94DA-4CA7-8F69-60CB7BC69AF6}" uniqueName="2" name="00:00:00" queryTableFieldId="2"/>
    <tableColumn id="3" xr3:uid="{8CB61119-1FC4-4410-9ADC-817F2A9B33B7}" uniqueName="3" name="01:00:00" queryTableFieldId="3"/>
    <tableColumn id="4" xr3:uid="{74ABDA31-444A-477E-B41B-3CDCD61CCE5E}" uniqueName="4" name="02:00:00" queryTableFieldId="4"/>
    <tableColumn id="5" xr3:uid="{BAF6FA4B-8509-4441-9D93-0E769A944594}" uniqueName="5" name="03:00:00" queryTableFieldId="5"/>
    <tableColumn id="6" xr3:uid="{C35D3EF1-6B79-4A55-BF7A-AF1724C17838}" uniqueName="6" name="04:00:00" queryTableFieldId="6"/>
    <tableColumn id="7" xr3:uid="{27645B81-EBE9-4EA0-A733-D63EA5D877F4}" uniqueName="7" name="05:00:00" queryTableFieldId="7"/>
    <tableColumn id="8" xr3:uid="{DC1ED060-CE81-40D1-B9FF-E646D8D9A6C2}" uniqueName="8" name="06:00:00" queryTableFieldId="8"/>
    <tableColumn id="9" xr3:uid="{C5C059C1-1BCA-457D-B4A1-94F7408BD51D}" uniqueName="9" name="07:00:00" queryTableFieldId="9"/>
    <tableColumn id="10" xr3:uid="{0A537F79-F63C-4C1A-9181-FC2A2F899880}" uniqueName="10" name="08:00:00" queryTableFieldId="10"/>
    <tableColumn id="11" xr3:uid="{0DA988E2-CEA1-46D9-9CB6-E8BC7D0C8B6B}" uniqueName="11" name="09:00:00" queryTableFieldId="11"/>
    <tableColumn id="12" xr3:uid="{9AF60E17-E3F3-4DD9-9B6E-DE4EA126B400}" uniqueName="12" name="10:00:00" queryTableFieldId="12"/>
    <tableColumn id="13" xr3:uid="{A2FE8592-9D9D-4C8E-B24E-DE178ABC2EAE}" uniqueName="13" name="11:00:00" queryTableFieldId="13"/>
    <tableColumn id="14" xr3:uid="{88919E4B-9BDB-419B-BC89-5C03723E22A4}" uniqueName="14" name="12:00:00" queryTableFieldId="14"/>
    <tableColumn id="15" xr3:uid="{BCF41A91-3B93-4431-999B-94501078231C}" uniqueName="15" name="13:00:00" queryTableFieldId="15"/>
    <tableColumn id="16" xr3:uid="{59BE91A4-F4B0-45D1-B957-8FF5FE22B78B}" uniqueName="16" name="14:00:00" queryTableFieldId="16"/>
    <tableColumn id="17" xr3:uid="{4DBA35D9-04DC-4F0A-B4F9-ED63CC3F19C1}" uniqueName="17" name="15:00:00" queryTableFieldId="17"/>
    <tableColumn id="18" xr3:uid="{5AD1DB1F-EA83-4909-95E2-1CD2B867D3E9}" uniqueName="18" name="16:00:00" queryTableFieldId="18"/>
    <tableColumn id="19" xr3:uid="{F64E540F-025C-4BE8-BCE7-64B09DB3275F}" uniqueName="19" name="17:00:00" queryTableFieldId="19"/>
    <tableColumn id="20" xr3:uid="{68A68359-713C-4174-838D-13BD545B2B22}" uniqueName="20" name="18:00:00" queryTableFieldId="20"/>
    <tableColumn id="21" xr3:uid="{A1313945-2018-4C54-BDA9-DE2C481E249D}" uniqueName="21" name="19:00:00" queryTableFieldId="21"/>
    <tableColumn id="22" xr3:uid="{AC859C21-42BD-4FFA-93EA-97BD35F388EE}" uniqueName="22" name="20:00:00" queryTableFieldId="22"/>
    <tableColumn id="23" xr3:uid="{1EC3DFDB-DE0D-4A69-AA7F-36DD0313AEE1}" uniqueName="23" name="21:00:00" queryTableFieldId="23"/>
    <tableColumn id="24" xr3:uid="{ACCA1A9D-1EAA-4899-AB3D-D637E0DC8ED2}" uniqueName="24" name="22:00:00" queryTableFieldId="24"/>
    <tableColumn id="25" xr3:uid="{DB773270-E2E9-46E0-8C68-CCFCFBD5FA7D}" uniqueName="25" name="23:00:00" queryTableFieldId="25"/>
    <tableColumn id="26" xr3:uid="{7BBC82A1-AFCE-40E4-91E1-AACEA3CA668E}" uniqueName="26" name="AVERAGE AQI" totalsRowFunction="average" queryTableFieldId="26" dataDxfId="60" totalsRowDxfId="59">
      <calculatedColumnFormula>AVERAGE(Sheet1__3[[#This Row],[00:00:00]:[23:00:00]])</calculatedColumnFormula>
    </tableColumn>
    <tableColumn id="27" xr3:uid="{B08D8D28-D594-40FD-B590-6024FA152A4B}" uniqueName="27" name="QUALITY" queryTableFieldId="27" dataDxfId="58">
      <calculatedColumnFormula array="1">_xlfn.IFS(Sheet1__3[[#This Row],[AVERAGE AQI]]&lt;50,"GOOD",Sheet1__3[[#This Row],[AVERAGE AQI]]&lt;=100,"MODERATE",Sheet1__3[[#This Row],[AVERAGE AQI]]&lt;=150,"BAD",Sheet1__3[[#This Row],[AVERAGE AQI]]&lt;=200,"VERY BAD")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A3F50A-06BB-432C-950E-72C1CF40D30C}" name="Sheet1__4" displayName="Sheet1__4" ref="A1:AA33" tableType="queryTable" totalsRowCount="1">
  <autoFilter ref="A1:AA32" xr:uid="{CAA3F50A-06BB-432C-950E-72C1CF40D30C}"/>
  <tableColumns count="27">
    <tableColumn id="1" xr3:uid="{A5752C31-A82B-428E-905C-65591745A9AC}" uniqueName="1" name="Date" queryTableFieldId="1"/>
    <tableColumn id="2" xr3:uid="{02C3954D-B6DC-4762-B3D8-63081B86A4AE}" uniqueName="2" name="00:00:00" queryTableFieldId="2"/>
    <tableColumn id="3" xr3:uid="{9B778A5A-FB0F-4CDA-98C4-01306AC813E1}" uniqueName="3" name="01:00:00" queryTableFieldId="3"/>
    <tableColumn id="4" xr3:uid="{097653D9-47EE-44A2-A867-66660BE9CFEA}" uniqueName="4" name="02:00:00" queryTableFieldId="4"/>
    <tableColumn id="5" xr3:uid="{04DD91AF-EB1C-4100-9E65-172EE12687EF}" uniqueName="5" name="03:00:00" queryTableFieldId="5"/>
    <tableColumn id="6" xr3:uid="{5A348322-37D2-4393-9223-32DC7190368D}" uniqueName="6" name="04:00:00" queryTableFieldId="6"/>
    <tableColumn id="7" xr3:uid="{75CEAEFB-B267-4499-9803-C05FD93059B2}" uniqueName="7" name="05:00:00" queryTableFieldId="7"/>
    <tableColumn id="8" xr3:uid="{EE1F2074-CAE2-4F90-8056-585FDED6AD78}" uniqueName="8" name="06:00:00" queryTableFieldId="8"/>
    <tableColumn id="9" xr3:uid="{D36DB4DC-3EC2-4AB9-B7C5-6B413EF686AF}" uniqueName="9" name="07:00:00" queryTableFieldId="9"/>
    <tableColumn id="10" xr3:uid="{445A4519-A1D7-4820-A117-3249FCDFA2CB}" uniqueName="10" name="08:00:00" queryTableFieldId="10"/>
    <tableColumn id="11" xr3:uid="{A3CF544D-9F73-4447-A34C-FB22702E00EE}" uniqueName="11" name="09:00:00" queryTableFieldId="11"/>
    <tableColumn id="12" xr3:uid="{47685F3D-2A70-474D-87E2-6D1CD91A04B0}" uniqueName="12" name="10:00:00" queryTableFieldId="12"/>
    <tableColumn id="13" xr3:uid="{AF690C0D-7337-497D-9F8A-390AC1F2693B}" uniqueName="13" name="11:00:00" queryTableFieldId="13"/>
    <tableColumn id="14" xr3:uid="{5D31AB8A-4916-4917-8066-0D6E44C61EA2}" uniqueName="14" name="12:00:00" queryTableFieldId="14"/>
    <tableColumn id="15" xr3:uid="{75FB0E4A-AAD6-4368-9365-78FB5C18EF60}" uniqueName="15" name="13:00:00" queryTableFieldId="15"/>
    <tableColumn id="16" xr3:uid="{6977C511-1143-42A6-BC4E-D09664AD4792}" uniqueName="16" name="14:00:00" queryTableFieldId="16"/>
    <tableColumn id="17" xr3:uid="{3F65068B-5687-43EB-8DCD-8F8C7D3411B4}" uniqueName="17" name="15:00:00" queryTableFieldId="17"/>
    <tableColumn id="18" xr3:uid="{4A41A875-D542-4EF5-9865-A7429488A8E0}" uniqueName="18" name="16:00:00" queryTableFieldId="18"/>
    <tableColumn id="19" xr3:uid="{505EB07A-0E2E-4A9A-AFD5-8F6C79EE5558}" uniqueName="19" name="17:00:00" queryTableFieldId="19"/>
    <tableColumn id="20" xr3:uid="{38FF15A0-6D1A-4108-BB50-D609D19AA635}" uniqueName="20" name="18:00:00" queryTableFieldId="20"/>
    <tableColumn id="21" xr3:uid="{03BE1B0F-8CAE-459C-902F-58DDC06A67AC}" uniqueName="21" name="19:00:00" queryTableFieldId="21"/>
    <tableColumn id="22" xr3:uid="{3F2F8BD2-E128-4FC3-B4E7-CCF383A85C9E}" uniqueName="22" name="20:00:00" queryTableFieldId="22"/>
    <tableColumn id="23" xr3:uid="{D7034907-4C14-4303-8247-D82C6FA1DA72}" uniqueName="23" name="21:00:00" queryTableFieldId="23"/>
    <tableColumn id="24" xr3:uid="{025A073A-FB87-43B4-AF4B-E04CFA7B2787}" uniqueName="24" name="22:00:00" queryTableFieldId="24"/>
    <tableColumn id="25" xr3:uid="{B7F8F84A-29B0-47BD-BFD3-42EF6C30EEC9}" uniqueName="25" name="23:00:00" queryTableFieldId="25"/>
    <tableColumn id="26" xr3:uid="{75978DF8-D639-46B9-BBC1-0FC2919AF223}" uniqueName="26" name="AVERAGE AQI" totalsRowFunction="custom" queryTableFieldId="26" dataDxfId="57" totalsRowDxfId="56">
      <calculatedColumnFormula>AVERAGE(Sheet1__4[[#This Row],[00:00:00]:[23:00:00]])</calculatedColumnFormula>
      <totalsRowFormula>AVERAGE(Sheet1__4[AVERAGE AQI])</totalsRowFormula>
    </tableColumn>
    <tableColumn id="27" xr3:uid="{AC458B84-939E-457F-B54D-73A11C0D30DA}" uniqueName="27" name="QUALITY" queryTableFieldId="27" dataDxfId="55">
      <calculatedColumnFormula array="1">_xlfn.IFS(Sheet1__4[[#This Row],[AVERAGE AQI]]&lt;50,"GOOD",Sheet1__4[[#This Row],[AVERAGE AQI]]&lt;=100,"MODERATE",Sheet1__4[[#This Row],[AVERAGE AQI]]&lt;=150,"BAD",Sheet1__4[[#This Row],[AVERAGE AQI]]&lt;=200,"VERY BAD")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847381-58C8-408A-8668-9FBC0207F618}" name="Sheet1__5" displayName="Sheet1__5" ref="A1:AA32" tableType="queryTable" totalsRowCount="1">
  <autoFilter ref="A1:AA31" xr:uid="{DC847381-58C8-408A-8668-9FBC0207F618}"/>
  <tableColumns count="27">
    <tableColumn id="1" xr3:uid="{F2166B3E-35DA-4666-B5CF-C41DAB945897}" uniqueName="1" name="Date" queryTableFieldId="1"/>
    <tableColumn id="2" xr3:uid="{40D73A95-5227-45EB-AB6C-01FA005FC6F1}" uniqueName="2" name="00:00:00" queryTableFieldId="2"/>
    <tableColumn id="3" xr3:uid="{D50AE013-2E96-478C-9D4B-E3A674632916}" uniqueName="3" name="01:00:00" queryTableFieldId="3"/>
    <tableColumn id="4" xr3:uid="{E42FA059-9576-4CE5-AA5B-80F2AB8C7A5B}" uniqueName="4" name="02:00:00" queryTableFieldId="4"/>
    <tableColumn id="5" xr3:uid="{2F4955FD-9200-473C-B279-70ECCA8C9708}" uniqueName="5" name="03:00:00" queryTableFieldId="5"/>
    <tableColumn id="6" xr3:uid="{3B99C7FB-F8D0-4DBC-8DCC-ED12C883B378}" uniqueName="6" name="04:00:00" queryTableFieldId="6"/>
    <tableColumn id="7" xr3:uid="{EA6DA1AF-48FD-435D-A7F1-AF5709EB6773}" uniqueName="7" name="05:00:00" queryTableFieldId="7"/>
    <tableColumn id="8" xr3:uid="{8E4A7F99-FDF2-41D5-B32E-4103C4920A6A}" uniqueName="8" name="06:00:00" queryTableFieldId="8"/>
    <tableColumn id="9" xr3:uid="{C044B964-C3AA-48BD-A03D-BCA22CA83B90}" uniqueName="9" name="07:00:00" queryTableFieldId="9"/>
    <tableColumn id="10" xr3:uid="{DBDA4395-B3AC-472B-8B22-28219CF5FEB5}" uniqueName="10" name="08:00:00" queryTableFieldId="10"/>
    <tableColumn id="11" xr3:uid="{C28D2778-84DB-493D-A6DF-9F55A25B8DFB}" uniqueName="11" name="09:00:00" queryTableFieldId="11"/>
    <tableColumn id="12" xr3:uid="{D1056B57-4563-4855-8B88-E830B4A7F229}" uniqueName="12" name="10:00:00" queryTableFieldId="12"/>
    <tableColumn id="13" xr3:uid="{D7434B42-6BB0-4F38-A444-9515F8A3BC43}" uniqueName="13" name="11:00:00" queryTableFieldId="13"/>
    <tableColumn id="14" xr3:uid="{DFFCB8B3-87B2-4054-A712-72AB19BE1C52}" uniqueName="14" name="12:00:00" queryTableFieldId="14"/>
    <tableColumn id="15" xr3:uid="{5276B310-7EA5-4ECF-9466-D2ADC749719C}" uniqueName="15" name="13:00:00" queryTableFieldId="15"/>
    <tableColumn id="16" xr3:uid="{60D2D371-8CF9-4C18-B596-4F38F444DD26}" uniqueName="16" name="14:00:00" queryTableFieldId="16"/>
    <tableColumn id="17" xr3:uid="{5A14E0D6-B37D-45BA-BDEC-000296BD6186}" uniqueName="17" name="15:00:00" queryTableFieldId="17"/>
    <tableColumn id="18" xr3:uid="{BE66C001-61C6-47C4-B7F6-07504D2C134E}" uniqueName="18" name="16:00:00" queryTableFieldId="18"/>
    <tableColumn id="19" xr3:uid="{8535D994-9AC6-451F-AB36-CBCE29C045E0}" uniqueName="19" name="17:00:00" queryTableFieldId="19"/>
    <tableColumn id="20" xr3:uid="{448C2033-9271-4CAF-AC21-DD0FA0540DBC}" uniqueName="20" name="18:00:00" queryTableFieldId="20"/>
    <tableColumn id="21" xr3:uid="{A6D10E59-5BE9-435E-8434-E79C7FB20B1F}" uniqueName="21" name="19:00:00" queryTableFieldId="21"/>
    <tableColumn id="22" xr3:uid="{5333C613-8553-45E4-81B8-A8C28EDBC9EE}" uniqueName="22" name="20:00:00" queryTableFieldId="22"/>
    <tableColumn id="23" xr3:uid="{F85B71B5-7CCF-4288-B091-7FD55470F845}" uniqueName="23" name="21:00:00" queryTableFieldId="23"/>
    <tableColumn id="24" xr3:uid="{39F9A7BA-A7EB-4E6B-AC05-79444F22722F}" uniqueName="24" name="22:00:00" queryTableFieldId="24"/>
    <tableColumn id="25" xr3:uid="{308EC1EC-4827-4CAF-8D9E-A9CA9BA97DB4}" uniqueName="25" name="23:00:00" queryTableFieldId="25"/>
    <tableColumn id="26" xr3:uid="{56F49469-B8B5-4CAA-993F-B5DEC638C3B9}" uniqueName="26" name="AVERAGE AQI" totalsRowFunction="average" queryTableFieldId="26" dataDxfId="54" totalsRowDxfId="53">
      <calculatedColumnFormula>AVERAGE(Sheet1__5[[#This Row],[00:00:00]:[23:00:00]])</calculatedColumnFormula>
    </tableColumn>
    <tableColumn id="27" xr3:uid="{825C950F-9585-441E-A537-A06A265C5C10}" uniqueName="27" name="QUALITY" queryTableFieldId="27" dataDxfId="52">
      <calculatedColumnFormula array="1">_xlfn.IFS(Sheet1__5[[#This Row],[AVERAGE AQI]]&lt;50,"GOOD",Sheet1__5[[#This Row],[AVERAGE AQI]]&lt;=100,"MODERATE",Sheet1__5[[#This Row],[AVERAGE AQI]]&lt;=150,"BAD",Sheet1__5[[#This Row],[AVERAGE AQI]]&lt;=200,"VERY BAD")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2AB058-67EA-41C0-8B73-2DBB1A91491A}" name="Sheet1__6" displayName="Sheet1__6" ref="A1:AA33" tableType="queryTable" totalsRowCount="1">
  <autoFilter ref="A1:AA32" xr:uid="{D52AB058-67EA-41C0-8B73-2DBB1A91491A}"/>
  <tableColumns count="27">
    <tableColumn id="1" xr3:uid="{80F03F08-D252-4C04-A1B3-8FA08A99180C}" uniqueName="1" name="Date" queryTableFieldId="1"/>
    <tableColumn id="2" xr3:uid="{12FF2E0A-C933-4125-88D0-33F0C1BCCC72}" uniqueName="2" name="00:00:00" queryTableFieldId="2"/>
    <tableColumn id="3" xr3:uid="{DC25ECD0-8D74-4013-A94E-EE5D6481C011}" uniqueName="3" name="01:00:00" queryTableFieldId="3"/>
    <tableColumn id="4" xr3:uid="{01B557F9-9E49-4BB5-8081-C92D3C92E0D1}" uniqueName="4" name="02:00:00" queryTableFieldId="4"/>
    <tableColumn id="5" xr3:uid="{807A7468-7654-4519-AFF9-4C03E25AB174}" uniqueName="5" name="03:00:00" queryTableFieldId="5"/>
    <tableColumn id="6" xr3:uid="{CD9771EC-4344-4CD3-BE48-8812C63E1628}" uniqueName="6" name="04:00:00" queryTableFieldId="6"/>
    <tableColumn id="7" xr3:uid="{53C4DC22-5917-4650-8863-A63F0D42299E}" uniqueName="7" name="05:00:00" queryTableFieldId="7"/>
    <tableColumn id="8" xr3:uid="{551EAE1D-7B61-4A83-B476-B6030E3C17B9}" uniqueName="8" name="06:00:00" queryTableFieldId="8"/>
    <tableColumn id="9" xr3:uid="{97D4BEA2-E425-4416-8115-C0EDC1B9E837}" uniqueName="9" name="07:00:00" queryTableFieldId="9"/>
    <tableColumn id="10" xr3:uid="{DC454CF7-6010-4923-844F-251143AE3A04}" uniqueName="10" name="08:00:00" queryTableFieldId="10"/>
    <tableColumn id="11" xr3:uid="{571046CE-025F-4886-AD2A-99D183B2D41B}" uniqueName="11" name="09:00:00" queryTableFieldId="11"/>
    <tableColumn id="12" xr3:uid="{50EE19A4-05BE-4CB3-B9B6-F5C9D502A3B6}" uniqueName="12" name="10:00:00" queryTableFieldId="12"/>
    <tableColumn id="13" xr3:uid="{D3330B66-2CC0-42DA-86C5-10F8456DFFB3}" uniqueName="13" name="11:00:00" queryTableFieldId="13"/>
    <tableColumn id="14" xr3:uid="{8D5BFC99-5A95-4A73-AF11-1385CEEE4CF7}" uniqueName="14" name="12:00:00" queryTableFieldId="14"/>
    <tableColumn id="15" xr3:uid="{F99E80F6-5554-4E17-9DCC-1A95EC547C0B}" uniqueName="15" name="13:00:00" queryTableFieldId="15"/>
    <tableColumn id="16" xr3:uid="{6E15E636-1D81-46E3-B8F6-F5F2B7A45A60}" uniqueName="16" name="14:00:00" queryTableFieldId="16"/>
    <tableColumn id="17" xr3:uid="{B8AA3BCB-912A-4336-AF39-AD446B745739}" uniqueName="17" name="15:00:00" queryTableFieldId="17"/>
    <tableColumn id="18" xr3:uid="{16B82705-1AC5-4F3C-8C38-3FAB6F007EDF}" uniqueName="18" name="16:00:00" queryTableFieldId="18"/>
    <tableColumn id="19" xr3:uid="{570136BA-E814-49C1-A1B0-D9F9EED16935}" uniqueName="19" name="17:00:00" queryTableFieldId="19"/>
    <tableColumn id="20" xr3:uid="{A25C8399-5984-445A-ADB4-6204A4845688}" uniqueName="20" name="18:00:00" queryTableFieldId="20"/>
    <tableColumn id="21" xr3:uid="{BB6D98D1-3B07-468C-A250-6699406A241E}" uniqueName="21" name="19:00:00" queryTableFieldId="21"/>
    <tableColumn id="22" xr3:uid="{2367C95E-5E5B-4CB5-A446-929D7016DBD7}" uniqueName="22" name="20:00:00" queryTableFieldId="22"/>
    <tableColumn id="23" xr3:uid="{ACB122DB-52BE-4A10-B7FF-E1FC53AB03FD}" uniqueName="23" name="21:00:00" queryTableFieldId="23"/>
    <tableColumn id="24" xr3:uid="{EB7CB01F-EB3F-40FC-A509-20E10F27620B}" uniqueName="24" name="22:00:00" queryTableFieldId="24"/>
    <tableColumn id="25" xr3:uid="{C5522F8C-2588-43AF-8F7A-EC420A145B04}" uniqueName="25" name="23:00:00" queryTableFieldId="25"/>
    <tableColumn id="26" xr3:uid="{2389F6B4-C09C-4E01-A862-051E6363CFFB}" uniqueName="26" name="AVERAGE AQI" totalsRowFunction="average" queryTableFieldId="26" dataDxfId="51" totalsRowDxfId="50">
      <calculatedColumnFormula>AVERAGE(Sheet1__6[[#This Row],[00:00:00]:[23:00:00]])</calculatedColumnFormula>
    </tableColumn>
    <tableColumn id="27" xr3:uid="{9F2427C1-4FB0-4978-A36B-BC3C231AED4F}" uniqueName="27" name="QUALITY" queryTableFieldId="27" dataDxfId="49">
      <calculatedColumnFormula array="1">_xlfn.IFS(Sheet1__6[[#This Row],[AVERAGE AQI]]&lt;50,"GOOD",Sheet1__6[[#This Row],[AVERAGE AQI]]&lt;=100,"MODERATE",Sheet1__6[[#This Row],[AVERAGE AQI]]&lt;=150,"BAD",Sheet1__6[[#This Row],[AVERAGE AQI]]&lt;=200,"VERY BAD")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732BA4E-ED9D-491B-BD34-0EE9786DEF0D}" name="Sheet1__7" displayName="Sheet1__7" ref="A1:AA32" tableType="queryTable" totalsRowCount="1">
  <autoFilter ref="A1:AA31" xr:uid="{D732BA4E-ED9D-491B-BD34-0EE9786DEF0D}"/>
  <tableColumns count="27">
    <tableColumn id="1" xr3:uid="{420B915C-77D6-4A6B-ACE3-FFC941FBAB6B}" uniqueName="1" name="Date" queryTableFieldId="1"/>
    <tableColumn id="2" xr3:uid="{95DDB732-C07F-42DE-BD75-DB1B763E3CD7}" uniqueName="2" name="00:00:00" queryTableFieldId="2"/>
    <tableColumn id="3" xr3:uid="{798F5E27-1194-4530-880E-FDF17FB69F09}" uniqueName="3" name="01:00:00" queryTableFieldId="3"/>
    <tableColumn id="4" xr3:uid="{0C080B7C-EA37-400C-8E05-007519FDA015}" uniqueName="4" name="02:00:00" queryTableFieldId="4"/>
    <tableColumn id="5" xr3:uid="{86DAD567-9306-40B1-83D8-B6DA41EC2AED}" uniqueName="5" name="03:00:00" queryTableFieldId="5"/>
    <tableColumn id="6" xr3:uid="{B13DE3A3-44CF-49AD-B371-8C4C092A0175}" uniqueName="6" name="04:00:00" queryTableFieldId="6"/>
    <tableColumn id="7" xr3:uid="{65A79918-64F6-48B3-A7CE-BB432A49637D}" uniqueName="7" name="05:00:00" queryTableFieldId="7"/>
    <tableColumn id="8" xr3:uid="{55265366-85E3-43EB-BE5E-4990FF5BFB8E}" uniqueName="8" name="06:00:00" queryTableFieldId="8"/>
    <tableColumn id="9" xr3:uid="{298F5BC2-44E8-4C9A-BCB2-34BA6B530168}" uniqueName="9" name="07:00:00" queryTableFieldId="9"/>
    <tableColumn id="10" xr3:uid="{60B158DD-028F-4C9E-ADCB-72DBB9B497F9}" uniqueName="10" name="08:00:00" queryTableFieldId="10"/>
    <tableColumn id="11" xr3:uid="{02EFEDB6-3731-438B-B1DF-5A4D51A7FB74}" uniqueName="11" name="09:00:00" queryTableFieldId="11"/>
    <tableColumn id="12" xr3:uid="{8C388F04-7915-4506-99ED-39E21A50F5D6}" uniqueName="12" name="10:00:00" queryTableFieldId="12"/>
    <tableColumn id="13" xr3:uid="{D6F513B9-A794-4A43-8331-365FA2C3A183}" uniqueName="13" name="11:00:00" queryTableFieldId="13"/>
    <tableColumn id="14" xr3:uid="{FE17830A-E6DC-4D30-BE9E-5CC8AB2299B2}" uniqueName="14" name="12:00:00" queryTableFieldId="14"/>
    <tableColumn id="15" xr3:uid="{6E7CF5A0-B164-4CB4-85CD-10877580C5A0}" uniqueName="15" name="13:00:00" queryTableFieldId="15"/>
    <tableColumn id="16" xr3:uid="{6C62F5EB-F3E7-4079-8EBF-F28E8D5DBDFA}" uniqueName="16" name="14:00:00" queryTableFieldId="16"/>
    <tableColumn id="17" xr3:uid="{96E4A1C5-A37E-4481-98FC-2B0AEA8899DC}" uniqueName="17" name="15:00:00" queryTableFieldId="17"/>
    <tableColumn id="18" xr3:uid="{039CC743-FFF3-4A54-991D-1AACB59B5441}" uniqueName="18" name="16:00:00" queryTableFieldId="18"/>
    <tableColumn id="19" xr3:uid="{B3AD1FF0-A4E9-451D-8A70-10BC1820EDC3}" uniqueName="19" name="17:00:00" queryTableFieldId="19"/>
    <tableColumn id="20" xr3:uid="{C4F8C814-8B10-47D4-8AA5-B88130358AC7}" uniqueName="20" name="18:00:00" queryTableFieldId="20"/>
    <tableColumn id="21" xr3:uid="{4000FF7F-8E19-4516-A712-11575E1E74F4}" uniqueName="21" name="19:00:00" queryTableFieldId="21"/>
    <tableColumn id="22" xr3:uid="{E4620079-8CA8-43E1-BED2-B2DB8D905395}" uniqueName="22" name="20:00:00" queryTableFieldId="22"/>
    <tableColumn id="23" xr3:uid="{36258874-E319-4FB3-BD30-69B38DE812B6}" uniqueName="23" name="21:00:00" queryTableFieldId="23"/>
    <tableColumn id="24" xr3:uid="{0AA40162-571D-46FF-AE7C-C9D886888777}" uniqueName="24" name="22:00:00" queryTableFieldId="24"/>
    <tableColumn id="25" xr3:uid="{49B2BCD2-144C-4991-9EEF-CD6D84037F01}" uniqueName="25" name="23:00:00" queryTableFieldId="25"/>
    <tableColumn id="26" xr3:uid="{7D4F9674-2AEC-4D8E-8919-97AC92AB2C5E}" uniqueName="26" name="AVERAGE AQI" totalsRowFunction="average" queryTableFieldId="26" dataDxfId="48" totalsRowDxfId="47">
      <calculatedColumnFormula>AVERAGE(Sheet1__7[[#This Row],[00:00:00]:[23:00:00]])</calculatedColumnFormula>
    </tableColumn>
    <tableColumn id="27" xr3:uid="{4398FFFC-64F2-4325-A909-63AE76BCE145}" uniqueName="27" name="QUALITY" queryTableFieldId="27" dataDxfId="46">
      <calculatedColumnFormula array="1">_xlfn.IFS(Sheet1__7[[#This Row],[AVERAGE AQI]]&lt;50,"GOOD",Sheet1__7[[#This Row],[AVERAGE AQI]]&lt;=100,"MODERATE",Sheet1__7[[#This Row],[AVERAGE AQI]]&lt;=150,"BAD",Sheet1__7[[#This Row],[AVERAGE AQI]]&lt;=200,"VERY BAD")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D3DF072-3A3D-4C59-B635-830CB78CCE31}" name="Sheet1__8" displayName="Sheet1__8" ref="A1:AA33" tableType="queryTable" totalsRowCount="1">
  <autoFilter ref="A1:AA32" xr:uid="{1D3DF072-3A3D-4C59-B635-830CB78CCE31}"/>
  <tableColumns count="27">
    <tableColumn id="1" xr3:uid="{6B99D499-F188-4479-83F3-2BE080FB9C59}" uniqueName="1" name="Date" queryTableFieldId="1"/>
    <tableColumn id="2" xr3:uid="{11EE0F34-5946-443B-BF6E-BA59C9D14F68}" uniqueName="2" name="00:00:00" queryTableFieldId="2"/>
    <tableColumn id="3" xr3:uid="{F3458E72-8E09-427E-B74E-E2DDD6817F21}" uniqueName="3" name="01:00:00" queryTableFieldId="3"/>
    <tableColumn id="4" xr3:uid="{DF2C969C-EA33-442A-9C1D-89D5DB885DFB}" uniqueName="4" name="02:00:00" queryTableFieldId="4"/>
    <tableColumn id="5" xr3:uid="{AFFCB022-3CF3-49FB-8E09-CE5C85ABFDB4}" uniqueName="5" name="03:00:00" queryTableFieldId="5"/>
    <tableColumn id="6" xr3:uid="{02C723F9-3E09-4BD2-B0DF-8BF6C5DF4083}" uniqueName="6" name="04:00:00" queryTableFieldId="6"/>
    <tableColumn id="7" xr3:uid="{EB1AD6E9-AADA-40DE-8A25-5E251186D9AC}" uniqueName="7" name="05:00:00" queryTableFieldId="7"/>
    <tableColumn id="8" xr3:uid="{BDD055BF-A1D5-4C49-8340-C32397CC540C}" uniqueName="8" name="06:00:00" queryTableFieldId="8"/>
    <tableColumn id="9" xr3:uid="{19892EDE-FE3E-43B5-BC02-AA5BFFB37172}" uniqueName="9" name="07:00:00" queryTableFieldId="9"/>
    <tableColumn id="10" xr3:uid="{067C3207-A2E0-4023-8C1D-CB4517EC1A18}" uniqueName="10" name="08:00:00" queryTableFieldId="10"/>
    <tableColumn id="11" xr3:uid="{028A11C3-5509-4D5D-9903-292B26F9A0E3}" uniqueName="11" name="09:00:00" queryTableFieldId="11"/>
    <tableColumn id="12" xr3:uid="{74D9E982-FD05-43A5-B2CF-6150544AD62D}" uniqueName="12" name="10:00:00" queryTableFieldId="12"/>
    <tableColumn id="13" xr3:uid="{61EE3554-7A8A-4DD4-9BBF-AE07DDC6CB5D}" uniqueName="13" name="11:00:00" queryTableFieldId="13"/>
    <tableColumn id="14" xr3:uid="{FE8A8212-2F4D-4447-B31B-4623F84862CA}" uniqueName="14" name="12:00:00" queryTableFieldId="14"/>
    <tableColumn id="15" xr3:uid="{B5BCC9A4-732C-408D-9848-F6782E3D51F4}" uniqueName="15" name="13:00:00" queryTableFieldId="15"/>
    <tableColumn id="16" xr3:uid="{C938B49F-7482-4EDD-B564-747C8D114504}" uniqueName="16" name="14:00:00" queryTableFieldId="16"/>
    <tableColumn id="17" xr3:uid="{6EAF0462-5810-463C-9C35-77D6ACC03E5A}" uniqueName="17" name="15:00:00" queryTableFieldId="17"/>
    <tableColumn id="18" xr3:uid="{44FBD87A-7A3D-4934-A721-D9CE6D6534DF}" uniqueName="18" name="16:00:00" queryTableFieldId="18"/>
    <tableColumn id="19" xr3:uid="{3833E0F0-76CE-470D-86AF-984EB1711B83}" uniqueName="19" name="17:00:00" queryTableFieldId="19"/>
    <tableColumn id="20" xr3:uid="{0125CB9E-EA5C-481E-95A6-DE88E44DFD8C}" uniqueName="20" name="18:00:00" queryTableFieldId="20"/>
    <tableColumn id="21" xr3:uid="{0D2E1DCB-8B4F-4B95-ACA7-D720FB7C5012}" uniqueName="21" name="19:00:00" queryTableFieldId="21"/>
    <tableColumn id="22" xr3:uid="{4875EC4D-B972-452C-B6D1-6FE099BBE828}" uniqueName="22" name="20:00:00" queryTableFieldId="22"/>
    <tableColumn id="23" xr3:uid="{F28B0C1A-011E-4605-80A6-8F73E5E1607E}" uniqueName="23" name="21:00:00" queryTableFieldId="23"/>
    <tableColumn id="24" xr3:uid="{CEEC8E67-0F64-4A6E-BFE4-AE793887287F}" uniqueName="24" name="22:00:00" queryTableFieldId="24"/>
    <tableColumn id="25" xr3:uid="{6B87BE99-5F3D-4459-A4CE-E123ED9D1766}" uniqueName="25" name="23:00:00" queryTableFieldId="25"/>
    <tableColumn id="26" xr3:uid="{D49FEB5C-A823-4998-AB20-0ED47B4C984B}" uniqueName="26" name="AVERAGE AQI" totalsRowFunction="average" queryTableFieldId="26" dataDxfId="45" totalsRowDxfId="0">
      <calculatedColumnFormula>AVERAGE(Sheet1__8[[#This Row],[00:00:00]:[23:00:00]])</calculatedColumnFormula>
    </tableColumn>
    <tableColumn id="27" xr3:uid="{9C39D9B2-CE1D-42CC-BEBF-E0FFEF96435C}" uniqueName="27" name="QUALITY" queryTableFieldId="27" dataDxfId="44">
      <calculatedColumnFormula array="1">_xlfn.IFS(Sheet1__8[[#This Row],[AVERAGE AQI]]&lt;50,"GOOD",Sheet1__8[[#This Row],[AVERAGE AQI]]&lt;=100,"MODERATE",Sheet1__8[[#This Row],[AVERAGE AQI]]&lt;=150,"BAD",Sheet1__8[[#This Row],[AVERAGE AQI]]&lt;=200,"VERY BAD")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CA92569-AF4D-44DC-A6FF-FAD57DEEAD28}" name="Sheet1__9" displayName="Sheet1__9" ref="A1:AA33" tableType="queryTable" totalsRowCount="1">
  <autoFilter ref="A1:AA32" xr:uid="{ACA92569-AF4D-44DC-A6FF-FAD57DEEAD28}"/>
  <tableColumns count="27">
    <tableColumn id="1" xr3:uid="{01D79CD7-23B6-4BC0-BBA9-955205875708}" uniqueName="1" name="Date" queryTableFieldId="1"/>
    <tableColumn id="2" xr3:uid="{343BA6FB-BB77-4ECC-B2B4-7205D296BF69}" uniqueName="2" name="00:00:00" queryTableFieldId="2"/>
    <tableColumn id="3" xr3:uid="{62BB348E-A8A5-47D8-AB41-B68634D25B9D}" uniqueName="3" name="01:00:00" queryTableFieldId="3"/>
    <tableColumn id="4" xr3:uid="{BDB4B401-B8C3-4CE0-9451-E7A3B531501D}" uniqueName="4" name="02:00:00" queryTableFieldId="4"/>
    <tableColumn id="5" xr3:uid="{09113E25-55C9-4EAC-A68C-F7F10A83A72C}" uniqueName="5" name="03:00:00" queryTableFieldId="5"/>
    <tableColumn id="6" xr3:uid="{E3BF7703-C540-4EC1-B6E3-B1681F49F12A}" uniqueName="6" name="04:00:00" queryTableFieldId="6"/>
    <tableColumn id="7" xr3:uid="{55DB951E-08DD-4AC3-B112-44E45F01DE4F}" uniqueName="7" name="05:00:00" queryTableFieldId="7"/>
    <tableColumn id="8" xr3:uid="{B6C0EF6E-6C19-43AE-8D22-F1161E7971D3}" uniqueName="8" name="06:00:00" queryTableFieldId="8"/>
    <tableColumn id="9" xr3:uid="{BF0EC434-376D-42E8-8EFA-BEDA69006763}" uniqueName="9" name="07:00:00" queryTableFieldId="9"/>
    <tableColumn id="10" xr3:uid="{AA8A1ED1-C5B1-4867-A88E-BE68DB6ADD9F}" uniqueName="10" name="08:00:00" queryTableFieldId="10"/>
    <tableColumn id="11" xr3:uid="{1416E7C1-AA54-4095-A7B7-876C4677A082}" uniqueName="11" name="09:00:00" queryTableFieldId="11"/>
    <tableColumn id="12" xr3:uid="{26E49244-5FBB-4D3B-B0CC-606D81EFFA7C}" uniqueName="12" name="10:00:00" queryTableFieldId="12"/>
    <tableColumn id="13" xr3:uid="{01A65F1F-7E28-431C-BB8D-F44DAC1764C4}" uniqueName="13" name="11:00:00" queryTableFieldId="13"/>
    <tableColumn id="14" xr3:uid="{CEE2EBE7-95FD-4774-AF58-B3A2062717FE}" uniqueName="14" name="12:00:00" queryTableFieldId="14"/>
    <tableColumn id="15" xr3:uid="{CFD50EBE-1E65-4DC6-AB47-78803BCF8619}" uniqueName="15" name="13:00:00" queryTableFieldId="15"/>
    <tableColumn id="16" xr3:uid="{A41127AB-E73C-4981-9C7F-BB9DC119F2C5}" uniqueName="16" name="14:00:00" queryTableFieldId="16"/>
    <tableColumn id="17" xr3:uid="{18299058-11A7-4431-B9CA-5A5DF424A631}" uniqueName="17" name="15:00:00" queryTableFieldId="17"/>
    <tableColumn id="18" xr3:uid="{DE65FE1F-070E-4776-899A-4F6FE844E31F}" uniqueName="18" name="16:00:00" queryTableFieldId="18"/>
    <tableColumn id="19" xr3:uid="{290717A3-80B9-4C9D-8415-1A07724DF257}" uniqueName="19" name="17:00:00" queryTableFieldId="19"/>
    <tableColumn id="20" xr3:uid="{954C3613-7400-4B76-B7BC-21E603546CC5}" uniqueName="20" name="18:00:00" queryTableFieldId="20"/>
    <tableColumn id="21" xr3:uid="{D5F11849-6946-4152-A28C-896EF9DCDCC3}" uniqueName="21" name="19:00:00" queryTableFieldId="21"/>
    <tableColumn id="22" xr3:uid="{A29C7C40-3294-4939-AF97-ABF6C8CE9888}" uniqueName="22" name="20:00:00" queryTableFieldId="22"/>
    <tableColumn id="23" xr3:uid="{9E95CFA9-BE6F-4EB2-8CA9-6E7FD65B86A6}" uniqueName="23" name="21:00:00" queryTableFieldId="23"/>
    <tableColumn id="24" xr3:uid="{91C0BA60-00BD-4140-BE9F-3110AC3D5C1E}" uniqueName="24" name="22:00:00" queryTableFieldId="24"/>
    <tableColumn id="25" xr3:uid="{C97C6C1B-B1E2-48F8-AEFE-A5262A7A7D5D}" uniqueName="25" name="23:00:00" queryTableFieldId="25"/>
    <tableColumn id="26" xr3:uid="{4F1D5CA9-8F10-46BA-B229-876B24E0EC96}" uniqueName="26" name="AVERAGE AQI" totalsRowFunction="average" queryTableFieldId="26" dataDxfId="43" totalsRowDxfId="42">
      <calculatedColumnFormula>AVERAGE(Sheet1__9[[#This Row],[00:00:00]:[23:00:00]])</calculatedColumnFormula>
    </tableColumn>
    <tableColumn id="27" xr3:uid="{FEF94EB9-B7CD-48FA-AE8E-D1E2D4B2E112}" uniqueName="27" name="QUALITY" queryTableFieldId="27" dataDxfId="41">
      <calculatedColumnFormula array="1">_xlfn.IFS(Sheet1__9[[#This Row],[AVERAGE AQI]]&lt;50,"GOOD",Sheet1__9[[#This Row],[AVERAGE AQI]]&lt;=100,"MODERATE",Sheet1__9[[#This Row],[AVERAGE AQI]]&lt;=150,"BAD",Sheet1__9[[#This Row],[AVERAGE AQI]]&lt;=200,"VERY BAD")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B779B58-DAE8-44E4-AE13-6296CC674187}" name="Sheet1__10" displayName="Sheet1__10" ref="A1:AA32" tableType="queryTable" totalsRowCount="1">
  <autoFilter ref="A1:AA31" xr:uid="{BB779B58-DAE8-44E4-AE13-6296CC674187}"/>
  <tableColumns count="27">
    <tableColumn id="1" xr3:uid="{197763B7-F575-4C7E-A016-482280F4F45D}" uniqueName="1" name="Date" queryTableFieldId="1"/>
    <tableColumn id="2" xr3:uid="{E290AF92-32E6-4DF7-B4DB-BFD0BDA31293}" uniqueName="2" name="00:00:00" queryTableFieldId="2"/>
    <tableColumn id="3" xr3:uid="{E4EE1EC2-9887-44C4-9474-99DDF656FE65}" uniqueName="3" name="01:00:00" queryTableFieldId="3"/>
    <tableColumn id="4" xr3:uid="{E2A9A57F-F1CB-4E7D-8692-6DA0B02DF8D4}" uniqueName="4" name="02:00:00" queryTableFieldId="4"/>
    <tableColumn id="5" xr3:uid="{91CF033A-E87D-45E3-B4F9-D28036A50845}" uniqueName="5" name="03:00:00" queryTableFieldId="5"/>
    <tableColumn id="6" xr3:uid="{44C20F4C-C483-402F-8975-B38BE9F80742}" uniqueName="6" name="04:00:00" queryTableFieldId="6"/>
    <tableColumn id="7" xr3:uid="{31787F5B-CBAC-4DAE-976E-A73D1EC82182}" uniqueName="7" name="05:00:00" queryTableFieldId="7"/>
    <tableColumn id="8" xr3:uid="{6CDA9613-78DD-4805-A1E8-7FAC74987179}" uniqueName="8" name="06:00:00" queryTableFieldId="8"/>
    <tableColumn id="9" xr3:uid="{BF7082C0-36BF-4041-81F0-F715EF452DDF}" uniqueName="9" name="07:00:00" queryTableFieldId="9"/>
    <tableColumn id="10" xr3:uid="{04415EA0-04CC-42BB-BE7D-79A830A7F01A}" uniqueName="10" name="08:00:00" queryTableFieldId="10"/>
    <tableColumn id="11" xr3:uid="{90191AA6-8468-477B-9E18-A394362B6BDB}" uniqueName="11" name="09:00:00" queryTableFieldId="11"/>
    <tableColumn id="12" xr3:uid="{F0E84105-5A21-424B-9FB8-A020090F6794}" uniqueName="12" name="10:00:00" queryTableFieldId="12"/>
    <tableColumn id="13" xr3:uid="{FB8BAEC8-8E56-420A-9AE6-65C160D4BCB6}" uniqueName="13" name="11:00:00" queryTableFieldId="13"/>
    <tableColumn id="14" xr3:uid="{B665731C-870E-4A4B-883A-7E323E7BAFBB}" uniqueName="14" name="12:00:00" queryTableFieldId="14"/>
    <tableColumn id="15" xr3:uid="{C28DD6A5-FF7D-47F6-AFDA-49194FC77C38}" uniqueName="15" name="13:00:00" queryTableFieldId="15"/>
    <tableColumn id="16" xr3:uid="{3150FB58-4893-43DF-B394-D1D70891A88B}" uniqueName="16" name="14:00:00" queryTableFieldId="16"/>
    <tableColumn id="17" xr3:uid="{161E2537-55B5-484A-84CC-7602818DD9CF}" uniqueName="17" name="15:00:00" queryTableFieldId="17"/>
    <tableColumn id="18" xr3:uid="{0F847004-A06C-402E-A51B-50EF3BF24E6C}" uniqueName="18" name="16:00:00" queryTableFieldId="18"/>
    <tableColumn id="19" xr3:uid="{22519F1A-A64B-400C-9B19-830D7554B6DD}" uniqueName="19" name="17:00:00" queryTableFieldId="19"/>
    <tableColumn id="20" xr3:uid="{6C1CA3E6-07A1-4267-8121-4F8BB4C28C3C}" uniqueName="20" name="18:00:00" queryTableFieldId="20"/>
    <tableColumn id="21" xr3:uid="{1FAB8954-FCBB-406E-8DF9-B24FBC386A8A}" uniqueName="21" name="19:00:00" queryTableFieldId="21"/>
    <tableColumn id="22" xr3:uid="{88E41283-AE75-4B52-AD69-F9B71E527DC1}" uniqueName="22" name="20:00:00" queryTableFieldId="22"/>
    <tableColumn id="23" xr3:uid="{8AF4BD80-91F0-4CDB-BBCB-A16F88285E0D}" uniqueName="23" name="21:00:00" queryTableFieldId="23"/>
    <tableColumn id="24" xr3:uid="{2C5ABBDA-0A20-43AC-8C7F-31A2BFB86DB4}" uniqueName="24" name="22:00:00" queryTableFieldId="24"/>
    <tableColumn id="25" xr3:uid="{356A958F-EBE8-437C-897F-4798E64F3EBD}" uniqueName="25" name="23:00:00" queryTableFieldId="25"/>
    <tableColumn id="26" xr3:uid="{44EDF497-3438-4B99-B266-D45500EEC65B}" uniqueName="26" name="AVERAGE AQI" totalsRowFunction="custom" queryTableFieldId="26" dataDxfId="40" totalsRowDxfId="39">
      <calculatedColumnFormula>AVERAGE(Sheet1__10[[#This Row],[00:00:00]:[23:00:00]])</calculatedColumnFormula>
      <totalsRowFormula>AVERAGE(Sheet1__10[AVERAGE AQI])</totalsRowFormula>
    </tableColumn>
    <tableColumn id="27" xr3:uid="{BBA45D94-D640-449C-B467-2E52E9FE77B9}" uniqueName="27" name="QUALITY" queryTableFieldId="27" dataDxfId="38">
      <calculatedColumnFormula array="1">_xlfn.IFS(Sheet1__10[[#This Row],[AVERAGE AQI]]&lt;50,"GOOD",Sheet1__10[[#This Row],[AVERAGE AQI]]&lt;=100,"MODERATE",Sheet1__10[[#This Row],[AVERAGE AQI]]&lt;=150,"BAD",Sheet1__10[[#This Row],[AVERAGE AQI]]&lt;=200,"VERY BAD")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2DDDFDC-EE42-40E3-8819-CD91E5E2D556}" name="Sheet1__11" displayName="Sheet1__11" ref="A1:AA33" tableType="queryTable" totalsRowCount="1">
  <autoFilter ref="A1:AA32" xr:uid="{42DDDFDC-EE42-40E3-8819-CD91E5E2D556}"/>
  <tableColumns count="27">
    <tableColumn id="1" xr3:uid="{DDD53DAE-5A1C-4497-A44C-E4C86FBBFE7A}" uniqueName="1" name="Date" queryTableFieldId="1"/>
    <tableColumn id="2" xr3:uid="{A108310D-CA24-4761-848A-4ECAC9862F0B}" uniqueName="2" name="00:00:00" queryTableFieldId="2"/>
    <tableColumn id="3" xr3:uid="{D8B4650B-BF1D-4C39-B428-E6BB5AEDFC94}" uniqueName="3" name="01:00:00" queryTableFieldId="3"/>
    <tableColumn id="4" xr3:uid="{6EB9B1FB-000A-4B31-B80B-DA015B61A3FE}" uniqueName="4" name="02:00:00" queryTableFieldId="4"/>
    <tableColumn id="5" xr3:uid="{2FF4ACB0-6944-460F-B33A-8CF61EF016F8}" uniqueName="5" name="03:00:00" queryTableFieldId="5"/>
    <tableColumn id="6" xr3:uid="{A3EE2275-49B1-4F41-A947-AB5A05D4B955}" uniqueName="6" name="04:00:00" queryTableFieldId="6"/>
    <tableColumn id="7" xr3:uid="{A3204087-8FE6-4797-A4C6-99918EC3D17C}" uniqueName="7" name="05:00:00" queryTableFieldId="7"/>
    <tableColumn id="8" xr3:uid="{1FEB3D2B-6A34-45C8-A72C-B6652AD0A47E}" uniqueName="8" name="06:00:00" queryTableFieldId="8"/>
    <tableColumn id="9" xr3:uid="{E394FAD7-A59C-4D17-820A-CFD7AF6F5C6E}" uniqueName="9" name="07:00:00" queryTableFieldId="9"/>
    <tableColumn id="10" xr3:uid="{1E39802F-CB7B-4048-A73C-6AB6F7F45280}" uniqueName="10" name="08:00:00" queryTableFieldId="10"/>
    <tableColumn id="11" xr3:uid="{75BF7A4D-295B-48A9-8168-A39548431FC6}" uniqueName="11" name="09:00:00" queryTableFieldId="11"/>
    <tableColumn id="12" xr3:uid="{8C22654D-C1A8-41FE-BB8F-2AB33841EA71}" uniqueName="12" name="10:00:00" queryTableFieldId="12"/>
    <tableColumn id="13" xr3:uid="{C5D4C9B6-47F8-4067-8991-6B3C5500C618}" uniqueName="13" name="11:00:00" queryTableFieldId="13"/>
    <tableColumn id="14" xr3:uid="{709744DA-651A-43EE-8D57-6D15C314BC35}" uniqueName="14" name="12:00:00" queryTableFieldId="14"/>
    <tableColumn id="15" xr3:uid="{2C89268F-6BF3-46CC-A377-F98B33C771F0}" uniqueName="15" name="13:00:00" queryTableFieldId="15"/>
    <tableColumn id="16" xr3:uid="{5819FE61-12C0-4DD4-AD6E-8EA99F0EF9B2}" uniqueName="16" name="14:00:00" queryTableFieldId="16"/>
    <tableColumn id="17" xr3:uid="{8A453933-09B1-40DB-8682-36312C9B8313}" uniqueName="17" name="15:00:00" queryTableFieldId="17"/>
    <tableColumn id="18" xr3:uid="{6CF714BF-795D-493E-9CFC-F8C497B45BC7}" uniqueName="18" name="16:00:00" queryTableFieldId="18"/>
    <tableColumn id="19" xr3:uid="{7209579D-7871-4FFB-B58B-9E38EE11F891}" uniqueName="19" name="17:00:00" queryTableFieldId="19"/>
    <tableColumn id="20" xr3:uid="{539B856A-79CF-48D0-B9ED-42A887551D53}" uniqueName="20" name="18:00:00" queryTableFieldId="20"/>
    <tableColumn id="21" xr3:uid="{9B9C3CDB-0909-4B63-AF6A-C48FB4F35457}" uniqueName="21" name="19:00:00" queryTableFieldId="21"/>
    <tableColumn id="22" xr3:uid="{E2004982-1FB3-445F-858F-DEE651E6E4CD}" uniqueName="22" name="20:00:00" queryTableFieldId="22"/>
    <tableColumn id="23" xr3:uid="{CE03F3A4-CEA4-4E70-A3E5-39D73AE1D18B}" uniqueName="23" name="21:00:00" queryTableFieldId="23"/>
    <tableColumn id="24" xr3:uid="{174E35CC-1D1B-419A-9115-4B7C73076940}" uniqueName="24" name="22:00:00" queryTableFieldId="24"/>
    <tableColumn id="25" xr3:uid="{2780F7A1-641A-4EFA-977B-2F4031B3FFB2}" uniqueName="25" name="23:00:00" queryTableFieldId="25"/>
    <tableColumn id="26" xr3:uid="{38B4F89D-1249-4B1D-9C3F-138331A636BF}" uniqueName="26" name="AVERAGE AQI" totalsRowFunction="average" queryTableFieldId="26" dataDxfId="37" totalsRowDxfId="36">
      <calculatedColumnFormula>AVERAGE(Sheet1__11[[#This Row],[00:00:00]:[23:00:00]])</calculatedColumnFormula>
    </tableColumn>
    <tableColumn id="27" xr3:uid="{B453E8D0-3A16-4E60-BF4A-46507FCEF126}" uniqueName="27" name="QUALITY" queryTableFieldId="27" dataDxfId="35">
      <calculatedColumnFormula array="1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4722BB8-85D4-4A85-9E25-1A739776C72D}" name="Sheet1__12" displayName="Sheet1__12" ref="A1:AA32" tableType="queryTable" totalsRowCount="1">
  <autoFilter ref="A1:AA31" xr:uid="{74722BB8-85D4-4A85-9E25-1A739776C72D}"/>
  <tableColumns count="27">
    <tableColumn id="1" xr3:uid="{C5E4DAB6-EEC9-424D-A611-0C1FB9FBC5B1}" uniqueName="1" name="Date" queryTableFieldId="1"/>
    <tableColumn id="2" xr3:uid="{433FE2AE-E496-462B-BB6C-21719BC6780D}" uniqueName="2" name="00:00:00" queryTableFieldId="2"/>
    <tableColumn id="3" xr3:uid="{9C770D46-790C-4E6F-8ED0-504FED20C34F}" uniqueName="3" name="01:00:00" queryTableFieldId="3"/>
    <tableColumn id="4" xr3:uid="{12AFC879-E528-4FB4-9293-683A36646326}" uniqueName="4" name="02:00:00" queryTableFieldId="4"/>
    <tableColumn id="5" xr3:uid="{60F2A411-D951-4F65-914A-4B46AED2D389}" uniqueName="5" name="03:00:00" queryTableFieldId="5"/>
    <tableColumn id="6" xr3:uid="{610607B6-5D92-44FE-9C8C-CA131AC8ABF3}" uniqueName="6" name="04:00:00" queryTableFieldId="6"/>
    <tableColumn id="7" xr3:uid="{51716FF2-9087-45B8-8EC8-BC0C0BE21782}" uniqueName="7" name="05:00:00" queryTableFieldId="7"/>
    <tableColumn id="8" xr3:uid="{084369F4-4EBB-4C0A-8C1E-1C7BAB8EBEF0}" uniqueName="8" name="06:00:00" queryTableFieldId="8"/>
    <tableColumn id="9" xr3:uid="{F43C0F43-C2DD-4270-A29C-19BB6A44A0BD}" uniqueName="9" name="07:00:00" queryTableFieldId="9"/>
    <tableColumn id="10" xr3:uid="{F29954F9-9CB9-4E7F-A126-AD6629F814BE}" uniqueName="10" name="08:00:00" queryTableFieldId="10"/>
    <tableColumn id="11" xr3:uid="{15E1EDA5-28F3-48EE-B6AC-4D089001434C}" uniqueName="11" name="09:00:00" queryTableFieldId="11"/>
    <tableColumn id="12" xr3:uid="{0FA3D13B-D7B0-481D-9381-D6A0A827D391}" uniqueName="12" name="10:00:00" queryTableFieldId="12"/>
    <tableColumn id="13" xr3:uid="{E1DC9EE9-98FB-4058-BF69-CB576FBF6B86}" uniqueName="13" name="11:00:00" queryTableFieldId="13"/>
    <tableColumn id="14" xr3:uid="{B9FC84EB-B42F-4660-8D08-9F4CA5CC2C94}" uniqueName="14" name="12:00:00" queryTableFieldId="14"/>
    <tableColumn id="15" xr3:uid="{E7BE61D2-BFFC-437B-9AFF-08BA91D2E234}" uniqueName="15" name="13:00:00" queryTableFieldId="15"/>
    <tableColumn id="16" xr3:uid="{A3B9B2C2-FD0E-46DE-A055-14C6DDD4FBBE}" uniqueName="16" name="14:00:00" queryTableFieldId="16"/>
    <tableColumn id="17" xr3:uid="{DFFAA6BC-62B0-45C1-96EC-F335C828F71E}" uniqueName="17" name="15:00:00" queryTableFieldId="17"/>
    <tableColumn id="18" xr3:uid="{5D8EFC91-704D-4E03-9E3A-4F9142DFC352}" uniqueName="18" name="16:00:00" queryTableFieldId="18"/>
    <tableColumn id="19" xr3:uid="{C7DA4B07-5598-4792-A2E5-A4C6B5A3DA1D}" uniqueName="19" name="17:00:00" queryTableFieldId="19"/>
    <tableColumn id="20" xr3:uid="{1B19A819-A259-42C8-9E04-79198F2A14FF}" uniqueName="20" name="18:00:00" queryTableFieldId="20"/>
    <tableColumn id="21" xr3:uid="{BDEB1DFA-8454-47A4-B790-41EE7BCB4BD1}" uniqueName="21" name="19:00:00" queryTableFieldId="21"/>
    <tableColumn id="22" xr3:uid="{0B9355BF-3BE6-4EE9-A27A-C8A6BCEB677B}" uniqueName="22" name="20:00:00" queryTableFieldId="22"/>
    <tableColumn id="23" xr3:uid="{7A1028E9-EBD4-4972-8CB3-A3B6DC3E1647}" uniqueName="23" name="21:00:00" queryTableFieldId="23"/>
    <tableColumn id="24" xr3:uid="{7457607F-662C-4378-9032-31B83E882138}" uniqueName="24" name="22:00:00" queryTableFieldId="24"/>
    <tableColumn id="25" xr3:uid="{CB400FE7-7B54-453C-A5A2-64837DDF0451}" uniqueName="25" name="23:00:00" queryTableFieldId="25"/>
    <tableColumn id="26" xr3:uid="{2C69D34C-6C20-4A72-9A9A-E6F45F6AEC9F}" uniqueName="26" name="AVERAGE AQI" totalsRowFunction="average" queryTableFieldId="26" dataDxfId="34" totalsRowDxfId="33">
      <calculatedColumnFormula>AVERAGE(Sheet1__12[[#This Row],[00:00:00]:[23:00:00]])</calculatedColumnFormula>
    </tableColumn>
    <tableColumn id="27" xr3:uid="{7055DAE6-EF1E-4787-9371-990904CEEB5D}" uniqueName="27" name="QUALITY" queryTableFieldId="27" dataDxfId="32">
      <calculatedColumnFormula array="1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04AA196-70EF-4996-A159-F30F785BC841}" name="Sheet1__13" displayName="Sheet1__13" ref="A1:AA33" tableType="queryTable" totalsRowCount="1">
  <autoFilter ref="A1:AA32" xr:uid="{304AA196-70EF-4996-A159-F30F785BC841}"/>
  <tableColumns count="27">
    <tableColumn id="1" xr3:uid="{EEB8F7EC-5059-475A-AD69-9C8D14C072EA}" uniqueName="1" name="Date" queryTableFieldId="1"/>
    <tableColumn id="2" xr3:uid="{E8AEB99E-BD64-4C6F-89F3-609DCD272E1E}" uniqueName="2" name="00:00:00" queryTableFieldId="2"/>
    <tableColumn id="3" xr3:uid="{7B69A07B-4765-405F-952E-CDD11833FD09}" uniqueName="3" name="01:00:00" queryTableFieldId="3"/>
    <tableColumn id="4" xr3:uid="{2AF9EB45-93A4-489B-BA81-D4A732D43269}" uniqueName="4" name="02:00:00" queryTableFieldId="4"/>
    <tableColumn id="5" xr3:uid="{AAF9BE3C-C179-4E5A-8E8B-E9DC5B7922C1}" uniqueName="5" name="03:00:00" queryTableFieldId="5"/>
    <tableColumn id="6" xr3:uid="{A482360A-F64B-4BC3-AE19-26098A4549B6}" uniqueName="6" name="04:00:00" queryTableFieldId="6"/>
    <tableColumn id="7" xr3:uid="{D6A912C9-67B8-49F6-B419-F0F9A98D3404}" uniqueName="7" name="05:00:00" queryTableFieldId="7"/>
    <tableColumn id="8" xr3:uid="{EF4DB092-0049-4EFF-A6C3-8728430C87BA}" uniqueName="8" name="06:00:00" queryTableFieldId="8"/>
    <tableColumn id="9" xr3:uid="{18B861AB-C00C-469F-AE02-F5D046E23143}" uniqueName="9" name="07:00:00" queryTableFieldId="9"/>
    <tableColumn id="10" xr3:uid="{0E97AFCB-DA09-4709-9FD2-1965E84295EB}" uniqueName="10" name="08:00:00" queryTableFieldId="10"/>
    <tableColumn id="11" xr3:uid="{14BC9810-D17F-44EA-8887-C6FB5CD1CB72}" uniqueName="11" name="09:00:00" queryTableFieldId="11"/>
    <tableColumn id="12" xr3:uid="{45A528C0-96C0-4EED-A4FB-478960376579}" uniqueName="12" name="10:00:00" queryTableFieldId="12"/>
    <tableColumn id="13" xr3:uid="{709D96F8-C59F-410F-B830-9E3BC002834E}" uniqueName="13" name="11:00:00" queryTableFieldId="13"/>
    <tableColumn id="14" xr3:uid="{11CDA248-FFFE-41BB-96A8-2B0A2A83EB48}" uniqueName="14" name="12:00:00" queryTableFieldId="14"/>
    <tableColumn id="15" xr3:uid="{DE513AE1-331F-4CCA-8F5E-06EC612F7A77}" uniqueName="15" name="13:00:00" queryTableFieldId="15"/>
    <tableColumn id="16" xr3:uid="{89DAE04E-B395-4F9E-9E7F-0BEA44F5746B}" uniqueName="16" name="14:00:00" queryTableFieldId="16"/>
    <tableColumn id="17" xr3:uid="{B1A5F0C4-243E-4F27-A66A-C66C66BC03A4}" uniqueName="17" name="15:00:00" queryTableFieldId="17"/>
    <tableColumn id="18" xr3:uid="{FDAACA42-CBE8-4C8B-9F21-3C9A81C422D3}" uniqueName="18" name="16:00:00" queryTableFieldId="18"/>
    <tableColumn id="19" xr3:uid="{727BFF7C-D3DD-49F2-AEBE-DE30E6E734F5}" uniqueName="19" name="17:00:00" queryTableFieldId="19"/>
    <tableColumn id="20" xr3:uid="{B4BCCF0B-10FE-4E7C-8F02-AB948F83DB25}" uniqueName="20" name="18:00:00" queryTableFieldId="20"/>
    <tableColumn id="21" xr3:uid="{AFA3BE10-F32F-4992-9315-9EE8CB37234B}" uniqueName="21" name="19:00:00" queryTableFieldId="21"/>
    <tableColumn id="22" xr3:uid="{6C41F6FB-00D3-4E7D-A111-61479F0B8B09}" uniqueName="22" name="20:00:00" queryTableFieldId="22"/>
    <tableColumn id="23" xr3:uid="{3AD11815-AC41-4925-AFC9-42B9540BA61C}" uniqueName="23" name="21:00:00" queryTableFieldId="23"/>
    <tableColumn id="24" xr3:uid="{5B84B953-64A6-485E-AA36-93B690D6F65E}" uniqueName="24" name="22:00:00" queryTableFieldId="24"/>
    <tableColumn id="25" xr3:uid="{689C46B9-16C5-4E11-861B-A327004DD30E}" uniqueName="25" name="23:00:00" queryTableFieldId="25"/>
    <tableColumn id="26" xr3:uid="{0A330FF4-0B81-48DC-BC72-769AB0547DEB}" uniqueName="26" name="AVERAGE AQI" totalsRowFunction="custom" queryTableFieldId="26" dataDxfId="66" totalsRowDxfId="65">
      <calculatedColumnFormula>AVERAGE(Sheet1__13[[#This Row],[00:00:00]:[23:00:00]])</calculatedColumnFormula>
      <totalsRowFormula>AVERAGE(Sheet1__13[AVERAGE AQI])</totalsRowFormula>
    </tableColumn>
    <tableColumn id="27" xr3:uid="{66B80F8F-5859-48DC-9911-1B0EC3946388}" uniqueName="27" name="QUALITY" queryTableFieldId="27" dataDxfId="64">
      <calculatedColumnFormula array="1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29DA1-8183-47BB-AA30-6C2E1F53AB6E}">
  <dimension ref="A1:AD33"/>
  <sheetViews>
    <sheetView topLeftCell="R1" workbookViewId="0">
      <selection activeCell="AA2" sqref="AA2"/>
    </sheetView>
  </sheetViews>
  <sheetFormatPr defaultRowHeight="14.4" x14ac:dyDescent="0.3"/>
  <cols>
    <col min="1" max="25" width="10.33203125" bestFit="1" customWidth="1"/>
    <col min="26" max="26" width="10.5546875" bestFit="1" customWidth="1"/>
    <col min="27" max="27" width="11.1093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28</v>
      </c>
      <c r="AA1" t="s">
        <v>25</v>
      </c>
      <c r="AC1" t="s">
        <v>27</v>
      </c>
      <c r="AD1">
        <f>AVERAGE(Sheet1__2[AVERAGE AQI])</f>
        <v>132.35250116877046</v>
      </c>
    </row>
    <row r="2" spans="1:30" x14ac:dyDescent="0.3">
      <c r="A2" s="1">
        <v>45658</v>
      </c>
      <c r="B2">
        <v>118</v>
      </c>
      <c r="C2">
        <v>117</v>
      </c>
      <c r="D2">
        <v>118</v>
      </c>
      <c r="E2">
        <v>121</v>
      </c>
      <c r="F2">
        <v>124</v>
      </c>
      <c r="G2">
        <v>126</v>
      </c>
      <c r="H2">
        <v>130</v>
      </c>
      <c r="I2">
        <v>132</v>
      </c>
      <c r="J2">
        <v>140</v>
      </c>
      <c r="K2">
        <v>135</v>
      </c>
      <c r="L2">
        <v>135</v>
      </c>
      <c r="M2">
        <v>142</v>
      </c>
      <c r="N2">
        <v>138</v>
      </c>
      <c r="O2">
        <v>137</v>
      </c>
      <c r="P2">
        <v>137</v>
      </c>
      <c r="Q2">
        <v>140</v>
      </c>
      <c r="R2">
        <v>140</v>
      </c>
      <c r="S2">
        <v>134</v>
      </c>
      <c r="T2">
        <v>132</v>
      </c>
      <c r="U2">
        <v>137</v>
      </c>
      <c r="V2">
        <v>134</v>
      </c>
      <c r="W2">
        <v>131</v>
      </c>
      <c r="X2">
        <v>129</v>
      </c>
      <c r="Y2">
        <v>127</v>
      </c>
      <c r="Z2" s="2">
        <f>AVERAGE(Sheet1__2[[#This Row],[00:00:00]:[23:00:00]])</f>
        <v>131.41666666666666</v>
      </c>
      <c r="AA2" t="str" cm="1">
        <f t="array" ref="AA2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3" spans="1:30" x14ac:dyDescent="0.3">
      <c r="A3" s="1">
        <v>45659</v>
      </c>
      <c r="B3">
        <v>126</v>
      </c>
      <c r="C3">
        <v>123</v>
      </c>
      <c r="D3">
        <v>120</v>
      </c>
      <c r="E3">
        <v>116</v>
      </c>
      <c r="F3">
        <v>114</v>
      </c>
      <c r="G3">
        <v>111</v>
      </c>
      <c r="H3">
        <v>109</v>
      </c>
      <c r="I3">
        <v>107</v>
      </c>
      <c r="J3">
        <v>106</v>
      </c>
      <c r="K3">
        <v>105</v>
      </c>
      <c r="L3">
        <v>105</v>
      </c>
      <c r="M3">
        <v>104</v>
      </c>
      <c r="N3">
        <v>103</v>
      </c>
      <c r="O3">
        <v>106</v>
      </c>
      <c r="P3">
        <v>120</v>
      </c>
      <c r="Q3">
        <v>126</v>
      </c>
      <c r="R3">
        <v>119</v>
      </c>
      <c r="S3">
        <v>114</v>
      </c>
      <c r="T3">
        <v>112</v>
      </c>
      <c r="U3">
        <v>113</v>
      </c>
      <c r="V3">
        <v>115</v>
      </c>
      <c r="W3">
        <v>115</v>
      </c>
      <c r="X3">
        <v>114</v>
      </c>
      <c r="Y3">
        <v>112</v>
      </c>
      <c r="Z3" s="2">
        <f>AVERAGE(Sheet1__2[[#This Row],[00:00:00]:[23:00:00]])</f>
        <v>113.125</v>
      </c>
      <c r="AA3" t="str" cm="1">
        <f t="array" ref="AA3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4" spans="1:30" x14ac:dyDescent="0.3">
      <c r="A4" s="1">
        <v>45660</v>
      </c>
      <c r="B4">
        <v>111</v>
      </c>
      <c r="C4">
        <v>111</v>
      </c>
      <c r="D4">
        <v>112</v>
      </c>
      <c r="E4">
        <v>114</v>
      </c>
      <c r="F4">
        <v>114</v>
      </c>
      <c r="G4">
        <v>116</v>
      </c>
      <c r="H4">
        <v>117</v>
      </c>
      <c r="I4">
        <v>115</v>
      </c>
      <c r="J4">
        <v>117</v>
      </c>
      <c r="K4">
        <v>117</v>
      </c>
      <c r="L4">
        <v>117</v>
      </c>
      <c r="M4">
        <v>117</v>
      </c>
      <c r="N4">
        <v>117</v>
      </c>
      <c r="O4">
        <v>121</v>
      </c>
      <c r="P4">
        <v>123</v>
      </c>
      <c r="Q4">
        <v>123</v>
      </c>
      <c r="R4">
        <v>127</v>
      </c>
      <c r="S4">
        <v>132</v>
      </c>
      <c r="T4">
        <v>124</v>
      </c>
      <c r="U4">
        <v>119</v>
      </c>
      <c r="V4">
        <v>120</v>
      </c>
      <c r="W4">
        <v>113</v>
      </c>
      <c r="X4">
        <v>111</v>
      </c>
      <c r="Y4">
        <v>110</v>
      </c>
      <c r="Z4" s="2">
        <f>AVERAGE(Sheet1__2[[#This Row],[00:00:00]:[23:00:00]])</f>
        <v>117.41666666666667</v>
      </c>
      <c r="AA4" t="str" cm="1">
        <f t="array" ref="AA4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5" spans="1:30" x14ac:dyDescent="0.3">
      <c r="A5" s="1">
        <v>45661</v>
      </c>
      <c r="B5">
        <v>110</v>
      </c>
      <c r="C5">
        <v>109</v>
      </c>
      <c r="D5">
        <v>109</v>
      </c>
      <c r="E5">
        <v>110</v>
      </c>
      <c r="F5">
        <v>111</v>
      </c>
      <c r="G5">
        <v>112</v>
      </c>
      <c r="H5">
        <v>113</v>
      </c>
      <c r="I5">
        <v>115</v>
      </c>
      <c r="K5">
        <v>117</v>
      </c>
      <c r="L5">
        <v>117</v>
      </c>
      <c r="M5">
        <v>118</v>
      </c>
      <c r="N5">
        <v>118</v>
      </c>
      <c r="O5">
        <v>121</v>
      </c>
      <c r="P5">
        <v>124</v>
      </c>
      <c r="Q5">
        <v>137</v>
      </c>
      <c r="R5">
        <v>155</v>
      </c>
      <c r="S5">
        <v>158</v>
      </c>
      <c r="T5">
        <v>144</v>
      </c>
      <c r="U5">
        <v>142</v>
      </c>
      <c r="V5">
        <v>140</v>
      </c>
      <c r="W5">
        <v>140</v>
      </c>
      <c r="X5">
        <v>137</v>
      </c>
      <c r="Y5">
        <v>134</v>
      </c>
      <c r="Z5" s="2">
        <f>AVERAGE(Sheet1__2[[#This Row],[00:00:00]:[23:00:00]])</f>
        <v>125.69565217391305</v>
      </c>
      <c r="AA5" t="str" cm="1">
        <f t="array" ref="AA5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6" spans="1:30" x14ac:dyDescent="0.3">
      <c r="A6" s="1">
        <v>45662</v>
      </c>
      <c r="B6">
        <v>129</v>
      </c>
      <c r="C6">
        <v>127</v>
      </c>
      <c r="D6">
        <v>126</v>
      </c>
      <c r="E6">
        <v>128</v>
      </c>
      <c r="F6">
        <v>127</v>
      </c>
      <c r="G6">
        <v>128</v>
      </c>
      <c r="H6">
        <v>128</v>
      </c>
      <c r="I6">
        <v>129</v>
      </c>
      <c r="J6">
        <v>129</v>
      </c>
      <c r="K6">
        <v>129</v>
      </c>
      <c r="L6">
        <v>129</v>
      </c>
      <c r="M6">
        <v>129</v>
      </c>
      <c r="N6">
        <v>131</v>
      </c>
      <c r="O6">
        <v>135</v>
      </c>
      <c r="P6">
        <v>148</v>
      </c>
      <c r="Q6">
        <v>159</v>
      </c>
      <c r="R6">
        <v>162</v>
      </c>
      <c r="S6">
        <v>162</v>
      </c>
      <c r="T6">
        <v>157</v>
      </c>
      <c r="U6">
        <v>159</v>
      </c>
      <c r="V6">
        <v>159</v>
      </c>
      <c r="W6">
        <v>160</v>
      </c>
      <c r="X6">
        <v>160</v>
      </c>
      <c r="Y6">
        <v>158</v>
      </c>
      <c r="Z6" s="2">
        <f>AVERAGE(Sheet1__2[[#This Row],[00:00:00]:[23:00:00]])</f>
        <v>141.16666666666666</v>
      </c>
      <c r="AA6" t="str" cm="1">
        <f t="array" ref="AA6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7" spans="1:30" x14ac:dyDescent="0.3">
      <c r="A7" s="1">
        <v>45663</v>
      </c>
      <c r="B7">
        <v>156</v>
      </c>
      <c r="C7">
        <v>153</v>
      </c>
      <c r="D7">
        <v>150</v>
      </c>
      <c r="E7">
        <v>146</v>
      </c>
      <c r="F7">
        <v>143</v>
      </c>
      <c r="G7">
        <v>141</v>
      </c>
      <c r="H7">
        <v>140</v>
      </c>
      <c r="I7">
        <v>138</v>
      </c>
      <c r="J7">
        <v>136</v>
      </c>
      <c r="K7">
        <v>135</v>
      </c>
      <c r="L7">
        <v>126</v>
      </c>
      <c r="M7">
        <v>126</v>
      </c>
      <c r="N7">
        <v>133</v>
      </c>
      <c r="O7">
        <v>133</v>
      </c>
      <c r="P7">
        <v>134</v>
      </c>
      <c r="Q7">
        <v>133</v>
      </c>
      <c r="R7">
        <v>132</v>
      </c>
      <c r="S7">
        <v>132</v>
      </c>
      <c r="T7">
        <v>130</v>
      </c>
      <c r="U7">
        <v>125</v>
      </c>
      <c r="V7">
        <v>124</v>
      </c>
      <c r="W7">
        <v>122</v>
      </c>
      <c r="X7">
        <v>122</v>
      </c>
      <c r="Y7">
        <v>120</v>
      </c>
      <c r="Z7" s="2">
        <f>AVERAGE(Sheet1__2[[#This Row],[00:00:00]:[23:00:00]])</f>
        <v>134.58333333333334</v>
      </c>
      <c r="AA7" t="str" cm="1">
        <f t="array" ref="AA7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8" spans="1:30" x14ac:dyDescent="0.3">
      <c r="A8" s="1">
        <v>45664</v>
      </c>
      <c r="B8">
        <v>119</v>
      </c>
      <c r="C8">
        <v>118</v>
      </c>
      <c r="D8">
        <v>118</v>
      </c>
      <c r="E8">
        <v>119</v>
      </c>
      <c r="F8">
        <v>120</v>
      </c>
      <c r="G8">
        <v>120</v>
      </c>
      <c r="H8">
        <v>122</v>
      </c>
      <c r="I8">
        <v>123</v>
      </c>
      <c r="J8">
        <v>124</v>
      </c>
      <c r="K8">
        <v>127</v>
      </c>
      <c r="L8">
        <v>128</v>
      </c>
      <c r="M8">
        <v>129</v>
      </c>
      <c r="N8">
        <v>130</v>
      </c>
      <c r="O8">
        <v>133</v>
      </c>
      <c r="P8">
        <v>140</v>
      </c>
      <c r="Q8">
        <v>140</v>
      </c>
      <c r="R8">
        <v>143</v>
      </c>
      <c r="S8">
        <v>141</v>
      </c>
      <c r="T8">
        <v>139</v>
      </c>
      <c r="U8">
        <v>140</v>
      </c>
      <c r="V8">
        <v>138</v>
      </c>
      <c r="W8">
        <v>139</v>
      </c>
      <c r="X8">
        <v>139</v>
      </c>
      <c r="Y8">
        <v>139</v>
      </c>
      <c r="Z8" s="2">
        <f>AVERAGE(Sheet1__2[[#This Row],[00:00:00]:[23:00:00]])</f>
        <v>130.33333333333334</v>
      </c>
      <c r="AA8" t="str" cm="1">
        <f t="array" ref="AA8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9" spans="1:30" x14ac:dyDescent="0.3">
      <c r="A9" s="1">
        <v>45665</v>
      </c>
      <c r="B9">
        <v>139</v>
      </c>
      <c r="C9">
        <v>139</v>
      </c>
      <c r="D9">
        <v>139</v>
      </c>
      <c r="E9">
        <v>138</v>
      </c>
      <c r="F9">
        <v>138</v>
      </c>
      <c r="G9">
        <v>138</v>
      </c>
      <c r="H9">
        <v>137</v>
      </c>
      <c r="I9">
        <v>136</v>
      </c>
      <c r="J9">
        <v>135</v>
      </c>
      <c r="K9">
        <v>135</v>
      </c>
      <c r="L9">
        <v>134</v>
      </c>
      <c r="M9">
        <v>134</v>
      </c>
      <c r="N9">
        <v>133</v>
      </c>
      <c r="O9">
        <v>133</v>
      </c>
      <c r="P9">
        <v>133</v>
      </c>
      <c r="Q9">
        <v>137</v>
      </c>
      <c r="R9">
        <v>137</v>
      </c>
      <c r="S9">
        <v>133</v>
      </c>
      <c r="T9">
        <v>133</v>
      </c>
      <c r="U9">
        <v>133</v>
      </c>
      <c r="V9">
        <v>133</v>
      </c>
      <c r="W9">
        <v>132</v>
      </c>
      <c r="X9">
        <v>132</v>
      </c>
      <c r="Y9">
        <v>126</v>
      </c>
      <c r="Z9" s="2">
        <f>AVERAGE(Sheet1__2[[#This Row],[00:00:00]:[23:00:00]])</f>
        <v>134.875</v>
      </c>
      <c r="AA9" t="str" cm="1">
        <f t="array" ref="AA9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10" spans="1:30" x14ac:dyDescent="0.3">
      <c r="A10" s="1">
        <v>45666</v>
      </c>
      <c r="B10">
        <v>132</v>
      </c>
      <c r="C10">
        <v>133</v>
      </c>
      <c r="D10">
        <v>133</v>
      </c>
      <c r="E10">
        <v>132</v>
      </c>
      <c r="F10">
        <v>135</v>
      </c>
      <c r="G10">
        <v>136</v>
      </c>
      <c r="H10">
        <v>136</v>
      </c>
      <c r="I10">
        <v>136</v>
      </c>
      <c r="J10">
        <v>136</v>
      </c>
      <c r="K10">
        <v>135</v>
      </c>
      <c r="L10">
        <v>134</v>
      </c>
      <c r="M10">
        <v>133</v>
      </c>
      <c r="N10">
        <v>132</v>
      </c>
      <c r="O10">
        <v>132</v>
      </c>
      <c r="P10">
        <v>131</v>
      </c>
      <c r="Q10">
        <v>130</v>
      </c>
      <c r="R10">
        <v>132</v>
      </c>
      <c r="S10">
        <v>132</v>
      </c>
      <c r="T10">
        <v>131</v>
      </c>
      <c r="U10">
        <v>130</v>
      </c>
      <c r="V10">
        <v>129</v>
      </c>
      <c r="W10">
        <v>128</v>
      </c>
      <c r="X10">
        <v>127</v>
      </c>
      <c r="Y10">
        <v>126</v>
      </c>
      <c r="Z10" s="2">
        <f>AVERAGE(Sheet1__2[[#This Row],[00:00:00]:[23:00:00]])</f>
        <v>132.125</v>
      </c>
      <c r="AA10" t="str" cm="1">
        <f t="array" ref="AA10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11" spans="1:30" x14ac:dyDescent="0.3">
      <c r="A11" s="1">
        <v>45667</v>
      </c>
      <c r="B11">
        <v>125</v>
      </c>
      <c r="C11">
        <v>124</v>
      </c>
      <c r="D11">
        <v>123</v>
      </c>
      <c r="E11">
        <v>123</v>
      </c>
      <c r="F11">
        <v>123</v>
      </c>
      <c r="G11">
        <v>123</v>
      </c>
      <c r="H11">
        <v>124</v>
      </c>
      <c r="I11">
        <v>124</v>
      </c>
      <c r="J11">
        <v>125</v>
      </c>
      <c r="K11">
        <v>126</v>
      </c>
      <c r="L11">
        <v>127</v>
      </c>
      <c r="M11">
        <v>128</v>
      </c>
      <c r="N11">
        <v>129</v>
      </c>
      <c r="O11">
        <v>128</v>
      </c>
      <c r="P11">
        <v>131</v>
      </c>
      <c r="Q11">
        <v>132</v>
      </c>
      <c r="R11">
        <v>140</v>
      </c>
      <c r="S11">
        <v>137</v>
      </c>
      <c r="T11">
        <v>138</v>
      </c>
      <c r="U11">
        <v>134</v>
      </c>
      <c r="V11">
        <v>135</v>
      </c>
      <c r="W11">
        <v>136</v>
      </c>
      <c r="X11">
        <v>138</v>
      </c>
      <c r="Y11">
        <v>140</v>
      </c>
      <c r="Z11" s="2">
        <f>AVERAGE(Sheet1__2[[#This Row],[00:00:00]:[23:00:00]])</f>
        <v>129.70833333333334</v>
      </c>
      <c r="AA11" t="str" cm="1">
        <f t="array" ref="AA11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12" spans="1:30" x14ac:dyDescent="0.3">
      <c r="A12" s="1">
        <v>45668</v>
      </c>
      <c r="B12">
        <v>137</v>
      </c>
      <c r="C12">
        <v>137</v>
      </c>
      <c r="D12">
        <v>138</v>
      </c>
      <c r="E12">
        <v>141</v>
      </c>
      <c r="F12">
        <v>142</v>
      </c>
      <c r="G12">
        <v>141</v>
      </c>
      <c r="H12">
        <v>140</v>
      </c>
      <c r="I12">
        <v>138</v>
      </c>
      <c r="J12">
        <v>143</v>
      </c>
      <c r="K12">
        <v>145</v>
      </c>
      <c r="L12">
        <v>144</v>
      </c>
      <c r="M12">
        <v>145</v>
      </c>
      <c r="N12">
        <v>145</v>
      </c>
      <c r="O12">
        <v>145</v>
      </c>
      <c r="P12">
        <v>145</v>
      </c>
      <c r="Q12">
        <v>145</v>
      </c>
      <c r="R12">
        <v>145</v>
      </c>
      <c r="S12">
        <v>145</v>
      </c>
      <c r="T12">
        <v>145</v>
      </c>
      <c r="U12">
        <v>146</v>
      </c>
      <c r="V12">
        <v>146</v>
      </c>
      <c r="W12">
        <v>142</v>
      </c>
      <c r="X12">
        <v>142</v>
      </c>
      <c r="Y12">
        <v>138</v>
      </c>
      <c r="Z12" s="2">
        <f>AVERAGE(Sheet1__2[[#This Row],[00:00:00]:[23:00:00]])</f>
        <v>142.5</v>
      </c>
      <c r="AA12" t="str" cm="1">
        <f t="array" ref="AA12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13" spans="1:30" x14ac:dyDescent="0.3">
      <c r="A13" s="1">
        <v>45669</v>
      </c>
      <c r="B13">
        <v>138</v>
      </c>
      <c r="C13">
        <v>135</v>
      </c>
      <c r="D13">
        <v>134</v>
      </c>
      <c r="E13">
        <v>131</v>
      </c>
      <c r="F13">
        <v>130</v>
      </c>
      <c r="G13">
        <v>127</v>
      </c>
      <c r="H13">
        <v>125</v>
      </c>
      <c r="I13">
        <v>122</v>
      </c>
      <c r="J13">
        <v>119</v>
      </c>
      <c r="K13">
        <v>116</v>
      </c>
      <c r="L13">
        <v>109</v>
      </c>
      <c r="M13">
        <v>107</v>
      </c>
      <c r="N13">
        <v>107</v>
      </c>
      <c r="O13">
        <v>107</v>
      </c>
      <c r="P13">
        <v>107</v>
      </c>
      <c r="Q13">
        <v>106</v>
      </c>
      <c r="R13">
        <v>106</v>
      </c>
      <c r="S13">
        <v>106</v>
      </c>
      <c r="T13">
        <v>106</v>
      </c>
      <c r="U13">
        <v>105</v>
      </c>
      <c r="V13">
        <v>105</v>
      </c>
      <c r="W13">
        <v>107</v>
      </c>
      <c r="X13">
        <v>107</v>
      </c>
      <c r="Y13">
        <v>107</v>
      </c>
      <c r="Z13" s="2">
        <f>AVERAGE(Sheet1__2[[#This Row],[00:00:00]:[23:00:00]])</f>
        <v>115.375</v>
      </c>
      <c r="AA13" t="str" cm="1">
        <f t="array" ref="AA13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14" spans="1:30" x14ac:dyDescent="0.3">
      <c r="A14" s="1">
        <v>45670</v>
      </c>
      <c r="B14">
        <v>107</v>
      </c>
      <c r="C14">
        <v>109</v>
      </c>
      <c r="D14">
        <v>110</v>
      </c>
      <c r="E14">
        <v>115</v>
      </c>
      <c r="F14">
        <v>115</v>
      </c>
      <c r="G14">
        <v>119</v>
      </c>
      <c r="H14">
        <v>120</v>
      </c>
      <c r="I14">
        <v>121</v>
      </c>
      <c r="J14">
        <v>122</v>
      </c>
      <c r="K14">
        <v>124</v>
      </c>
      <c r="L14">
        <v>124</v>
      </c>
      <c r="M14">
        <v>125</v>
      </c>
      <c r="N14">
        <v>125</v>
      </c>
      <c r="O14">
        <v>125</v>
      </c>
      <c r="P14">
        <v>124</v>
      </c>
      <c r="Q14">
        <v>125</v>
      </c>
      <c r="R14">
        <v>127</v>
      </c>
      <c r="S14">
        <v>128</v>
      </c>
      <c r="T14">
        <v>128</v>
      </c>
      <c r="U14">
        <v>129</v>
      </c>
      <c r="V14">
        <v>129</v>
      </c>
      <c r="W14">
        <v>129</v>
      </c>
      <c r="X14">
        <v>129</v>
      </c>
      <c r="Y14">
        <v>129</v>
      </c>
      <c r="Z14" s="2">
        <f>AVERAGE(Sheet1__2[[#This Row],[00:00:00]:[23:00:00]])</f>
        <v>122.41666666666667</v>
      </c>
      <c r="AA14" t="str" cm="1">
        <f t="array" ref="AA14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15" spans="1:30" x14ac:dyDescent="0.3">
      <c r="A15" s="1">
        <v>45671</v>
      </c>
      <c r="B15">
        <v>130</v>
      </c>
      <c r="C15">
        <v>128</v>
      </c>
      <c r="D15">
        <v>127</v>
      </c>
      <c r="E15">
        <v>128</v>
      </c>
      <c r="F15">
        <v>128</v>
      </c>
      <c r="G15">
        <v>127</v>
      </c>
      <c r="H15">
        <v>128</v>
      </c>
      <c r="I15">
        <v>128</v>
      </c>
      <c r="J15">
        <v>128</v>
      </c>
      <c r="K15">
        <v>128</v>
      </c>
      <c r="L15">
        <v>129</v>
      </c>
      <c r="M15">
        <v>129</v>
      </c>
      <c r="N15">
        <v>130</v>
      </c>
      <c r="O15">
        <v>131</v>
      </c>
      <c r="P15">
        <v>130</v>
      </c>
      <c r="Q15">
        <v>133</v>
      </c>
      <c r="R15">
        <v>131</v>
      </c>
      <c r="S15">
        <v>131</v>
      </c>
      <c r="T15">
        <v>132</v>
      </c>
      <c r="U15">
        <v>132</v>
      </c>
      <c r="V15">
        <v>132</v>
      </c>
      <c r="W15">
        <v>133</v>
      </c>
      <c r="X15">
        <v>133</v>
      </c>
      <c r="Y15">
        <v>133</v>
      </c>
      <c r="Z15" s="2">
        <f>AVERAGE(Sheet1__2[[#This Row],[00:00:00]:[23:00:00]])</f>
        <v>129.95833333333334</v>
      </c>
      <c r="AA15" t="str" cm="1">
        <f t="array" ref="AA15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16" spans="1:30" x14ac:dyDescent="0.3">
      <c r="A16" s="1">
        <v>45672</v>
      </c>
      <c r="B16">
        <v>133</v>
      </c>
      <c r="C16">
        <v>133</v>
      </c>
      <c r="D16">
        <v>132</v>
      </c>
      <c r="E16">
        <v>133</v>
      </c>
      <c r="F16">
        <v>133</v>
      </c>
      <c r="G16">
        <v>132</v>
      </c>
      <c r="H16">
        <v>131</v>
      </c>
      <c r="I16">
        <v>132</v>
      </c>
      <c r="J16">
        <v>132</v>
      </c>
      <c r="K16">
        <v>133</v>
      </c>
      <c r="L16">
        <v>134</v>
      </c>
      <c r="M16">
        <v>136</v>
      </c>
      <c r="N16">
        <v>137</v>
      </c>
      <c r="O16">
        <v>138</v>
      </c>
      <c r="P16">
        <v>139</v>
      </c>
      <c r="Q16">
        <v>140</v>
      </c>
      <c r="R16">
        <v>142</v>
      </c>
      <c r="S16">
        <v>141</v>
      </c>
      <c r="T16">
        <v>141</v>
      </c>
      <c r="U16">
        <v>141</v>
      </c>
      <c r="V16">
        <v>140</v>
      </c>
      <c r="W16">
        <v>141</v>
      </c>
      <c r="X16">
        <v>140</v>
      </c>
      <c r="Y16">
        <v>139</v>
      </c>
      <c r="Z16" s="2">
        <f>AVERAGE(Sheet1__2[[#This Row],[00:00:00]:[23:00:00]])</f>
        <v>136.375</v>
      </c>
      <c r="AA16" t="str" cm="1">
        <f t="array" ref="AA16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17" spans="1:27" x14ac:dyDescent="0.3">
      <c r="A17" s="1">
        <v>45673</v>
      </c>
      <c r="B17">
        <v>138</v>
      </c>
      <c r="C17">
        <v>137</v>
      </c>
      <c r="D17">
        <v>136</v>
      </c>
      <c r="E17">
        <v>135</v>
      </c>
      <c r="F17">
        <v>137</v>
      </c>
      <c r="G17">
        <v>136</v>
      </c>
      <c r="H17">
        <v>136</v>
      </c>
      <c r="I17">
        <v>137</v>
      </c>
      <c r="J17">
        <v>137</v>
      </c>
      <c r="K17">
        <v>137</v>
      </c>
      <c r="L17">
        <v>136</v>
      </c>
      <c r="M17">
        <v>136</v>
      </c>
      <c r="N17">
        <v>135</v>
      </c>
      <c r="O17">
        <v>134</v>
      </c>
      <c r="P17">
        <v>133</v>
      </c>
      <c r="Q17">
        <v>134</v>
      </c>
      <c r="R17">
        <v>132</v>
      </c>
      <c r="S17">
        <v>132</v>
      </c>
      <c r="T17">
        <v>130</v>
      </c>
      <c r="U17">
        <v>131</v>
      </c>
      <c r="V17">
        <v>132</v>
      </c>
      <c r="W17">
        <v>136</v>
      </c>
      <c r="X17">
        <v>134</v>
      </c>
      <c r="Y17">
        <v>136</v>
      </c>
      <c r="Z17" s="2">
        <f>AVERAGE(Sheet1__2[[#This Row],[00:00:00]:[23:00:00]])</f>
        <v>134.875</v>
      </c>
      <c r="AA17" t="str" cm="1">
        <f t="array" ref="AA17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18" spans="1:27" x14ac:dyDescent="0.3">
      <c r="A18" s="1">
        <v>45674</v>
      </c>
      <c r="B18">
        <v>137</v>
      </c>
      <c r="C18">
        <v>139</v>
      </c>
      <c r="D18">
        <v>140</v>
      </c>
      <c r="E18">
        <v>141</v>
      </c>
      <c r="F18">
        <v>141</v>
      </c>
      <c r="G18">
        <v>142</v>
      </c>
      <c r="H18">
        <v>142</v>
      </c>
      <c r="I18">
        <v>143</v>
      </c>
      <c r="J18">
        <v>143</v>
      </c>
      <c r="K18">
        <v>143</v>
      </c>
      <c r="L18">
        <v>143</v>
      </c>
      <c r="M18">
        <v>143</v>
      </c>
      <c r="N18">
        <v>143</v>
      </c>
      <c r="O18">
        <v>142</v>
      </c>
      <c r="P18">
        <v>142</v>
      </c>
      <c r="Q18">
        <v>140</v>
      </c>
      <c r="R18">
        <v>139</v>
      </c>
      <c r="S18">
        <v>139</v>
      </c>
      <c r="T18">
        <v>138</v>
      </c>
      <c r="U18">
        <v>137</v>
      </c>
      <c r="V18">
        <v>138</v>
      </c>
      <c r="W18">
        <v>137</v>
      </c>
      <c r="X18">
        <v>137</v>
      </c>
      <c r="Y18">
        <v>136</v>
      </c>
      <c r="Z18" s="2">
        <f>AVERAGE(Sheet1__2[[#This Row],[00:00:00]:[23:00:00]])</f>
        <v>140.20833333333334</v>
      </c>
      <c r="AA18" t="str" cm="1">
        <f t="array" ref="AA18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19" spans="1:27" x14ac:dyDescent="0.3">
      <c r="A19" s="1">
        <v>45675</v>
      </c>
      <c r="B19">
        <v>135</v>
      </c>
      <c r="C19">
        <v>135</v>
      </c>
      <c r="D19">
        <v>134</v>
      </c>
      <c r="E19">
        <v>134</v>
      </c>
      <c r="F19">
        <v>133</v>
      </c>
      <c r="G19">
        <v>132</v>
      </c>
      <c r="H19">
        <v>129</v>
      </c>
      <c r="I19">
        <v>129</v>
      </c>
      <c r="J19">
        <v>128</v>
      </c>
      <c r="K19">
        <v>127</v>
      </c>
      <c r="L19">
        <v>126</v>
      </c>
      <c r="M19">
        <v>126</v>
      </c>
      <c r="N19">
        <v>128</v>
      </c>
      <c r="O19">
        <v>128</v>
      </c>
      <c r="P19">
        <v>128</v>
      </c>
      <c r="Q19">
        <v>130</v>
      </c>
      <c r="R19">
        <v>132</v>
      </c>
      <c r="S19">
        <v>133</v>
      </c>
      <c r="T19">
        <v>131</v>
      </c>
      <c r="U19">
        <v>131</v>
      </c>
      <c r="V19">
        <v>131</v>
      </c>
      <c r="W19">
        <v>130</v>
      </c>
      <c r="X19">
        <v>130</v>
      </c>
      <c r="Y19">
        <v>130</v>
      </c>
      <c r="Z19" s="2">
        <f>AVERAGE(Sheet1__2[[#This Row],[00:00:00]:[23:00:00]])</f>
        <v>130.41666666666666</v>
      </c>
      <c r="AA19" t="str" cm="1">
        <f t="array" ref="AA19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20" spans="1:27" x14ac:dyDescent="0.3">
      <c r="A20" s="1">
        <v>45676</v>
      </c>
      <c r="B20">
        <v>130</v>
      </c>
      <c r="C20">
        <v>130</v>
      </c>
      <c r="D20">
        <v>131</v>
      </c>
      <c r="E20">
        <v>132</v>
      </c>
      <c r="F20">
        <v>132</v>
      </c>
      <c r="G20">
        <v>133</v>
      </c>
      <c r="H20">
        <v>133</v>
      </c>
      <c r="I20">
        <v>134</v>
      </c>
      <c r="J20">
        <v>134</v>
      </c>
      <c r="K20">
        <v>135</v>
      </c>
      <c r="L20">
        <v>136</v>
      </c>
      <c r="M20">
        <v>136</v>
      </c>
      <c r="N20">
        <v>136</v>
      </c>
      <c r="O20">
        <v>137</v>
      </c>
      <c r="P20">
        <v>142</v>
      </c>
      <c r="Q20">
        <v>142</v>
      </c>
      <c r="R20">
        <v>155</v>
      </c>
      <c r="S20">
        <v>154</v>
      </c>
      <c r="T20">
        <v>147</v>
      </c>
      <c r="U20">
        <v>144</v>
      </c>
      <c r="V20">
        <v>145</v>
      </c>
      <c r="W20">
        <v>145</v>
      </c>
      <c r="X20">
        <v>144</v>
      </c>
      <c r="Y20">
        <v>143</v>
      </c>
      <c r="Z20" s="2">
        <f>AVERAGE(Sheet1__2[[#This Row],[00:00:00]:[23:00:00]])</f>
        <v>138.75</v>
      </c>
      <c r="AA20" t="str" cm="1">
        <f t="array" ref="AA20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21" spans="1:27" x14ac:dyDescent="0.3">
      <c r="A21" s="1">
        <v>45677</v>
      </c>
      <c r="B21">
        <v>145</v>
      </c>
      <c r="C21">
        <v>141</v>
      </c>
      <c r="D21">
        <v>141</v>
      </c>
      <c r="E21">
        <v>138</v>
      </c>
      <c r="F21">
        <v>138</v>
      </c>
      <c r="G21">
        <v>138</v>
      </c>
      <c r="H21">
        <v>136</v>
      </c>
      <c r="I21">
        <v>136</v>
      </c>
      <c r="J21">
        <v>139</v>
      </c>
      <c r="K21">
        <v>137</v>
      </c>
      <c r="L21">
        <v>138</v>
      </c>
      <c r="M21">
        <v>139</v>
      </c>
      <c r="N21">
        <v>140</v>
      </c>
      <c r="O21">
        <v>140</v>
      </c>
      <c r="P21">
        <v>143</v>
      </c>
      <c r="Q21">
        <v>149</v>
      </c>
      <c r="R21">
        <v>149</v>
      </c>
      <c r="S21">
        <v>142</v>
      </c>
      <c r="T21">
        <v>142</v>
      </c>
      <c r="U21">
        <v>142</v>
      </c>
      <c r="V21">
        <v>142</v>
      </c>
      <c r="W21">
        <v>142</v>
      </c>
      <c r="X21">
        <v>137</v>
      </c>
      <c r="Y21">
        <v>137</v>
      </c>
      <c r="Z21" s="2">
        <f>AVERAGE(Sheet1__2[[#This Row],[00:00:00]:[23:00:00]])</f>
        <v>140.45833333333334</v>
      </c>
      <c r="AA21" t="str" cm="1">
        <f t="array" ref="AA21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22" spans="1:27" x14ac:dyDescent="0.3">
      <c r="A22" s="1">
        <v>45678</v>
      </c>
      <c r="B22">
        <v>135</v>
      </c>
      <c r="C22">
        <v>133</v>
      </c>
      <c r="D22">
        <v>133</v>
      </c>
      <c r="E22">
        <v>132</v>
      </c>
      <c r="F22">
        <v>132</v>
      </c>
      <c r="G22">
        <v>135</v>
      </c>
      <c r="H22">
        <v>137</v>
      </c>
      <c r="I22">
        <v>138</v>
      </c>
      <c r="J22">
        <v>138</v>
      </c>
      <c r="K22">
        <v>139</v>
      </c>
      <c r="L22">
        <v>139</v>
      </c>
      <c r="M22">
        <v>138</v>
      </c>
      <c r="N22">
        <v>139</v>
      </c>
      <c r="O22">
        <v>139</v>
      </c>
      <c r="P22">
        <v>140</v>
      </c>
      <c r="Q22">
        <v>140</v>
      </c>
      <c r="R22">
        <v>138</v>
      </c>
      <c r="S22">
        <v>138</v>
      </c>
      <c r="T22">
        <v>135</v>
      </c>
      <c r="U22">
        <v>137</v>
      </c>
      <c r="V22">
        <v>137</v>
      </c>
      <c r="W22">
        <v>136</v>
      </c>
      <c r="X22">
        <v>137</v>
      </c>
      <c r="Y22">
        <v>136</v>
      </c>
      <c r="Z22" s="2">
        <f>AVERAGE(Sheet1__2[[#This Row],[00:00:00]:[23:00:00]])</f>
        <v>136.70833333333334</v>
      </c>
      <c r="AA22" t="str" cm="1">
        <f t="array" ref="AA22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23" spans="1:27" x14ac:dyDescent="0.3">
      <c r="A23" s="1">
        <v>45679</v>
      </c>
      <c r="B23">
        <v>137</v>
      </c>
      <c r="C23">
        <v>137</v>
      </c>
      <c r="D23">
        <v>140</v>
      </c>
      <c r="E23">
        <v>147</v>
      </c>
      <c r="F23">
        <v>147</v>
      </c>
      <c r="G23">
        <v>148</v>
      </c>
      <c r="H23">
        <v>149</v>
      </c>
      <c r="I23">
        <v>150</v>
      </c>
      <c r="J23">
        <v>152</v>
      </c>
      <c r="K23">
        <v>153</v>
      </c>
      <c r="L23">
        <v>154</v>
      </c>
      <c r="M23">
        <v>154</v>
      </c>
      <c r="N23">
        <v>154</v>
      </c>
      <c r="O23">
        <v>154</v>
      </c>
      <c r="P23">
        <v>154</v>
      </c>
      <c r="Q23">
        <v>154</v>
      </c>
      <c r="R23">
        <v>154</v>
      </c>
      <c r="S23">
        <v>153</v>
      </c>
      <c r="T23">
        <v>154</v>
      </c>
      <c r="U23">
        <v>155</v>
      </c>
      <c r="V23">
        <v>156</v>
      </c>
      <c r="W23">
        <v>156</v>
      </c>
      <c r="X23">
        <v>156</v>
      </c>
      <c r="Y23">
        <v>157</v>
      </c>
      <c r="Z23" s="2">
        <f>AVERAGE(Sheet1__2[[#This Row],[00:00:00]:[23:00:00]])</f>
        <v>151.04166666666666</v>
      </c>
      <c r="AA23" t="str" cm="1">
        <f t="array" ref="AA23">_xlfn.IFS(
Sheet1__2[[#This Row],[AVERAGE AQI]]&lt;50,"GOOD",
Sheet1__2[[#This Row],[AVERAGE AQI]]&lt;=100,"AVERAGE",
Sheet1__2[[#This Row],[AVERAGE AQI]]&lt;=150,"UNHEALTHY",
Sheet1__2[[#This Row],[AVERAGE AQI]]&gt;150,"VERY BAD"
)</f>
        <v>VERY BAD</v>
      </c>
    </row>
    <row r="24" spans="1:27" x14ac:dyDescent="0.3">
      <c r="A24" s="1">
        <v>45680</v>
      </c>
      <c r="B24">
        <v>157</v>
      </c>
      <c r="C24">
        <v>156</v>
      </c>
      <c r="D24">
        <v>155</v>
      </c>
      <c r="E24">
        <v>153</v>
      </c>
      <c r="F24">
        <v>152</v>
      </c>
      <c r="G24">
        <v>150</v>
      </c>
      <c r="H24">
        <v>149</v>
      </c>
      <c r="I24">
        <v>148</v>
      </c>
      <c r="J24">
        <v>147</v>
      </c>
      <c r="K24">
        <v>146</v>
      </c>
      <c r="L24">
        <v>142</v>
      </c>
      <c r="M24">
        <v>140</v>
      </c>
      <c r="N24">
        <v>139</v>
      </c>
      <c r="O24">
        <v>139</v>
      </c>
      <c r="P24">
        <v>137</v>
      </c>
      <c r="Q24">
        <v>136</v>
      </c>
      <c r="R24">
        <v>135</v>
      </c>
      <c r="S24">
        <v>134</v>
      </c>
      <c r="T24">
        <v>132</v>
      </c>
      <c r="U24">
        <v>131</v>
      </c>
      <c r="V24">
        <v>131</v>
      </c>
      <c r="W24">
        <v>130</v>
      </c>
      <c r="X24">
        <v>128</v>
      </c>
      <c r="Y24">
        <v>128</v>
      </c>
      <c r="Z24" s="2">
        <f>AVERAGE(Sheet1__2[[#This Row],[00:00:00]:[23:00:00]])</f>
        <v>141.45833333333334</v>
      </c>
      <c r="AA24" t="str" cm="1">
        <f t="array" ref="AA24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25" spans="1:27" x14ac:dyDescent="0.3">
      <c r="A25" s="1">
        <v>45681</v>
      </c>
      <c r="B25">
        <v>127</v>
      </c>
      <c r="C25">
        <v>126</v>
      </c>
      <c r="D25">
        <v>126</v>
      </c>
      <c r="E25">
        <v>126</v>
      </c>
      <c r="F25">
        <v>125</v>
      </c>
      <c r="G25">
        <v>125</v>
      </c>
      <c r="H25">
        <v>119</v>
      </c>
      <c r="I25">
        <v>119</v>
      </c>
      <c r="J25">
        <v>119</v>
      </c>
      <c r="K25">
        <v>120</v>
      </c>
      <c r="L25">
        <v>121</v>
      </c>
      <c r="M25">
        <v>122</v>
      </c>
      <c r="N25">
        <v>122</v>
      </c>
      <c r="O25">
        <v>123</v>
      </c>
      <c r="P25">
        <v>124</v>
      </c>
      <c r="Q25">
        <v>124</v>
      </c>
      <c r="R25">
        <v>126</v>
      </c>
      <c r="S25">
        <v>125</v>
      </c>
      <c r="T25">
        <v>126</v>
      </c>
      <c r="U25">
        <v>127</v>
      </c>
      <c r="V25">
        <v>127</v>
      </c>
      <c r="W25">
        <v>127</v>
      </c>
      <c r="X25">
        <v>128</v>
      </c>
      <c r="Y25">
        <v>129</v>
      </c>
      <c r="Z25" s="2">
        <f>AVERAGE(Sheet1__2[[#This Row],[00:00:00]:[23:00:00]])</f>
        <v>124.29166666666667</v>
      </c>
      <c r="AA25" t="str" cm="1">
        <f t="array" ref="AA25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26" spans="1:27" x14ac:dyDescent="0.3">
      <c r="A26" s="1">
        <v>45682</v>
      </c>
      <c r="B26">
        <v>130</v>
      </c>
      <c r="C26">
        <v>131</v>
      </c>
      <c r="D26">
        <v>132</v>
      </c>
      <c r="E26">
        <v>132</v>
      </c>
      <c r="F26">
        <v>135</v>
      </c>
      <c r="G26">
        <v>136</v>
      </c>
      <c r="H26">
        <v>138</v>
      </c>
      <c r="I26">
        <v>140</v>
      </c>
      <c r="J26">
        <v>141</v>
      </c>
      <c r="K26">
        <v>143</v>
      </c>
      <c r="L26">
        <v>142</v>
      </c>
      <c r="M26">
        <v>143</v>
      </c>
      <c r="N26">
        <v>141</v>
      </c>
      <c r="O26">
        <v>142</v>
      </c>
      <c r="P26">
        <v>143</v>
      </c>
      <c r="Q26">
        <v>146</v>
      </c>
      <c r="R26">
        <v>155</v>
      </c>
      <c r="S26">
        <v>157</v>
      </c>
      <c r="T26">
        <v>153</v>
      </c>
      <c r="U26">
        <v>153</v>
      </c>
      <c r="V26">
        <v>153</v>
      </c>
      <c r="W26">
        <v>154</v>
      </c>
      <c r="X26">
        <v>154</v>
      </c>
      <c r="Y26">
        <v>154</v>
      </c>
      <c r="Z26" s="2">
        <f>AVERAGE(Sheet1__2[[#This Row],[00:00:00]:[23:00:00]])</f>
        <v>143.66666666666666</v>
      </c>
      <c r="AA26" t="str" cm="1">
        <f t="array" ref="AA26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27" spans="1:27" x14ac:dyDescent="0.3">
      <c r="A27" s="1">
        <v>45683</v>
      </c>
      <c r="B27">
        <v>155</v>
      </c>
      <c r="C27">
        <v>155</v>
      </c>
      <c r="D27">
        <v>155</v>
      </c>
      <c r="E27">
        <v>154</v>
      </c>
      <c r="F27">
        <v>154</v>
      </c>
      <c r="G27">
        <v>153</v>
      </c>
      <c r="H27">
        <v>153</v>
      </c>
      <c r="I27">
        <v>154</v>
      </c>
      <c r="J27">
        <v>154</v>
      </c>
      <c r="K27">
        <v>155</v>
      </c>
      <c r="L27">
        <v>155</v>
      </c>
      <c r="M27">
        <v>156</v>
      </c>
      <c r="N27">
        <v>156</v>
      </c>
      <c r="O27">
        <v>155</v>
      </c>
      <c r="P27">
        <v>157</v>
      </c>
      <c r="Q27">
        <v>154</v>
      </c>
      <c r="R27">
        <v>160</v>
      </c>
      <c r="S27">
        <v>154</v>
      </c>
      <c r="T27">
        <v>154</v>
      </c>
      <c r="U27">
        <v>153</v>
      </c>
      <c r="V27">
        <v>153</v>
      </c>
      <c r="W27">
        <v>152</v>
      </c>
      <c r="X27">
        <v>151</v>
      </c>
      <c r="Y27">
        <v>151</v>
      </c>
      <c r="Z27" s="2">
        <f>AVERAGE(Sheet1__2[[#This Row],[00:00:00]:[23:00:00]])</f>
        <v>154.29166666666666</v>
      </c>
      <c r="AA27" t="str" cm="1">
        <f t="array" ref="AA27">_xlfn.IFS(
Sheet1__2[[#This Row],[AVERAGE AQI]]&lt;50,"GOOD",
Sheet1__2[[#This Row],[AVERAGE AQI]]&lt;=100,"AVERAGE",
Sheet1__2[[#This Row],[AVERAGE AQI]]&lt;=150,"UNHEALTHY",
Sheet1__2[[#This Row],[AVERAGE AQI]]&gt;150,"VERY BAD"
)</f>
        <v>VERY BAD</v>
      </c>
    </row>
    <row r="28" spans="1:27" x14ac:dyDescent="0.3">
      <c r="A28" s="1">
        <v>45684</v>
      </c>
      <c r="B28">
        <v>151</v>
      </c>
      <c r="C28">
        <v>150</v>
      </c>
      <c r="D28">
        <v>149</v>
      </c>
      <c r="E28">
        <v>146</v>
      </c>
      <c r="F28">
        <v>146</v>
      </c>
      <c r="G28">
        <v>147</v>
      </c>
      <c r="H28">
        <v>147</v>
      </c>
      <c r="I28">
        <v>146</v>
      </c>
      <c r="J28">
        <v>146</v>
      </c>
      <c r="K28">
        <v>145</v>
      </c>
      <c r="L28">
        <v>146</v>
      </c>
      <c r="M28">
        <v>146</v>
      </c>
      <c r="N28">
        <v>146</v>
      </c>
      <c r="O28">
        <v>146</v>
      </c>
      <c r="P28">
        <v>147</v>
      </c>
      <c r="Q28">
        <v>151</v>
      </c>
      <c r="R28">
        <v>149</v>
      </c>
      <c r="S28">
        <v>149</v>
      </c>
      <c r="T28">
        <v>149</v>
      </c>
      <c r="U28">
        <v>148</v>
      </c>
      <c r="V28">
        <v>149</v>
      </c>
      <c r="W28">
        <v>146</v>
      </c>
      <c r="X28">
        <v>144</v>
      </c>
      <c r="Y28">
        <v>142</v>
      </c>
      <c r="Z28" s="2">
        <f>AVERAGE(Sheet1__2[[#This Row],[00:00:00]:[23:00:00]])</f>
        <v>147.125</v>
      </c>
      <c r="AA28" t="str" cm="1">
        <f t="array" ref="AA28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29" spans="1:27" x14ac:dyDescent="0.3">
      <c r="A29" s="1">
        <v>45685</v>
      </c>
      <c r="B29">
        <v>139</v>
      </c>
      <c r="C29">
        <v>136</v>
      </c>
      <c r="D29">
        <v>134</v>
      </c>
      <c r="E29">
        <v>132</v>
      </c>
      <c r="F29">
        <v>130</v>
      </c>
      <c r="G29">
        <v>129</v>
      </c>
      <c r="H29">
        <v>128</v>
      </c>
      <c r="I29">
        <v>125</v>
      </c>
      <c r="J29">
        <v>123</v>
      </c>
      <c r="K29">
        <v>123</v>
      </c>
      <c r="L29">
        <v>122</v>
      </c>
      <c r="M29">
        <v>122</v>
      </c>
      <c r="N29">
        <v>122</v>
      </c>
      <c r="O29">
        <v>122</v>
      </c>
      <c r="P29">
        <v>125</v>
      </c>
      <c r="Q29">
        <v>121</v>
      </c>
      <c r="R29">
        <v>120</v>
      </c>
      <c r="S29">
        <v>123</v>
      </c>
      <c r="T29">
        <v>122</v>
      </c>
      <c r="U29">
        <v>119</v>
      </c>
      <c r="V29">
        <v>120</v>
      </c>
      <c r="W29">
        <v>121</v>
      </c>
      <c r="X29">
        <v>121</v>
      </c>
      <c r="Y29">
        <v>120</v>
      </c>
      <c r="Z29" s="2">
        <f>AVERAGE(Sheet1__2[[#This Row],[00:00:00]:[23:00:00]])</f>
        <v>124.95833333333333</v>
      </c>
      <c r="AA29" t="str" cm="1">
        <f t="array" ref="AA29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30" spans="1:27" x14ac:dyDescent="0.3">
      <c r="A30" s="1">
        <v>45686</v>
      </c>
      <c r="B30">
        <v>121</v>
      </c>
      <c r="C30">
        <v>122</v>
      </c>
      <c r="D30">
        <v>123</v>
      </c>
      <c r="E30">
        <v>124</v>
      </c>
      <c r="F30">
        <v>127</v>
      </c>
      <c r="G30">
        <v>126</v>
      </c>
      <c r="H30">
        <v>126</v>
      </c>
      <c r="I30">
        <v>126</v>
      </c>
      <c r="J30">
        <v>127</v>
      </c>
      <c r="K30">
        <v>128</v>
      </c>
      <c r="L30">
        <v>125</v>
      </c>
      <c r="M30">
        <v>127</v>
      </c>
      <c r="N30">
        <v>126</v>
      </c>
      <c r="O30">
        <v>123</v>
      </c>
      <c r="P30">
        <v>121</v>
      </c>
      <c r="Q30">
        <v>119</v>
      </c>
      <c r="R30">
        <v>117</v>
      </c>
      <c r="S30">
        <v>115</v>
      </c>
      <c r="T30">
        <v>114</v>
      </c>
      <c r="U30">
        <v>112</v>
      </c>
      <c r="V30">
        <v>111</v>
      </c>
      <c r="W30">
        <v>110</v>
      </c>
      <c r="X30">
        <v>109</v>
      </c>
      <c r="Y30">
        <v>108</v>
      </c>
      <c r="Z30" s="2">
        <f>AVERAGE(Sheet1__2[[#This Row],[00:00:00]:[23:00:00]])</f>
        <v>120.29166666666667</v>
      </c>
      <c r="AA30" t="str" cm="1">
        <f t="array" ref="AA30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31" spans="1:27" x14ac:dyDescent="0.3">
      <c r="A31" s="1">
        <v>45687</v>
      </c>
      <c r="B31">
        <v>107</v>
      </c>
      <c r="C31">
        <v>107</v>
      </c>
      <c r="D31">
        <v>107</v>
      </c>
      <c r="E31">
        <v>107</v>
      </c>
      <c r="F31">
        <v>106</v>
      </c>
      <c r="G31">
        <v>106</v>
      </c>
      <c r="H31">
        <v>107</v>
      </c>
      <c r="I31">
        <v>107</v>
      </c>
      <c r="J31">
        <v>110</v>
      </c>
      <c r="K31">
        <v>111</v>
      </c>
      <c r="L31">
        <v>112</v>
      </c>
      <c r="M31">
        <v>114</v>
      </c>
      <c r="N31">
        <v>115</v>
      </c>
      <c r="O31">
        <v>117</v>
      </c>
      <c r="P31">
        <v>122</v>
      </c>
      <c r="Q31">
        <v>122</v>
      </c>
      <c r="R31">
        <v>125</v>
      </c>
      <c r="S31">
        <v>127</v>
      </c>
      <c r="U31">
        <v>131</v>
      </c>
      <c r="V31">
        <v>133</v>
      </c>
      <c r="W31">
        <v>135</v>
      </c>
      <c r="X31">
        <v>137</v>
      </c>
      <c r="Y31">
        <v>139</v>
      </c>
      <c r="Z31" s="2">
        <f>AVERAGE(Sheet1__2[[#This Row],[00:00:00]:[23:00:00]])</f>
        <v>117.56521739130434</v>
      </c>
      <c r="AA31" t="str" cm="1">
        <f t="array" ref="AA31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32" spans="1:27" x14ac:dyDescent="0.3">
      <c r="A32" s="1">
        <v>45688</v>
      </c>
      <c r="B32">
        <v>141</v>
      </c>
      <c r="C32">
        <v>142</v>
      </c>
      <c r="D32">
        <v>144</v>
      </c>
      <c r="E32">
        <v>137</v>
      </c>
      <c r="F32">
        <v>136</v>
      </c>
      <c r="G32">
        <v>133</v>
      </c>
      <c r="H32">
        <v>131</v>
      </c>
      <c r="I32">
        <v>129</v>
      </c>
      <c r="J32">
        <v>127</v>
      </c>
      <c r="K32">
        <v>125</v>
      </c>
      <c r="L32">
        <v>124</v>
      </c>
      <c r="M32">
        <v>122</v>
      </c>
      <c r="N32">
        <v>118</v>
      </c>
      <c r="O32">
        <v>117</v>
      </c>
      <c r="P32">
        <v>114</v>
      </c>
      <c r="Q32">
        <v>113</v>
      </c>
      <c r="R32">
        <v>109</v>
      </c>
      <c r="S32">
        <v>107</v>
      </c>
      <c r="T32">
        <v>106</v>
      </c>
      <c r="U32">
        <v>105</v>
      </c>
      <c r="V32">
        <v>101</v>
      </c>
      <c r="W32">
        <v>99</v>
      </c>
      <c r="X32">
        <v>98</v>
      </c>
      <c r="Y32">
        <v>96</v>
      </c>
      <c r="Z32" s="2">
        <f>AVERAGE(Sheet1__2[[#This Row],[00:00:00]:[23:00:00]])</f>
        <v>119.75</v>
      </c>
      <c r="AA32" t="str" cm="1">
        <f t="array" ref="AA32">_xlfn.IFS(
Sheet1__2[[#This Row],[AVERAGE AQI]]&lt;50,"GOOD",
Sheet1__2[[#This Row],[AVERAGE AQI]]&lt;=100,"AVERAGE",
Sheet1__2[[#This Row],[AVERAGE AQI]]&lt;=150,"UNHEALTHY",
Sheet1__2[[#This Row],[AVERAGE AQI]]&gt;150,"VERY BAD"
)</f>
        <v>UNHEALTHY</v>
      </c>
    </row>
    <row r="33" spans="26:26" x14ac:dyDescent="0.3">
      <c r="Z33" s="2">
        <f>SUBTOTAL(101,Sheet1__2[AVERAGE AQI])</f>
        <v>132.35250116877046</v>
      </c>
    </row>
  </sheetData>
  <conditionalFormatting sqref="AA1:AA1048576">
    <cfRule type="containsText" dxfId="31" priority="1" operator="containsText" text="VERY BAD">
      <formula>NOT(ISERROR(SEARCH("VERY BAD",AA1)))</formula>
    </cfRule>
    <cfRule type="containsText" dxfId="30" priority="2" operator="containsText" text="UNHEALTHY">
      <formula>NOT(ISERROR(SEARCH("UNHEALTHY",AA1)))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2C3A-99DE-433F-8536-45483A728448}">
  <dimension ref="A1:AD30"/>
  <sheetViews>
    <sheetView topLeftCell="N1" workbookViewId="0">
      <selection activeCell="Z2" sqref="Z1:Z30"/>
    </sheetView>
  </sheetViews>
  <sheetFormatPr defaultRowHeight="14.4" x14ac:dyDescent="0.3"/>
  <cols>
    <col min="1" max="25" width="10.33203125" bestFit="1" customWidth="1"/>
    <col min="26" max="26" width="11.21875" bestFit="1" customWidth="1"/>
    <col min="27" max="27" width="10.5546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28</v>
      </c>
      <c r="AA1" t="s">
        <v>26</v>
      </c>
      <c r="AC1" t="s">
        <v>27</v>
      </c>
      <c r="AD1">
        <f>AVERAGE(Sheet1__3[AVERAGE AQI])</f>
        <v>120.82142857142858</v>
      </c>
    </row>
    <row r="2" spans="1:30" x14ac:dyDescent="0.3">
      <c r="A2" s="1">
        <v>45689</v>
      </c>
      <c r="B2">
        <v>92</v>
      </c>
      <c r="C2">
        <v>91</v>
      </c>
      <c r="D2">
        <v>87</v>
      </c>
      <c r="E2">
        <v>87</v>
      </c>
      <c r="F2">
        <v>84</v>
      </c>
      <c r="G2">
        <v>83</v>
      </c>
      <c r="H2">
        <v>83</v>
      </c>
      <c r="I2">
        <v>88</v>
      </c>
      <c r="J2">
        <v>86</v>
      </c>
      <c r="K2">
        <v>83</v>
      </c>
      <c r="L2">
        <v>83</v>
      </c>
      <c r="M2">
        <v>83</v>
      </c>
      <c r="N2">
        <v>83</v>
      </c>
      <c r="O2">
        <v>84</v>
      </c>
      <c r="P2">
        <v>84</v>
      </c>
      <c r="Q2">
        <v>84</v>
      </c>
      <c r="R2">
        <v>87</v>
      </c>
      <c r="S2">
        <v>89</v>
      </c>
      <c r="T2">
        <v>92</v>
      </c>
      <c r="U2">
        <v>93</v>
      </c>
      <c r="V2">
        <v>95</v>
      </c>
      <c r="W2">
        <v>95</v>
      </c>
      <c r="X2">
        <v>96</v>
      </c>
      <c r="Y2">
        <v>98</v>
      </c>
      <c r="Z2" s="2">
        <f>AVERAGE(Sheet1__3[[#This Row],[00:00:00]:[23:00:00]])</f>
        <v>87.916666666666671</v>
      </c>
      <c r="AA2" t="str" cm="1">
        <f t="array" ref="AA2">_xlfn.IFS(Sheet1__3[[#This Row],[AVERAGE AQI]]&lt;50,"GOOD",Sheet1__3[[#This Row],[AVERAGE AQI]]&lt;=100,"MODERATE",Sheet1__3[[#This Row],[AVERAGE AQI]]&lt;=150,"BAD",Sheet1__3[[#This Row],[AVERAGE AQI]]&lt;=200,"VERY BAD")</f>
        <v>MODERATE</v>
      </c>
    </row>
    <row r="3" spans="1:30" x14ac:dyDescent="0.3">
      <c r="A3" s="1">
        <v>45690</v>
      </c>
      <c r="B3">
        <v>100</v>
      </c>
      <c r="C3">
        <v>102</v>
      </c>
      <c r="D3">
        <v>108</v>
      </c>
      <c r="E3">
        <v>108</v>
      </c>
      <c r="F3">
        <v>107</v>
      </c>
      <c r="G3">
        <v>109</v>
      </c>
      <c r="H3">
        <v>110</v>
      </c>
      <c r="I3">
        <v>115</v>
      </c>
      <c r="J3">
        <v>116</v>
      </c>
      <c r="K3">
        <v>117</v>
      </c>
      <c r="L3">
        <v>117</v>
      </c>
      <c r="M3">
        <v>118</v>
      </c>
      <c r="N3">
        <v>118</v>
      </c>
      <c r="O3">
        <v>119</v>
      </c>
      <c r="P3">
        <v>120</v>
      </c>
      <c r="Q3">
        <v>121</v>
      </c>
      <c r="R3">
        <v>122</v>
      </c>
      <c r="S3">
        <v>122</v>
      </c>
      <c r="T3">
        <v>124</v>
      </c>
      <c r="U3">
        <v>123</v>
      </c>
      <c r="V3">
        <v>122</v>
      </c>
      <c r="W3">
        <v>119</v>
      </c>
      <c r="X3">
        <v>118</v>
      </c>
      <c r="Y3">
        <v>118</v>
      </c>
      <c r="Z3" s="2">
        <f>AVERAGE(Sheet1__3[[#This Row],[00:00:00]:[23:00:00]])</f>
        <v>115.54166666666667</v>
      </c>
      <c r="AA3" t="str" cm="1">
        <f t="array" ref="AA3">_xlfn.IFS(Sheet1__3[[#This Row],[AVERAGE AQI]]&lt;50,"GOOD",Sheet1__3[[#This Row],[AVERAGE AQI]]&lt;=100,"MODERATE",Sheet1__3[[#This Row],[AVERAGE AQI]]&lt;=150,"BAD",Sheet1__3[[#This Row],[AVERAGE AQI]]&lt;=200,"VERY BAD")</f>
        <v>BAD</v>
      </c>
    </row>
    <row r="4" spans="1:30" x14ac:dyDescent="0.3">
      <c r="A4" s="1">
        <v>45691</v>
      </c>
      <c r="B4">
        <v>118</v>
      </c>
      <c r="C4">
        <v>117</v>
      </c>
      <c r="D4">
        <v>119</v>
      </c>
      <c r="E4">
        <v>118</v>
      </c>
      <c r="F4">
        <v>118</v>
      </c>
      <c r="G4">
        <v>119</v>
      </c>
      <c r="H4">
        <v>118</v>
      </c>
      <c r="I4">
        <v>123</v>
      </c>
      <c r="J4">
        <v>125</v>
      </c>
      <c r="K4">
        <v>126</v>
      </c>
      <c r="L4">
        <v>127</v>
      </c>
      <c r="M4">
        <v>127</v>
      </c>
      <c r="N4">
        <v>129</v>
      </c>
      <c r="O4">
        <v>129</v>
      </c>
      <c r="P4">
        <v>129</v>
      </c>
      <c r="Q4">
        <v>129</v>
      </c>
      <c r="R4">
        <v>128</v>
      </c>
      <c r="S4">
        <v>128</v>
      </c>
      <c r="T4">
        <v>128</v>
      </c>
      <c r="U4">
        <v>131</v>
      </c>
      <c r="V4">
        <v>127</v>
      </c>
      <c r="W4">
        <v>126</v>
      </c>
      <c r="X4">
        <v>125</v>
      </c>
      <c r="Y4">
        <v>124</v>
      </c>
      <c r="Z4" s="2">
        <f>AVERAGE(Sheet1__3[[#This Row],[00:00:00]:[23:00:00]])</f>
        <v>124.5</v>
      </c>
      <c r="AA4" t="str" cm="1">
        <f t="array" ref="AA4">_xlfn.IFS(Sheet1__3[[#This Row],[AVERAGE AQI]]&lt;50,"GOOD",Sheet1__3[[#This Row],[AVERAGE AQI]]&lt;=100,"MODERATE",Sheet1__3[[#This Row],[AVERAGE AQI]]&lt;=150,"BAD",Sheet1__3[[#This Row],[AVERAGE AQI]]&lt;=200,"VERY BAD")</f>
        <v>BAD</v>
      </c>
    </row>
    <row r="5" spans="1:30" x14ac:dyDescent="0.3">
      <c r="A5" s="1">
        <v>45692</v>
      </c>
      <c r="B5">
        <v>123</v>
      </c>
      <c r="C5">
        <v>122</v>
      </c>
      <c r="D5">
        <v>122</v>
      </c>
      <c r="E5">
        <v>121</v>
      </c>
      <c r="F5">
        <v>121</v>
      </c>
      <c r="G5">
        <v>120</v>
      </c>
      <c r="H5">
        <v>118</v>
      </c>
      <c r="I5">
        <v>118</v>
      </c>
      <c r="J5">
        <v>118</v>
      </c>
      <c r="K5">
        <v>118</v>
      </c>
      <c r="L5">
        <v>117</v>
      </c>
      <c r="M5">
        <v>118</v>
      </c>
      <c r="N5">
        <v>117</v>
      </c>
      <c r="O5">
        <v>116</v>
      </c>
      <c r="P5">
        <v>114</v>
      </c>
      <c r="Q5">
        <v>113</v>
      </c>
      <c r="R5">
        <v>113</v>
      </c>
      <c r="S5">
        <v>111</v>
      </c>
      <c r="T5">
        <v>111</v>
      </c>
      <c r="U5">
        <v>113</v>
      </c>
      <c r="V5">
        <v>114</v>
      </c>
      <c r="W5">
        <v>114</v>
      </c>
      <c r="X5">
        <v>112</v>
      </c>
      <c r="Y5">
        <v>112</v>
      </c>
      <c r="Z5" s="2">
        <f>AVERAGE(Sheet1__3[[#This Row],[00:00:00]:[23:00:00]])</f>
        <v>116.5</v>
      </c>
      <c r="AA5" t="str" cm="1">
        <f t="array" ref="AA5">_xlfn.IFS(Sheet1__3[[#This Row],[AVERAGE AQI]]&lt;50,"GOOD",Sheet1__3[[#This Row],[AVERAGE AQI]]&lt;=100,"MODERATE",Sheet1__3[[#This Row],[AVERAGE AQI]]&lt;=150,"BAD",Sheet1__3[[#This Row],[AVERAGE AQI]]&lt;=200,"VERY BAD")</f>
        <v>BAD</v>
      </c>
    </row>
    <row r="6" spans="1:30" x14ac:dyDescent="0.3">
      <c r="A6" s="1">
        <v>45693</v>
      </c>
      <c r="B6">
        <v>113</v>
      </c>
      <c r="C6">
        <v>114</v>
      </c>
      <c r="D6">
        <v>115</v>
      </c>
      <c r="E6">
        <v>115</v>
      </c>
      <c r="F6">
        <v>113</v>
      </c>
      <c r="G6">
        <v>113</v>
      </c>
      <c r="H6">
        <v>113</v>
      </c>
      <c r="I6">
        <v>112</v>
      </c>
      <c r="J6">
        <v>111</v>
      </c>
      <c r="K6">
        <v>110</v>
      </c>
      <c r="L6">
        <v>110</v>
      </c>
      <c r="M6">
        <v>110</v>
      </c>
      <c r="N6">
        <v>111</v>
      </c>
      <c r="O6">
        <v>111</v>
      </c>
      <c r="P6">
        <v>112</v>
      </c>
      <c r="Q6">
        <v>115</v>
      </c>
      <c r="R6">
        <v>113</v>
      </c>
      <c r="S6">
        <v>113</v>
      </c>
      <c r="T6">
        <v>115</v>
      </c>
      <c r="U6">
        <v>112</v>
      </c>
      <c r="V6">
        <v>112</v>
      </c>
      <c r="W6">
        <v>112</v>
      </c>
      <c r="X6">
        <v>111</v>
      </c>
      <c r="Y6">
        <v>111</v>
      </c>
      <c r="Z6" s="2">
        <f>AVERAGE(Sheet1__3[[#This Row],[00:00:00]:[23:00:00]])</f>
        <v>112.375</v>
      </c>
      <c r="AA6" t="str" cm="1">
        <f t="array" ref="AA6">_xlfn.IFS(Sheet1__3[[#This Row],[AVERAGE AQI]]&lt;50,"GOOD",Sheet1__3[[#This Row],[AVERAGE AQI]]&lt;=100,"MODERATE",Sheet1__3[[#This Row],[AVERAGE AQI]]&lt;=150,"BAD",Sheet1__3[[#This Row],[AVERAGE AQI]]&lt;=200,"VERY BAD")</f>
        <v>BAD</v>
      </c>
    </row>
    <row r="7" spans="1:30" x14ac:dyDescent="0.3">
      <c r="A7" s="1">
        <v>45694</v>
      </c>
      <c r="B7">
        <v>110</v>
      </c>
      <c r="C7">
        <v>110</v>
      </c>
      <c r="D7">
        <v>110</v>
      </c>
      <c r="E7">
        <v>110</v>
      </c>
      <c r="F7">
        <v>110</v>
      </c>
      <c r="G7">
        <v>111</v>
      </c>
      <c r="H7">
        <v>112</v>
      </c>
      <c r="I7">
        <v>109</v>
      </c>
      <c r="J7">
        <v>112</v>
      </c>
      <c r="K7">
        <v>115</v>
      </c>
      <c r="L7">
        <v>117</v>
      </c>
      <c r="M7">
        <v>122</v>
      </c>
      <c r="N7">
        <v>124</v>
      </c>
      <c r="O7">
        <v>125</v>
      </c>
      <c r="P7">
        <v>126</v>
      </c>
      <c r="Q7">
        <v>127</v>
      </c>
      <c r="R7">
        <v>128</v>
      </c>
      <c r="S7">
        <v>128</v>
      </c>
      <c r="T7">
        <v>127</v>
      </c>
      <c r="U7">
        <v>129</v>
      </c>
      <c r="V7">
        <v>130</v>
      </c>
      <c r="W7">
        <v>132</v>
      </c>
      <c r="X7">
        <v>133</v>
      </c>
      <c r="Y7">
        <v>135</v>
      </c>
      <c r="Z7" s="2">
        <f>AVERAGE(Sheet1__3[[#This Row],[00:00:00]:[23:00:00]])</f>
        <v>120.5</v>
      </c>
      <c r="AA7" t="str" cm="1">
        <f t="array" ref="AA7">_xlfn.IFS(Sheet1__3[[#This Row],[AVERAGE AQI]]&lt;50,"GOOD",Sheet1__3[[#This Row],[AVERAGE AQI]]&lt;=100,"MODERATE",Sheet1__3[[#This Row],[AVERAGE AQI]]&lt;=150,"BAD",Sheet1__3[[#This Row],[AVERAGE AQI]]&lt;=200,"VERY BAD")</f>
        <v>BAD</v>
      </c>
    </row>
    <row r="8" spans="1:30" x14ac:dyDescent="0.3">
      <c r="A8" s="1">
        <v>45695</v>
      </c>
      <c r="B8">
        <v>137</v>
      </c>
      <c r="C8">
        <v>138</v>
      </c>
      <c r="D8">
        <v>141</v>
      </c>
      <c r="E8">
        <v>143</v>
      </c>
      <c r="F8">
        <v>145</v>
      </c>
      <c r="G8">
        <v>147</v>
      </c>
      <c r="H8">
        <v>148</v>
      </c>
      <c r="I8">
        <v>149</v>
      </c>
      <c r="J8">
        <v>150</v>
      </c>
      <c r="K8">
        <v>147</v>
      </c>
      <c r="L8">
        <v>152</v>
      </c>
      <c r="M8">
        <v>152</v>
      </c>
      <c r="N8">
        <v>151</v>
      </c>
      <c r="O8">
        <v>152</v>
      </c>
      <c r="P8">
        <v>152</v>
      </c>
      <c r="Q8">
        <v>156</v>
      </c>
      <c r="R8">
        <v>167</v>
      </c>
      <c r="S8">
        <v>162</v>
      </c>
      <c r="T8">
        <v>161</v>
      </c>
      <c r="U8">
        <v>156</v>
      </c>
      <c r="V8">
        <v>157</v>
      </c>
      <c r="W8">
        <v>157</v>
      </c>
      <c r="X8">
        <v>157</v>
      </c>
      <c r="Y8">
        <v>158</v>
      </c>
      <c r="Z8" s="2">
        <f>AVERAGE(Sheet1__3[[#This Row],[00:00:00]:[23:00:00]])</f>
        <v>151.45833333333334</v>
      </c>
      <c r="AA8" t="str" cm="1">
        <f t="array" ref="AA8">_xlfn.IFS(Sheet1__3[[#This Row],[AVERAGE AQI]]&lt;50,"GOOD",Sheet1__3[[#This Row],[AVERAGE AQI]]&lt;=100,"MODERATE",Sheet1__3[[#This Row],[AVERAGE AQI]]&lt;=150,"BAD",Sheet1__3[[#This Row],[AVERAGE AQI]]&lt;=200,"VERY BAD")</f>
        <v>VERY BAD</v>
      </c>
    </row>
    <row r="9" spans="1:30" x14ac:dyDescent="0.3">
      <c r="A9" s="1">
        <v>45696</v>
      </c>
      <c r="B9">
        <v>159</v>
      </c>
      <c r="C9">
        <v>160</v>
      </c>
      <c r="D9">
        <v>161</v>
      </c>
      <c r="E9">
        <v>160</v>
      </c>
      <c r="F9">
        <v>160</v>
      </c>
      <c r="G9">
        <v>160</v>
      </c>
      <c r="H9">
        <v>161</v>
      </c>
      <c r="I9">
        <v>161</v>
      </c>
      <c r="J9">
        <v>161</v>
      </c>
      <c r="K9">
        <v>162</v>
      </c>
      <c r="L9">
        <v>162</v>
      </c>
      <c r="M9">
        <v>163</v>
      </c>
      <c r="N9">
        <v>163</v>
      </c>
      <c r="O9">
        <v>163</v>
      </c>
      <c r="P9">
        <v>171</v>
      </c>
      <c r="Q9">
        <v>168</v>
      </c>
      <c r="R9">
        <v>163</v>
      </c>
      <c r="S9">
        <v>163</v>
      </c>
      <c r="T9">
        <v>163</v>
      </c>
      <c r="U9">
        <v>164</v>
      </c>
      <c r="V9">
        <v>158</v>
      </c>
      <c r="W9">
        <v>157</v>
      </c>
      <c r="X9">
        <v>156</v>
      </c>
      <c r="Y9">
        <v>154</v>
      </c>
      <c r="Z9" s="2">
        <f>AVERAGE(Sheet1__3[[#This Row],[00:00:00]:[23:00:00]])</f>
        <v>161.375</v>
      </c>
      <c r="AA9" t="str" cm="1">
        <f t="array" ref="AA9">_xlfn.IFS(Sheet1__3[[#This Row],[AVERAGE AQI]]&lt;50,"GOOD",Sheet1__3[[#This Row],[AVERAGE AQI]]&lt;=100,"MODERATE",Sheet1__3[[#This Row],[AVERAGE AQI]]&lt;=150,"BAD",Sheet1__3[[#This Row],[AVERAGE AQI]]&lt;=200,"VERY BAD")</f>
        <v>VERY BAD</v>
      </c>
    </row>
    <row r="10" spans="1:30" x14ac:dyDescent="0.3">
      <c r="A10" s="1">
        <v>45697</v>
      </c>
      <c r="B10">
        <v>153</v>
      </c>
      <c r="C10">
        <v>151</v>
      </c>
      <c r="D10">
        <v>148</v>
      </c>
      <c r="E10">
        <v>148</v>
      </c>
      <c r="F10">
        <v>146</v>
      </c>
      <c r="G10">
        <v>145</v>
      </c>
      <c r="H10">
        <v>144</v>
      </c>
      <c r="I10">
        <v>143</v>
      </c>
      <c r="J10">
        <v>143</v>
      </c>
      <c r="K10">
        <v>142</v>
      </c>
      <c r="L10">
        <v>142</v>
      </c>
      <c r="M10">
        <v>142</v>
      </c>
      <c r="N10">
        <v>142</v>
      </c>
      <c r="O10">
        <v>142</v>
      </c>
      <c r="P10">
        <v>144</v>
      </c>
      <c r="Q10">
        <v>142</v>
      </c>
      <c r="R10">
        <v>141</v>
      </c>
      <c r="S10">
        <v>141</v>
      </c>
      <c r="T10">
        <v>140</v>
      </c>
      <c r="U10">
        <v>140</v>
      </c>
      <c r="V10">
        <v>138</v>
      </c>
      <c r="W10">
        <v>138</v>
      </c>
      <c r="X10">
        <v>137</v>
      </c>
      <c r="Y10">
        <v>131</v>
      </c>
      <c r="Z10" s="2">
        <f>AVERAGE(Sheet1__3[[#This Row],[00:00:00]:[23:00:00]])</f>
        <v>142.625</v>
      </c>
      <c r="AA10" t="str" cm="1">
        <f t="array" ref="AA10">_xlfn.IFS(Sheet1__3[[#This Row],[AVERAGE AQI]]&lt;50,"GOOD",Sheet1__3[[#This Row],[AVERAGE AQI]]&lt;=100,"MODERATE",Sheet1__3[[#This Row],[AVERAGE AQI]]&lt;=150,"BAD",Sheet1__3[[#This Row],[AVERAGE AQI]]&lt;=200,"VERY BAD")</f>
        <v>BAD</v>
      </c>
    </row>
    <row r="11" spans="1:30" x14ac:dyDescent="0.3">
      <c r="A11" s="1">
        <v>45698</v>
      </c>
      <c r="B11">
        <v>130</v>
      </c>
      <c r="C11">
        <v>129</v>
      </c>
      <c r="D11">
        <v>128</v>
      </c>
      <c r="E11">
        <v>127</v>
      </c>
      <c r="F11">
        <v>124</v>
      </c>
      <c r="G11">
        <v>122</v>
      </c>
      <c r="H11">
        <v>119</v>
      </c>
      <c r="I11">
        <v>117</v>
      </c>
      <c r="J11">
        <v>124</v>
      </c>
      <c r="K11">
        <v>118</v>
      </c>
      <c r="L11">
        <v>117</v>
      </c>
      <c r="M11">
        <v>115</v>
      </c>
      <c r="N11">
        <v>114</v>
      </c>
      <c r="O11">
        <v>114</v>
      </c>
      <c r="P11">
        <v>114</v>
      </c>
      <c r="Q11">
        <v>121</v>
      </c>
      <c r="R11">
        <v>114</v>
      </c>
      <c r="S11">
        <v>112</v>
      </c>
      <c r="T11">
        <v>110</v>
      </c>
      <c r="U11">
        <v>119</v>
      </c>
      <c r="V11">
        <v>113</v>
      </c>
      <c r="W11">
        <v>113</v>
      </c>
      <c r="X11">
        <v>113</v>
      </c>
      <c r="Y11">
        <v>117</v>
      </c>
      <c r="Z11" s="2">
        <f>AVERAGE(Sheet1__3[[#This Row],[00:00:00]:[23:00:00]])</f>
        <v>118.5</v>
      </c>
      <c r="AA11" t="str" cm="1">
        <f t="array" ref="AA11">_xlfn.IFS(Sheet1__3[[#This Row],[AVERAGE AQI]]&lt;50,"GOOD",Sheet1__3[[#This Row],[AVERAGE AQI]]&lt;=100,"MODERATE",Sheet1__3[[#This Row],[AVERAGE AQI]]&lt;=150,"BAD",Sheet1__3[[#This Row],[AVERAGE AQI]]&lt;=200,"VERY BAD")</f>
        <v>BAD</v>
      </c>
    </row>
    <row r="12" spans="1:30" x14ac:dyDescent="0.3">
      <c r="A12" s="1">
        <v>45699</v>
      </c>
      <c r="B12">
        <v>117</v>
      </c>
      <c r="C12">
        <v>117</v>
      </c>
      <c r="D12">
        <v>115</v>
      </c>
      <c r="E12">
        <v>118</v>
      </c>
      <c r="F12">
        <v>109</v>
      </c>
      <c r="G12">
        <v>109</v>
      </c>
      <c r="H12">
        <v>109</v>
      </c>
      <c r="I12">
        <v>118</v>
      </c>
      <c r="J12">
        <v>113</v>
      </c>
      <c r="K12">
        <v>111</v>
      </c>
      <c r="L12">
        <v>111</v>
      </c>
      <c r="M12">
        <v>111</v>
      </c>
      <c r="N12">
        <v>119</v>
      </c>
      <c r="O12">
        <v>113</v>
      </c>
      <c r="P12">
        <v>115</v>
      </c>
      <c r="Q12">
        <v>115</v>
      </c>
      <c r="R12">
        <v>115</v>
      </c>
      <c r="S12">
        <v>115</v>
      </c>
      <c r="T12">
        <v>116</v>
      </c>
      <c r="U12">
        <v>121</v>
      </c>
      <c r="V12">
        <v>118</v>
      </c>
      <c r="W12">
        <v>114</v>
      </c>
      <c r="X12">
        <v>115</v>
      </c>
      <c r="Y12">
        <v>116</v>
      </c>
      <c r="Z12" s="2">
        <f>AVERAGE(Sheet1__3[[#This Row],[00:00:00]:[23:00:00]])</f>
        <v>114.58333333333333</v>
      </c>
      <c r="AA12" t="str" cm="1">
        <f t="array" ref="AA12">_xlfn.IFS(Sheet1__3[[#This Row],[AVERAGE AQI]]&lt;50,"GOOD",Sheet1__3[[#This Row],[AVERAGE AQI]]&lt;=100,"MODERATE",Sheet1__3[[#This Row],[AVERAGE AQI]]&lt;=150,"BAD",Sheet1__3[[#This Row],[AVERAGE AQI]]&lt;=200,"VERY BAD")</f>
        <v>BAD</v>
      </c>
    </row>
    <row r="13" spans="1:30" x14ac:dyDescent="0.3">
      <c r="A13" s="1">
        <v>45700</v>
      </c>
      <c r="B13">
        <v>116</v>
      </c>
      <c r="C13">
        <v>117</v>
      </c>
      <c r="D13">
        <v>117</v>
      </c>
      <c r="E13">
        <v>116</v>
      </c>
      <c r="F13">
        <v>116</v>
      </c>
      <c r="G13">
        <v>115</v>
      </c>
      <c r="H13">
        <v>115</v>
      </c>
      <c r="I13">
        <v>114</v>
      </c>
      <c r="J13">
        <v>114</v>
      </c>
      <c r="K13">
        <v>114</v>
      </c>
      <c r="L13">
        <v>114</v>
      </c>
      <c r="M13">
        <v>114</v>
      </c>
      <c r="N13">
        <v>113</v>
      </c>
      <c r="O13">
        <v>112</v>
      </c>
      <c r="P13">
        <v>111</v>
      </c>
      <c r="Q13">
        <v>109</v>
      </c>
      <c r="R13">
        <v>109</v>
      </c>
      <c r="S13">
        <v>109</v>
      </c>
      <c r="T13">
        <v>109</v>
      </c>
      <c r="U13">
        <v>109</v>
      </c>
      <c r="V13">
        <v>109</v>
      </c>
      <c r="W13">
        <v>110</v>
      </c>
      <c r="X13">
        <v>112</v>
      </c>
      <c r="Y13">
        <v>112</v>
      </c>
      <c r="Z13" s="2">
        <f>AVERAGE(Sheet1__3[[#This Row],[00:00:00]:[23:00:00]])</f>
        <v>112.75</v>
      </c>
      <c r="AA13" t="str" cm="1">
        <f t="array" ref="AA13">_xlfn.IFS(Sheet1__3[[#This Row],[AVERAGE AQI]]&lt;50,"GOOD",Sheet1__3[[#This Row],[AVERAGE AQI]]&lt;=100,"MODERATE",Sheet1__3[[#This Row],[AVERAGE AQI]]&lt;=150,"BAD",Sheet1__3[[#This Row],[AVERAGE AQI]]&lt;=200,"VERY BAD")</f>
        <v>BAD</v>
      </c>
    </row>
    <row r="14" spans="1:30" x14ac:dyDescent="0.3">
      <c r="A14" s="1">
        <v>45701</v>
      </c>
      <c r="B14">
        <v>113</v>
      </c>
      <c r="C14">
        <v>114</v>
      </c>
      <c r="D14">
        <v>116</v>
      </c>
      <c r="E14">
        <v>117</v>
      </c>
      <c r="F14">
        <v>118</v>
      </c>
      <c r="G14">
        <v>119</v>
      </c>
      <c r="H14">
        <v>120</v>
      </c>
      <c r="I14">
        <v>121</v>
      </c>
      <c r="J14">
        <v>121</v>
      </c>
      <c r="K14">
        <v>122</v>
      </c>
      <c r="L14">
        <v>123</v>
      </c>
      <c r="M14">
        <v>123</v>
      </c>
      <c r="N14">
        <v>123</v>
      </c>
      <c r="O14">
        <v>121</v>
      </c>
      <c r="P14">
        <v>122</v>
      </c>
      <c r="Q14">
        <v>121</v>
      </c>
      <c r="R14">
        <v>120</v>
      </c>
      <c r="S14">
        <v>120</v>
      </c>
      <c r="T14">
        <v>120</v>
      </c>
      <c r="U14">
        <v>120</v>
      </c>
      <c r="V14">
        <v>119</v>
      </c>
      <c r="W14">
        <v>122</v>
      </c>
      <c r="X14">
        <v>121</v>
      </c>
      <c r="Y14">
        <v>121</v>
      </c>
      <c r="Z14" s="2">
        <f>AVERAGE(Sheet1__3[[#This Row],[00:00:00]:[23:00:00]])</f>
        <v>119.875</v>
      </c>
      <c r="AA14" t="str" cm="1">
        <f t="array" ref="AA14">_xlfn.IFS(Sheet1__3[[#This Row],[AVERAGE AQI]]&lt;50,"GOOD",Sheet1__3[[#This Row],[AVERAGE AQI]]&lt;=100,"MODERATE",Sheet1__3[[#This Row],[AVERAGE AQI]]&lt;=150,"BAD",Sheet1__3[[#This Row],[AVERAGE AQI]]&lt;=200,"VERY BAD")</f>
        <v>BAD</v>
      </c>
    </row>
    <row r="15" spans="1:30" x14ac:dyDescent="0.3">
      <c r="A15" s="1">
        <v>45702</v>
      </c>
      <c r="B15">
        <v>121</v>
      </c>
      <c r="C15">
        <v>121</v>
      </c>
      <c r="D15">
        <v>121</v>
      </c>
      <c r="E15">
        <v>122</v>
      </c>
      <c r="F15">
        <v>121</v>
      </c>
      <c r="G15">
        <v>122</v>
      </c>
      <c r="H15">
        <v>122</v>
      </c>
      <c r="I15">
        <v>122</v>
      </c>
      <c r="J15">
        <v>122</v>
      </c>
      <c r="K15">
        <v>123</v>
      </c>
      <c r="L15">
        <v>123</v>
      </c>
      <c r="M15">
        <v>123</v>
      </c>
      <c r="N15">
        <v>123</v>
      </c>
      <c r="O15">
        <v>123</v>
      </c>
      <c r="P15">
        <v>123</v>
      </c>
      <c r="Q15">
        <v>121</v>
      </c>
      <c r="R15">
        <v>121</v>
      </c>
      <c r="S15">
        <v>121</v>
      </c>
      <c r="T15">
        <v>121</v>
      </c>
      <c r="U15">
        <v>121</v>
      </c>
      <c r="V15">
        <v>122</v>
      </c>
      <c r="W15">
        <v>122</v>
      </c>
      <c r="X15">
        <v>123</v>
      </c>
      <c r="Y15">
        <v>123</v>
      </c>
      <c r="Z15" s="2">
        <f>AVERAGE(Sheet1__3[[#This Row],[00:00:00]:[23:00:00]])</f>
        <v>121.95833333333333</v>
      </c>
      <c r="AA15" t="str" cm="1">
        <f t="array" ref="AA15">_xlfn.IFS(Sheet1__3[[#This Row],[AVERAGE AQI]]&lt;50,"GOOD",Sheet1__3[[#This Row],[AVERAGE AQI]]&lt;=100,"MODERATE",Sheet1__3[[#This Row],[AVERAGE AQI]]&lt;=150,"BAD",Sheet1__3[[#This Row],[AVERAGE AQI]]&lt;=200,"VERY BAD")</f>
        <v>BAD</v>
      </c>
    </row>
    <row r="16" spans="1:30" x14ac:dyDescent="0.3">
      <c r="A16" s="1">
        <v>45703</v>
      </c>
      <c r="B16">
        <v>123</v>
      </c>
      <c r="C16">
        <v>123</v>
      </c>
      <c r="D16">
        <v>124</v>
      </c>
      <c r="E16">
        <v>124</v>
      </c>
      <c r="F16">
        <v>121</v>
      </c>
      <c r="G16">
        <v>120</v>
      </c>
      <c r="H16">
        <v>121</v>
      </c>
      <c r="I16">
        <v>122</v>
      </c>
      <c r="J16">
        <v>121</v>
      </c>
      <c r="K16">
        <v>125</v>
      </c>
      <c r="L16">
        <v>126</v>
      </c>
      <c r="M16">
        <v>127</v>
      </c>
      <c r="N16">
        <v>128</v>
      </c>
      <c r="O16">
        <v>129</v>
      </c>
      <c r="P16">
        <v>129</v>
      </c>
      <c r="Q16">
        <v>129</v>
      </c>
      <c r="R16">
        <v>130</v>
      </c>
      <c r="S16">
        <v>130</v>
      </c>
      <c r="T16">
        <v>130</v>
      </c>
      <c r="U16">
        <v>130</v>
      </c>
      <c r="V16">
        <v>130</v>
      </c>
      <c r="W16">
        <v>129</v>
      </c>
      <c r="X16">
        <v>129</v>
      </c>
      <c r="Y16">
        <v>128</v>
      </c>
      <c r="Z16" s="2">
        <f>AVERAGE(Sheet1__3[[#This Row],[00:00:00]:[23:00:00]])</f>
        <v>126.16666666666667</v>
      </c>
      <c r="AA16" t="str" cm="1">
        <f t="array" ref="AA16">_xlfn.IFS(Sheet1__3[[#This Row],[AVERAGE AQI]]&lt;50,"GOOD",Sheet1__3[[#This Row],[AVERAGE AQI]]&lt;=100,"MODERATE",Sheet1__3[[#This Row],[AVERAGE AQI]]&lt;=150,"BAD",Sheet1__3[[#This Row],[AVERAGE AQI]]&lt;=200,"VERY BAD")</f>
        <v>BAD</v>
      </c>
    </row>
    <row r="17" spans="1:27" x14ac:dyDescent="0.3">
      <c r="A17" s="1">
        <v>45704</v>
      </c>
      <c r="B17">
        <v>128</v>
      </c>
      <c r="C17">
        <v>128</v>
      </c>
      <c r="D17">
        <v>129</v>
      </c>
      <c r="E17">
        <v>128</v>
      </c>
      <c r="F17">
        <v>128</v>
      </c>
      <c r="G17">
        <v>128</v>
      </c>
      <c r="H17">
        <v>127</v>
      </c>
      <c r="I17">
        <v>127</v>
      </c>
      <c r="J17">
        <v>126</v>
      </c>
      <c r="K17">
        <v>127</v>
      </c>
      <c r="L17">
        <v>126</v>
      </c>
      <c r="M17">
        <v>126</v>
      </c>
      <c r="N17">
        <v>126</v>
      </c>
      <c r="O17">
        <v>126</v>
      </c>
      <c r="P17">
        <v>126</v>
      </c>
      <c r="Q17">
        <v>127</v>
      </c>
      <c r="R17">
        <v>128</v>
      </c>
      <c r="S17">
        <v>127</v>
      </c>
      <c r="T17">
        <v>126</v>
      </c>
      <c r="U17">
        <v>124</v>
      </c>
      <c r="V17">
        <v>123</v>
      </c>
      <c r="W17">
        <v>121</v>
      </c>
      <c r="X17">
        <v>119</v>
      </c>
      <c r="Y17">
        <v>117</v>
      </c>
      <c r="Z17" s="2">
        <f>AVERAGE(Sheet1__3[[#This Row],[00:00:00]:[23:00:00]])</f>
        <v>125.75</v>
      </c>
      <c r="AA17" t="str" cm="1">
        <f t="array" ref="AA17">_xlfn.IFS(Sheet1__3[[#This Row],[AVERAGE AQI]]&lt;50,"GOOD",Sheet1__3[[#This Row],[AVERAGE AQI]]&lt;=100,"MODERATE",Sheet1__3[[#This Row],[AVERAGE AQI]]&lt;=150,"BAD",Sheet1__3[[#This Row],[AVERAGE AQI]]&lt;=200,"VERY BAD")</f>
        <v>BAD</v>
      </c>
    </row>
    <row r="18" spans="1:27" x14ac:dyDescent="0.3">
      <c r="A18" s="1">
        <v>45705</v>
      </c>
      <c r="B18">
        <v>115</v>
      </c>
      <c r="C18">
        <v>112</v>
      </c>
      <c r="D18">
        <v>110</v>
      </c>
      <c r="E18">
        <v>108</v>
      </c>
      <c r="F18">
        <v>106</v>
      </c>
      <c r="G18">
        <v>105</v>
      </c>
      <c r="H18">
        <v>105</v>
      </c>
      <c r="I18">
        <v>102</v>
      </c>
      <c r="J18">
        <v>100</v>
      </c>
      <c r="K18">
        <v>99</v>
      </c>
      <c r="L18">
        <v>98</v>
      </c>
      <c r="M18">
        <v>96</v>
      </c>
      <c r="N18">
        <v>95</v>
      </c>
      <c r="O18">
        <v>94</v>
      </c>
      <c r="P18">
        <v>93</v>
      </c>
      <c r="Q18">
        <v>92</v>
      </c>
      <c r="R18">
        <v>92</v>
      </c>
      <c r="S18">
        <v>91</v>
      </c>
      <c r="T18">
        <v>92</v>
      </c>
      <c r="U18">
        <v>95</v>
      </c>
      <c r="V18">
        <v>97</v>
      </c>
      <c r="W18">
        <v>94</v>
      </c>
      <c r="X18">
        <v>95</v>
      </c>
      <c r="Y18">
        <v>96</v>
      </c>
      <c r="Z18" s="2">
        <f>AVERAGE(Sheet1__3[[#This Row],[00:00:00]:[23:00:00]])</f>
        <v>99.25</v>
      </c>
      <c r="AA18" t="str" cm="1">
        <f t="array" ref="AA18">_xlfn.IFS(Sheet1__3[[#This Row],[AVERAGE AQI]]&lt;50,"GOOD",Sheet1__3[[#This Row],[AVERAGE AQI]]&lt;=100,"MODERATE",Sheet1__3[[#This Row],[AVERAGE AQI]]&lt;=150,"BAD",Sheet1__3[[#This Row],[AVERAGE AQI]]&lt;=200,"VERY BAD")</f>
        <v>MODERATE</v>
      </c>
    </row>
    <row r="19" spans="1:27" x14ac:dyDescent="0.3">
      <c r="A19" s="1">
        <v>45706</v>
      </c>
      <c r="B19">
        <v>99</v>
      </c>
      <c r="C19">
        <v>103</v>
      </c>
      <c r="D19">
        <v>109</v>
      </c>
      <c r="E19">
        <v>106</v>
      </c>
      <c r="F19">
        <v>107</v>
      </c>
      <c r="G19">
        <v>107</v>
      </c>
      <c r="H19">
        <v>107</v>
      </c>
      <c r="I19">
        <v>107</v>
      </c>
      <c r="J19">
        <v>108</v>
      </c>
      <c r="K19">
        <v>108</v>
      </c>
      <c r="L19">
        <v>109</v>
      </c>
      <c r="M19">
        <v>107</v>
      </c>
      <c r="N19">
        <v>107</v>
      </c>
      <c r="O19">
        <v>108</v>
      </c>
      <c r="P19">
        <v>108</v>
      </c>
      <c r="Q19">
        <v>112</v>
      </c>
      <c r="R19">
        <v>110</v>
      </c>
      <c r="S19">
        <v>111</v>
      </c>
      <c r="T19">
        <v>111</v>
      </c>
      <c r="U19">
        <v>111</v>
      </c>
      <c r="V19">
        <v>111</v>
      </c>
      <c r="W19">
        <v>111</v>
      </c>
      <c r="X19">
        <v>112</v>
      </c>
      <c r="Y19">
        <v>112</v>
      </c>
      <c r="Z19" s="2">
        <f>AVERAGE(Sheet1__3[[#This Row],[00:00:00]:[23:00:00]])</f>
        <v>108.375</v>
      </c>
      <c r="AA19" t="str" cm="1">
        <f t="array" ref="AA19">_xlfn.IFS(Sheet1__3[[#This Row],[AVERAGE AQI]]&lt;50,"GOOD",Sheet1__3[[#This Row],[AVERAGE AQI]]&lt;=100,"MODERATE",Sheet1__3[[#This Row],[AVERAGE AQI]]&lt;=150,"BAD",Sheet1__3[[#This Row],[AVERAGE AQI]]&lt;=200,"VERY BAD")</f>
        <v>BAD</v>
      </c>
    </row>
    <row r="20" spans="1:27" x14ac:dyDescent="0.3">
      <c r="A20" s="1">
        <v>45707</v>
      </c>
      <c r="B20">
        <v>112</v>
      </c>
      <c r="C20">
        <v>112</v>
      </c>
      <c r="D20">
        <v>113</v>
      </c>
      <c r="E20">
        <v>113</v>
      </c>
      <c r="F20">
        <v>114</v>
      </c>
      <c r="G20">
        <v>115</v>
      </c>
      <c r="H20">
        <v>116</v>
      </c>
      <c r="I20">
        <v>117</v>
      </c>
      <c r="J20">
        <v>118</v>
      </c>
      <c r="K20">
        <v>124</v>
      </c>
      <c r="L20">
        <v>125</v>
      </c>
      <c r="M20">
        <v>125</v>
      </c>
      <c r="N20">
        <v>124</v>
      </c>
      <c r="O20">
        <v>124</v>
      </c>
      <c r="P20">
        <v>124</v>
      </c>
      <c r="Q20">
        <v>123</v>
      </c>
      <c r="R20">
        <v>122</v>
      </c>
      <c r="S20">
        <v>122</v>
      </c>
      <c r="T20">
        <v>122</v>
      </c>
      <c r="U20">
        <v>123</v>
      </c>
      <c r="V20">
        <v>123</v>
      </c>
      <c r="W20">
        <v>124</v>
      </c>
      <c r="X20">
        <v>125</v>
      </c>
      <c r="Y20">
        <v>123</v>
      </c>
      <c r="Z20" s="2">
        <f>AVERAGE(Sheet1__3[[#This Row],[00:00:00]:[23:00:00]])</f>
        <v>120.125</v>
      </c>
      <c r="AA20" t="str" cm="1">
        <f t="array" ref="AA20">_xlfn.IFS(Sheet1__3[[#This Row],[AVERAGE AQI]]&lt;50,"GOOD",Sheet1__3[[#This Row],[AVERAGE AQI]]&lt;=100,"MODERATE",Sheet1__3[[#This Row],[AVERAGE AQI]]&lt;=150,"BAD",Sheet1__3[[#This Row],[AVERAGE AQI]]&lt;=200,"VERY BAD")</f>
        <v>BAD</v>
      </c>
    </row>
    <row r="21" spans="1:27" x14ac:dyDescent="0.3">
      <c r="A21" s="1">
        <v>45708</v>
      </c>
      <c r="B21">
        <v>124</v>
      </c>
      <c r="C21">
        <v>121</v>
      </c>
      <c r="D21">
        <v>120</v>
      </c>
      <c r="E21">
        <v>119</v>
      </c>
      <c r="F21">
        <v>118</v>
      </c>
      <c r="G21">
        <v>117</v>
      </c>
      <c r="H21">
        <v>116</v>
      </c>
      <c r="I21">
        <v>115</v>
      </c>
      <c r="J21">
        <v>119</v>
      </c>
      <c r="K21">
        <v>115</v>
      </c>
      <c r="L21">
        <v>115</v>
      </c>
      <c r="M21">
        <v>115</v>
      </c>
      <c r="N21">
        <v>115</v>
      </c>
      <c r="O21">
        <v>116</v>
      </c>
      <c r="P21">
        <v>121</v>
      </c>
      <c r="Q21">
        <v>118</v>
      </c>
      <c r="R21">
        <v>119</v>
      </c>
      <c r="S21">
        <v>116</v>
      </c>
      <c r="T21">
        <v>116</v>
      </c>
      <c r="U21">
        <v>116</v>
      </c>
      <c r="V21">
        <v>117</v>
      </c>
      <c r="W21">
        <v>117</v>
      </c>
      <c r="X21">
        <v>117</v>
      </c>
      <c r="Y21">
        <v>116</v>
      </c>
      <c r="Z21" s="2">
        <f>AVERAGE(Sheet1__3[[#This Row],[00:00:00]:[23:00:00]])</f>
        <v>117.41666666666667</v>
      </c>
      <c r="AA21" t="str" cm="1">
        <f t="array" ref="AA21">_xlfn.IFS(Sheet1__3[[#This Row],[AVERAGE AQI]]&lt;50,"GOOD",Sheet1__3[[#This Row],[AVERAGE AQI]]&lt;=100,"MODERATE",Sheet1__3[[#This Row],[AVERAGE AQI]]&lt;=150,"BAD",Sheet1__3[[#This Row],[AVERAGE AQI]]&lt;=200,"VERY BAD")</f>
        <v>BAD</v>
      </c>
    </row>
    <row r="22" spans="1:27" x14ac:dyDescent="0.3">
      <c r="A22" s="1">
        <v>45709</v>
      </c>
      <c r="B22">
        <v>115</v>
      </c>
      <c r="C22">
        <v>114</v>
      </c>
      <c r="D22">
        <v>113</v>
      </c>
      <c r="E22">
        <v>113</v>
      </c>
      <c r="F22">
        <v>113</v>
      </c>
      <c r="G22">
        <v>114</v>
      </c>
      <c r="H22">
        <v>112</v>
      </c>
      <c r="I22">
        <v>112</v>
      </c>
      <c r="J22">
        <v>112</v>
      </c>
      <c r="K22">
        <v>112</v>
      </c>
      <c r="L22">
        <v>112</v>
      </c>
      <c r="M22">
        <v>111</v>
      </c>
      <c r="N22">
        <v>110</v>
      </c>
      <c r="O22">
        <v>109</v>
      </c>
      <c r="P22">
        <v>109</v>
      </c>
      <c r="Q22">
        <v>109</v>
      </c>
      <c r="R22">
        <v>108</v>
      </c>
      <c r="S22">
        <v>108</v>
      </c>
      <c r="T22">
        <v>108</v>
      </c>
      <c r="U22">
        <v>108</v>
      </c>
      <c r="V22">
        <v>108</v>
      </c>
      <c r="W22">
        <v>108</v>
      </c>
      <c r="X22">
        <v>108</v>
      </c>
      <c r="Y22">
        <v>108</v>
      </c>
      <c r="Z22" s="2">
        <f>AVERAGE(Sheet1__3[[#This Row],[00:00:00]:[23:00:00]])</f>
        <v>110.58333333333333</v>
      </c>
      <c r="AA22" t="str" cm="1">
        <f t="array" ref="AA22">_xlfn.IFS(Sheet1__3[[#This Row],[AVERAGE AQI]]&lt;50,"GOOD",Sheet1__3[[#This Row],[AVERAGE AQI]]&lt;=100,"MODERATE",Sheet1__3[[#This Row],[AVERAGE AQI]]&lt;=150,"BAD",Sheet1__3[[#This Row],[AVERAGE AQI]]&lt;=200,"VERY BAD")</f>
        <v>BAD</v>
      </c>
    </row>
    <row r="23" spans="1:27" x14ac:dyDescent="0.3">
      <c r="A23" s="1">
        <v>45710</v>
      </c>
      <c r="B23">
        <v>109</v>
      </c>
      <c r="C23">
        <v>109</v>
      </c>
      <c r="D23">
        <v>109</v>
      </c>
      <c r="E23">
        <v>108</v>
      </c>
      <c r="F23">
        <v>108</v>
      </c>
      <c r="G23">
        <v>107</v>
      </c>
      <c r="H23">
        <v>108</v>
      </c>
      <c r="I23">
        <v>108</v>
      </c>
      <c r="J23">
        <v>108</v>
      </c>
      <c r="K23">
        <v>108</v>
      </c>
      <c r="L23">
        <v>108</v>
      </c>
      <c r="M23">
        <v>109</v>
      </c>
      <c r="N23">
        <v>109</v>
      </c>
      <c r="O23">
        <v>110</v>
      </c>
      <c r="P23">
        <v>112</v>
      </c>
      <c r="Q23">
        <v>127</v>
      </c>
      <c r="R23">
        <v>113</v>
      </c>
      <c r="S23">
        <v>113</v>
      </c>
      <c r="T23">
        <v>115</v>
      </c>
      <c r="U23">
        <v>115</v>
      </c>
      <c r="V23">
        <v>112</v>
      </c>
      <c r="W23">
        <v>112</v>
      </c>
      <c r="X23">
        <v>111</v>
      </c>
      <c r="Y23">
        <v>111</v>
      </c>
      <c r="Z23" s="2">
        <f>AVERAGE(Sheet1__3[[#This Row],[00:00:00]:[23:00:00]])</f>
        <v>110.79166666666667</v>
      </c>
      <c r="AA23" t="str" cm="1">
        <f t="array" ref="AA23">_xlfn.IFS(Sheet1__3[[#This Row],[AVERAGE AQI]]&lt;50,"GOOD",Sheet1__3[[#This Row],[AVERAGE AQI]]&lt;=100,"MODERATE",Sheet1__3[[#This Row],[AVERAGE AQI]]&lt;=150,"BAD",Sheet1__3[[#This Row],[AVERAGE AQI]]&lt;=200,"VERY BAD")</f>
        <v>BAD</v>
      </c>
    </row>
    <row r="24" spans="1:27" x14ac:dyDescent="0.3">
      <c r="A24" s="1">
        <v>45711</v>
      </c>
      <c r="B24">
        <v>111</v>
      </c>
      <c r="C24">
        <v>111</v>
      </c>
      <c r="D24">
        <v>112</v>
      </c>
      <c r="E24">
        <v>112</v>
      </c>
      <c r="F24">
        <v>113</v>
      </c>
      <c r="G24">
        <v>113</v>
      </c>
      <c r="H24">
        <v>114</v>
      </c>
      <c r="I24">
        <v>114</v>
      </c>
      <c r="J24">
        <v>115</v>
      </c>
      <c r="K24">
        <v>115</v>
      </c>
      <c r="L24">
        <v>115</v>
      </c>
      <c r="M24">
        <v>116</v>
      </c>
      <c r="N24">
        <v>117</v>
      </c>
      <c r="O24">
        <v>117</v>
      </c>
      <c r="P24">
        <v>118</v>
      </c>
      <c r="Q24">
        <v>120</v>
      </c>
      <c r="R24">
        <v>119</v>
      </c>
      <c r="S24">
        <v>120</v>
      </c>
      <c r="T24">
        <v>119</v>
      </c>
      <c r="U24">
        <v>118</v>
      </c>
      <c r="V24">
        <v>118</v>
      </c>
      <c r="W24">
        <v>117</v>
      </c>
      <c r="X24">
        <v>117</v>
      </c>
      <c r="Y24">
        <v>117</v>
      </c>
      <c r="Z24" s="2">
        <f>AVERAGE(Sheet1__3[[#This Row],[00:00:00]:[23:00:00]])</f>
        <v>115.75</v>
      </c>
      <c r="AA24" t="str" cm="1">
        <f t="array" ref="AA24">_xlfn.IFS(Sheet1__3[[#This Row],[AVERAGE AQI]]&lt;50,"GOOD",Sheet1__3[[#This Row],[AVERAGE AQI]]&lt;=100,"MODERATE",Sheet1__3[[#This Row],[AVERAGE AQI]]&lt;=150,"BAD",Sheet1__3[[#This Row],[AVERAGE AQI]]&lt;=200,"VERY BAD")</f>
        <v>BAD</v>
      </c>
    </row>
    <row r="25" spans="1:27" x14ac:dyDescent="0.3">
      <c r="A25" s="1">
        <v>45712</v>
      </c>
      <c r="B25">
        <v>116</v>
      </c>
      <c r="C25">
        <v>116</v>
      </c>
      <c r="D25">
        <v>115</v>
      </c>
      <c r="E25">
        <v>114</v>
      </c>
      <c r="F25">
        <v>113</v>
      </c>
      <c r="G25">
        <v>112</v>
      </c>
      <c r="H25">
        <v>111</v>
      </c>
      <c r="I25">
        <v>110</v>
      </c>
      <c r="J25">
        <v>110</v>
      </c>
      <c r="K25">
        <v>109</v>
      </c>
      <c r="L25">
        <v>109</v>
      </c>
      <c r="M25">
        <v>108</v>
      </c>
      <c r="N25">
        <v>107</v>
      </c>
      <c r="O25">
        <v>106</v>
      </c>
      <c r="P25">
        <v>106</v>
      </c>
      <c r="Q25">
        <v>112</v>
      </c>
      <c r="R25">
        <v>112</v>
      </c>
      <c r="S25">
        <v>105</v>
      </c>
      <c r="T25">
        <v>106</v>
      </c>
      <c r="U25">
        <v>106</v>
      </c>
      <c r="V25">
        <v>106</v>
      </c>
      <c r="W25">
        <v>104</v>
      </c>
      <c r="X25">
        <v>104</v>
      </c>
      <c r="Y25">
        <v>104</v>
      </c>
      <c r="Z25" s="2">
        <f>AVERAGE(Sheet1__3[[#This Row],[00:00:00]:[23:00:00]])</f>
        <v>109.20833333333333</v>
      </c>
      <c r="AA25" t="str" cm="1">
        <f t="array" ref="AA25">_xlfn.IFS(Sheet1__3[[#This Row],[AVERAGE AQI]]&lt;50,"GOOD",Sheet1__3[[#This Row],[AVERAGE AQI]]&lt;=100,"MODERATE",Sheet1__3[[#This Row],[AVERAGE AQI]]&lt;=150,"BAD",Sheet1__3[[#This Row],[AVERAGE AQI]]&lt;=200,"VERY BAD")</f>
        <v>BAD</v>
      </c>
    </row>
    <row r="26" spans="1:27" x14ac:dyDescent="0.3">
      <c r="A26" s="1">
        <v>45713</v>
      </c>
      <c r="B26">
        <v>105</v>
      </c>
      <c r="C26">
        <v>105</v>
      </c>
      <c r="D26">
        <v>105</v>
      </c>
      <c r="E26">
        <v>108</v>
      </c>
      <c r="F26">
        <v>109</v>
      </c>
      <c r="G26">
        <v>110</v>
      </c>
      <c r="H26">
        <v>111</v>
      </c>
      <c r="I26">
        <v>111</v>
      </c>
      <c r="J26">
        <v>115</v>
      </c>
      <c r="K26">
        <v>116</v>
      </c>
      <c r="L26">
        <v>115</v>
      </c>
      <c r="M26">
        <v>114</v>
      </c>
      <c r="N26">
        <v>115</v>
      </c>
      <c r="O26">
        <v>116</v>
      </c>
      <c r="P26">
        <v>117</v>
      </c>
      <c r="Q26">
        <v>123</v>
      </c>
      <c r="R26">
        <v>123</v>
      </c>
      <c r="S26">
        <v>124</v>
      </c>
      <c r="T26">
        <v>119</v>
      </c>
      <c r="U26">
        <v>120</v>
      </c>
      <c r="V26">
        <v>120</v>
      </c>
      <c r="W26">
        <v>120</v>
      </c>
      <c r="X26">
        <v>122</v>
      </c>
      <c r="Y26">
        <v>122</v>
      </c>
      <c r="Z26" s="2">
        <f>AVERAGE(Sheet1__3[[#This Row],[00:00:00]:[23:00:00]])</f>
        <v>115.20833333333333</v>
      </c>
      <c r="AA26" t="str" cm="1">
        <f t="array" ref="AA26">_xlfn.IFS(Sheet1__3[[#This Row],[AVERAGE AQI]]&lt;50,"GOOD",Sheet1__3[[#This Row],[AVERAGE AQI]]&lt;=100,"MODERATE",Sheet1__3[[#This Row],[AVERAGE AQI]]&lt;=150,"BAD",Sheet1__3[[#This Row],[AVERAGE AQI]]&lt;=200,"VERY BAD")</f>
        <v>BAD</v>
      </c>
    </row>
    <row r="27" spans="1:27" x14ac:dyDescent="0.3">
      <c r="A27" s="1">
        <v>45714</v>
      </c>
      <c r="B27">
        <v>123</v>
      </c>
      <c r="C27">
        <v>124</v>
      </c>
      <c r="D27">
        <v>124</v>
      </c>
      <c r="E27">
        <v>125</v>
      </c>
      <c r="F27">
        <v>125</v>
      </c>
      <c r="G27">
        <v>125</v>
      </c>
      <c r="H27">
        <v>126</v>
      </c>
      <c r="I27">
        <v>126</v>
      </c>
      <c r="J27">
        <v>127</v>
      </c>
      <c r="K27">
        <v>129</v>
      </c>
      <c r="L27">
        <v>128</v>
      </c>
      <c r="M27">
        <v>128</v>
      </c>
      <c r="N27">
        <v>129</v>
      </c>
      <c r="O27">
        <v>129</v>
      </c>
      <c r="P27">
        <v>132</v>
      </c>
      <c r="Q27">
        <v>138</v>
      </c>
      <c r="R27">
        <v>132</v>
      </c>
      <c r="S27">
        <v>131</v>
      </c>
      <c r="T27">
        <v>129</v>
      </c>
      <c r="U27">
        <v>130</v>
      </c>
      <c r="V27">
        <v>130</v>
      </c>
      <c r="W27">
        <v>130</v>
      </c>
      <c r="X27">
        <v>130</v>
      </c>
      <c r="Y27">
        <v>130</v>
      </c>
      <c r="Z27" s="2">
        <f>AVERAGE(Sheet1__3[[#This Row],[00:00:00]:[23:00:00]])</f>
        <v>128.33333333333334</v>
      </c>
      <c r="AA27" t="str" cm="1">
        <f t="array" ref="AA27">_xlfn.IFS(Sheet1__3[[#This Row],[AVERAGE AQI]]&lt;50,"GOOD",Sheet1__3[[#This Row],[AVERAGE AQI]]&lt;=100,"MODERATE",Sheet1__3[[#This Row],[AVERAGE AQI]]&lt;=150,"BAD",Sheet1__3[[#This Row],[AVERAGE AQI]]&lt;=200,"VERY BAD")</f>
        <v>BAD</v>
      </c>
    </row>
    <row r="28" spans="1:27" x14ac:dyDescent="0.3">
      <c r="A28" s="1">
        <v>45715</v>
      </c>
      <c r="B28">
        <v>131</v>
      </c>
      <c r="C28">
        <v>131</v>
      </c>
      <c r="D28">
        <v>133</v>
      </c>
      <c r="E28">
        <v>134</v>
      </c>
      <c r="F28">
        <v>130</v>
      </c>
      <c r="G28">
        <v>135</v>
      </c>
      <c r="H28">
        <v>135</v>
      </c>
      <c r="I28">
        <v>135</v>
      </c>
      <c r="J28">
        <v>135</v>
      </c>
      <c r="K28">
        <v>136</v>
      </c>
      <c r="L28">
        <v>136</v>
      </c>
      <c r="M28">
        <v>136</v>
      </c>
      <c r="N28">
        <v>137</v>
      </c>
      <c r="O28">
        <v>138</v>
      </c>
      <c r="P28">
        <v>139</v>
      </c>
      <c r="Q28">
        <v>139</v>
      </c>
      <c r="R28">
        <v>141</v>
      </c>
      <c r="S28">
        <v>142</v>
      </c>
      <c r="T28">
        <v>142</v>
      </c>
      <c r="U28">
        <v>145</v>
      </c>
      <c r="V28">
        <v>139</v>
      </c>
      <c r="W28">
        <v>138</v>
      </c>
      <c r="X28">
        <v>143</v>
      </c>
      <c r="Y28">
        <v>143</v>
      </c>
      <c r="Z28" s="2">
        <f>AVERAGE(Sheet1__3[[#This Row],[00:00:00]:[23:00:00]])</f>
        <v>137.20833333333334</v>
      </c>
      <c r="AA28" t="str" cm="1">
        <f t="array" ref="AA28">_xlfn.IFS(Sheet1__3[[#This Row],[AVERAGE AQI]]&lt;50,"GOOD",Sheet1__3[[#This Row],[AVERAGE AQI]]&lt;=100,"MODERATE",Sheet1__3[[#This Row],[AVERAGE AQI]]&lt;=150,"BAD",Sheet1__3[[#This Row],[AVERAGE AQI]]&lt;=200,"VERY BAD")</f>
        <v>BAD</v>
      </c>
    </row>
    <row r="29" spans="1:27" x14ac:dyDescent="0.3">
      <c r="A29" s="1">
        <v>45716</v>
      </c>
      <c r="B29">
        <v>143</v>
      </c>
      <c r="C29">
        <v>143</v>
      </c>
      <c r="D29">
        <v>141</v>
      </c>
      <c r="E29">
        <v>140</v>
      </c>
      <c r="F29">
        <v>142</v>
      </c>
      <c r="G29">
        <v>142</v>
      </c>
      <c r="H29">
        <v>142</v>
      </c>
      <c r="I29">
        <v>141</v>
      </c>
      <c r="J29">
        <v>137</v>
      </c>
      <c r="K29">
        <v>136</v>
      </c>
      <c r="L29">
        <v>137</v>
      </c>
      <c r="M29">
        <v>137</v>
      </c>
      <c r="N29">
        <v>137</v>
      </c>
      <c r="O29">
        <v>137</v>
      </c>
      <c r="P29">
        <v>138</v>
      </c>
      <c r="Q29">
        <v>138</v>
      </c>
      <c r="R29">
        <v>138</v>
      </c>
      <c r="S29">
        <v>137</v>
      </c>
      <c r="T29">
        <v>136</v>
      </c>
      <c r="U29">
        <v>136</v>
      </c>
      <c r="V29">
        <v>136</v>
      </c>
      <c r="W29">
        <v>136</v>
      </c>
      <c r="X29">
        <v>137</v>
      </c>
      <c r="Y29">
        <v>134</v>
      </c>
      <c r="Z29" s="2">
        <f>AVERAGE(Sheet1__3[[#This Row],[00:00:00]:[23:00:00]])</f>
        <v>138.375</v>
      </c>
      <c r="AA29" t="str" cm="1">
        <f t="array" ref="AA29">_xlfn.IFS(Sheet1__3[[#This Row],[AVERAGE AQI]]&lt;50,"GOOD",Sheet1__3[[#This Row],[AVERAGE AQI]]&lt;=100,"MODERATE",Sheet1__3[[#This Row],[AVERAGE AQI]]&lt;=150,"BAD",Sheet1__3[[#This Row],[AVERAGE AQI]]&lt;=200,"VERY BAD")</f>
        <v>BAD</v>
      </c>
    </row>
    <row r="30" spans="1:27" x14ac:dyDescent="0.3">
      <c r="Z30" s="2">
        <f>SUBTOTAL(101,Sheet1__3[AVERAGE AQI])</f>
        <v>120.82142857142858</v>
      </c>
    </row>
  </sheetData>
  <conditionalFormatting sqref="AA1:AA1048576">
    <cfRule type="cellIs" dxfId="29" priority="1" operator="equal">
      <formula>"MODERATE"</formula>
    </cfRule>
    <cfRule type="containsText" dxfId="28" priority="2" operator="containsText" text="VERY BAD">
      <formula>NOT(ISERROR(SEARCH("VERY BAD",AA1)))</formula>
    </cfRule>
    <cfRule type="containsText" dxfId="27" priority="3" operator="containsText" text="BAD">
      <formula>NOT(ISERROR(SEARCH("BAD",AA1)))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C4E68-2C21-462C-86D5-35C6310A255B}">
  <dimension ref="A1:AD33"/>
  <sheetViews>
    <sheetView topLeftCell="T1" workbookViewId="0">
      <selection activeCell="Z2" sqref="Z2"/>
    </sheetView>
  </sheetViews>
  <sheetFormatPr defaultRowHeight="14.4" x14ac:dyDescent="0.3"/>
  <cols>
    <col min="1" max="25" width="10.33203125" bestFit="1" customWidth="1"/>
    <col min="26" max="26" width="11.21875" bestFit="1" customWidth="1"/>
    <col min="27" max="27" width="13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28</v>
      </c>
      <c r="AA1" t="s">
        <v>26</v>
      </c>
      <c r="AC1" t="s">
        <v>27</v>
      </c>
      <c r="AD1" s="2">
        <f>AVERAGE(Sheet1__4[AVERAGE AQI])</f>
        <v>103.17843406009605</v>
      </c>
    </row>
    <row r="2" spans="1:30" x14ac:dyDescent="0.3">
      <c r="A2" s="1">
        <v>45717</v>
      </c>
      <c r="B2">
        <v>133</v>
      </c>
      <c r="C2">
        <v>133</v>
      </c>
      <c r="D2">
        <v>132</v>
      </c>
      <c r="E2">
        <v>131</v>
      </c>
      <c r="F2">
        <v>129</v>
      </c>
      <c r="G2">
        <v>127</v>
      </c>
      <c r="H2">
        <v>125</v>
      </c>
      <c r="I2">
        <v>122</v>
      </c>
      <c r="J2">
        <v>120</v>
      </c>
      <c r="K2">
        <v>118</v>
      </c>
      <c r="L2">
        <v>116</v>
      </c>
      <c r="M2">
        <v>115</v>
      </c>
      <c r="N2">
        <v>112</v>
      </c>
      <c r="O2">
        <v>111</v>
      </c>
      <c r="P2">
        <v>109</v>
      </c>
      <c r="Q2">
        <v>109</v>
      </c>
      <c r="R2">
        <v>110</v>
      </c>
      <c r="S2">
        <v>107</v>
      </c>
      <c r="T2">
        <v>107</v>
      </c>
      <c r="U2">
        <v>107</v>
      </c>
      <c r="V2">
        <v>107</v>
      </c>
      <c r="W2">
        <v>107</v>
      </c>
      <c r="X2">
        <v>106</v>
      </c>
      <c r="Y2">
        <v>106</v>
      </c>
      <c r="Z2" s="2">
        <f>AVERAGE(Sheet1__4[[#This Row],[00:00:00]:[23:00:00]])</f>
        <v>116.625</v>
      </c>
      <c r="AA2" t="str" cm="1">
        <f t="array" ref="AA2">_xlfn.IFS(Sheet1__4[[#This Row],[AVERAGE AQI]]&lt;50,"GOOD",Sheet1__4[[#This Row],[AVERAGE AQI]]&lt;=100,"MODERATE",Sheet1__4[[#This Row],[AVERAGE AQI]]&lt;=150,"BAD",Sheet1__4[[#This Row],[AVERAGE AQI]]&lt;=200,"VERY BAD")</f>
        <v>BAD</v>
      </c>
    </row>
    <row r="3" spans="1:30" x14ac:dyDescent="0.3">
      <c r="A3" s="1">
        <v>45718</v>
      </c>
      <c r="B3">
        <v>102</v>
      </c>
      <c r="C3">
        <v>102</v>
      </c>
      <c r="D3">
        <v>102</v>
      </c>
      <c r="E3">
        <v>105</v>
      </c>
      <c r="F3">
        <v>105</v>
      </c>
      <c r="G3">
        <v>105</v>
      </c>
      <c r="H3">
        <v>105</v>
      </c>
      <c r="I3">
        <v>105</v>
      </c>
      <c r="J3">
        <v>105</v>
      </c>
      <c r="K3">
        <v>107</v>
      </c>
      <c r="L3">
        <v>108</v>
      </c>
      <c r="M3">
        <v>108</v>
      </c>
      <c r="N3">
        <v>108</v>
      </c>
      <c r="O3">
        <v>108</v>
      </c>
      <c r="P3">
        <v>108</v>
      </c>
      <c r="Q3">
        <v>108</v>
      </c>
      <c r="R3">
        <v>109</v>
      </c>
      <c r="S3">
        <v>109</v>
      </c>
      <c r="T3">
        <v>110</v>
      </c>
      <c r="U3">
        <v>110</v>
      </c>
      <c r="V3">
        <v>110</v>
      </c>
      <c r="W3">
        <v>111</v>
      </c>
      <c r="X3">
        <v>111</v>
      </c>
      <c r="Y3">
        <v>110</v>
      </c>
      <c r="Z3" s="2">
        <f>AVERAGE(Sheet1__4[[#This Row],[00:00:00]:[23:00:00]])</f>
        <v>107.125</v>
      </c>
      <c r="AA3" t="str" cm="1">
        <f t="array" ref="AA3">_xlfn.IFS(Sheet1__4[[#This Row],[AVERAGE AQI]]&lt;50,"GOOD",Sheet1__4[[#This Row],[AVERAGE AQI]]&lt;=100,"MODERATE",Sheet1__4[[#This Row],[AVERAGE AQI]]&lt;=150,"BAD",Sheet1__4[[#This Row],[AVERAGE AQI]]&lt;=200,"VERY BAD")</f>
        <v>BAD</v>
      </c>
    </row>
    <row r="4" spans="1:30" x14ac:dyDescent="0.3">
      <c r="A4" s="1">
        <v>45719</v>
      </c>
      <c r="B4">
        <v>110</v>
      </c>
      <c r="C4">
        <v>108</v>
      </c>
      <c r="D4">
        <v>108</v>
      </c>
      <c r="E4">
        <v>107</v>
      </c>
      <c r="F4">
        <v>107</v>
      </c>
      <c r="G4">
        <v>107</v>
      </c>
      <c r="H4">
        <v>108</v>
      </c>
      <c r="I4">
        <v>108</v>
      </c>
      <c r="J4">
        <v>108</v>
      </c>
      <c r="K4">
        <v>109</v>
      </c>
      <c r="L4">
        <v>110</v>
      </c>
      <c r="M4">
        <v>108</v>
      </c>
      <c r="N4">
        <v>107</v>
      </c>
      <c r="O4">
        <v>108</v>
      </c>
      <c r="P4">
        <v>108</v>
      </c>
      <c r="Q4">
        <v>109</v>
      </c>
      <c r="R4">
        <v>111</v>
      </c>
      <c r="S4">
        <v>111</v>
      </c>
      <c r="T4">
        <v>111</v>
      </c>
      <c r="U4">
        <v>111</v>
      </c>
      <c r="V4">
        <v>113</v>
      </c>
      <c r="W4">
        <v>114</v>
      </c>
      <c r="X4">
        <v>114</v>
      </c>
      <c r="Y4">
        <v>115</v>
      </c>
      <c r="Z4" s="2">
        <f>AVERAGE(Sheet1__4[[#This Row],[00:00:00]:[23:00:00]])</f>
        <v>109.58333333333333</v>
      </c>
      <c r="AA4" t="str" cm="1">
        <f t="array" ref="AA4">_xlfn.IFS(Sheet1__4[[#This Row],[AVERAGE AQI]]&lt;50,"GOOD",Sheet1__4[[#This Row],[AVERAGE AQI]]&lt;=100,"MODERATE",Sheet1__4[[#This Row],[AVERAGE AQI]]&lt;=150,"BAD",Sheet1__4[[#This Row],[AVERAGE AQI]]&lt;=200,"VERY BAD")</f>
        <v>BAD</v>
      </c>
    </row>
    <row r="5" spans="1:30" x14ac:dyDescent="0.3">
      <c r="A5" s="1">
        <v>45720</v>
      </c>
      <c r="B5">
        <v>115</v>
      </c>
      <c r="C5">
        <v>116</v>
      </c>
      <c r="D5">
        <v>111</v>
      </c>
      <c r="E5">
        <v>113</v>
      </c>
      <c r="F5">
        <v>114</v>
      </c>
      <c r="G5">
        <v>117</v>
      </c>
      <c r="H5">
        <v>118</v>
      </c>
      <c r="I5">
        <v>119</v>
      </c>
      <c r="J5">
        <v>121</v>
      </c>
      <c r="K5">
        <v>122</v>
      </c>
      <c r="L5">
        <v>121</v>
      </c>
      <c r="M5">
        <v>121</v>
      </c>
      <c r="N5">
        <v>121</v>
      </c>
      <c r="O5">
        <v>121</v>
      </c>
      <c r="P5">
        <v>120</v>
      </c>
      <c r="Q5">
        <v>120</v>
      </c>
      <c r="R5">
        <v>120</v>
      </c>
      <c r="S5">
        <v>120</v>
      </c>
      <c r="T5">
        <v>120</v>
      </c>
      <c r="U5">
        <v>120</v>
      </c>
      <c r="V5">
        <v>120</v>
      </c>
      <c r="W5">
        <v>121</v>
      </c>
      <c r="X5">
        <v>120</v>
      </c>
      <c r="Y5">
        <v>120</v>
      </c>
      <c r="Z5" s="2">
        <f>AVERAGE(Sheet1__4[[#This Row],[00:00:00]:[23:00:00]])</f>
        <v>118.79166666666667</v>
      </c>
      <c r="AA5" t="str" cm="1">
        <f t="array" ref="AA5">_xlfn.IFS(Sheet1__4[[#This Row],[AVERAGE AQI]]&lt;50,"GOOD",Sheet1__4[[#This Row],[AVERAGE AQI]]&lt;=100,"MODERATE",Sheet1__4[[#This Row],[AVERAGE AQI]]&lt;=150,"BAD",Sheet1__4[[#This Row],[AVERAGE AQI]]&lt;=200,"VERY BAD")</f>
        <v>BAD</v>
      </c>
    </row>
    <row r="6" spans="1:30" x14ac:dyDescent="0.3">
      <c r="A6" s="1">
        <v>45721</v>
      </c>
      <c r="B6">
        <v>121</v>
      </c>
      <c r="C6">
        <v>121</v>
      </c>
      <c r="D6">
        <v>121</v>
      </c>
      <c r="E6">
        <v>120</v>
      </c>
      <c r="F6">
        <v>122</v>
      </c>
      <c r="G6">
        <v>122</v>
      </c>
      <c r="H6">
        <v>119</v>
      </c>
      <c r="I6">
        <v>119</v>
      </c>
      <c r="J6">
        <v>117</v>
      </c>
      <c r="K6">
        <v>116</v>
      </c>
      <c r="L6">
        <v>116</v>
      </c>
      <c r="M6">
        <v>115</v>
      </c>
      <c r="N6">
        <v>115</v>
      </c>
      <c r="O6">
        <v>116</v>
      </c>
      <c r="P6">
        <v>116</v>
      </c>
      <c r="Q6">
        <v>116</v>
      </c>
      <c r="R6">
        <v>117</v>
      </c>
      <c r="S6">
        <v>114</v>
      </c>
      <c r="T6">
        <v>114</v>
      </c>
      <c r="U6">
        <v>116</v>
      </c>
      <c r="V6">
        <v>116</v>
      </c>
      <c r="W6">
        <v>113</v>
      </c>
      <c r="X6">
        <v>113</v>
      </c>
      <c r="Y6">
        <v>113</v>
      </c>
      <c r="Z6" s="2">
        <f>AVERAGE(Sheet1__4[[#This Row],[00:00:00]:[23:00:00]])</f>
        <v>117</v>
      </c>
      <c r="AA6" t="str" cm="1">
        <f t="array" ref="AA6">_xlfn.IFS(Sheet1__4[[#This Row],[AVERAGE AQI]]&lt;50,"GOOD",Sheet1__4[[#This Row],[AVERAGE AQI]]&lt;=100,"MODERATE",Sheet1__4[[#This Row],[AVERAGE AQI]]&lt;=150,"BAD",Sheet1__4[[#This Row],[AVERAGE AQI]]&lt;=200,"VERY BAD")</f>
        <v>BAD</v>
      </c>
    </row>
    <row r="7" spans="1:30" x14ac:dyDescent="0.3">
      <c r="A7" s="1">
        <v>45722</v>
      </c>
      <c r="B7">
        <v>113</v>
      </c>
      <c r="C7">
        <v>112</v>
      </c>
      <c r="D7">
        <v>112</v>
      </c>
      <c r="E7">
        <v>112</v>
      </c>
      <c r="G7">
        <v>114</v>
      </c>
      <c r="H7">
        <v>114</v>
      </c>
      <c r="I7">
        <v>117</v>
      </c>
      <c r="J7">
        <v>118</v>
      </c>
      <c r="K7">
        <v>118</v>
      </c>
      <c r="L7">
        <v>118</v>
      </c>
      <c r="M7">
        <v>118</v>
      </c>
      <c r="N7">
        <v>118</v>
      </c>
      <c r="O7">
        <v>124</v>
      </c>
      <c r="P7">
        <v>130</v>
      </c>
      <c r="Q7">
        <v>130</v>
      </c>
      <c r="R7">
        <v>121</v>
      </c>
      <c r="S7">
        <v>119</v>
      </c>
      <c r="T7">
        <v>118</v>
      </c>
      <c r="U7">
        <v>118</v>
      </c>
      <c r="V7">
        <v>117</v>
      </c>
      <c r="W7">
        <v>117</v>
      </c>
      <c r="X7">
        <v>116</v>
      </c>
      <c r="Y7">
        <v>115</v>
      </c>
      <c r="Z7" s="2">
        <f>AVERAGE(Sheet1__4[[#This Row],[00:00:00]:[23:00:00]])</f>
        <v>117.78260869565217</v>
      </c>
      <c r="AA7" t="str" cm="1">
        <f t="array" ref="AA7">_xlfn.IFS(Sheet1__4[[#This Row],[AVERAGE AQI]]&lt;50,"GOOD",Sheet1__4[[#This Row],[AVERAGE AQI]]&lt;=100,"MODERATE",Sheet1__4[[#This Row],[AVERAGE AQI]]&lt;=150,"BAD",Sheet1__4[[#This Row],[AVERAGE AQI]]&lt;=200,"VERY BAD")</f>
        <v>BAD</v>
      </c>
    </row>
    <row r="8" spans="1:30" x14ac:dyDescent="0.3">
      <c r="A8" s="1">
        <v>45723</v>
      </c>
      <c r="B8">
        <v>117</v>
      </c>
      <c r="C8">
        <v>118</v>
      </c>
      <c r="D8">
        <v>118</v>
      </c>
      <c r="E8">
        <v>119</v>
      </c>
      <c r="F8">
        <v>120</v>
      </c>
      <c r="G8">
        <v>121</v>
      </c>
      <c r="H8">
        <v>121</v>
      </c>
      <c r="I8">
        <v>122</v>
      </c>
      <c r="J8">
        <v>123</v>
      </c>
      <c r="K8">
        <v>125</v>
      </c>
      <c r="L8">
        <v>123</v>
      </c>
      <c r="M8">
        <v>124</v>
      </c>
      <c r="N8">
        <v>125</v>
      </c>
      <c r="O8">
        <v>128</v>
      </c>
      <c r="P8">
        <v>136</v>
      </c>
      <c r="Q8">
        <v>130</v>
      </c>
      <c r="R8">
        <v>130</v>
      </c>
      <c r="S8">
        <v>132</v>
      </c>
      <c r="T8">
        <v>133</v>
      </c>
      <c r="U8">
        <v>131</v>
      </c>
      <c r="V8">
        <v>131</v>
      </c>
      <c r="W8">
        <v>134</v>
      </c>
      <c r="X8">
        <v>132</v>
      </c>
      <c r="Y8">
        <v>132</v>
      </c>
      <c r="Z8" s="2">
        <f>AVERAGE(Sheet1__4[[#This Row],[00:00:00]:[23:00:00]])</f>
        <v>126.04166666666667</v>
      </c>
      <c r="AA8" t="str" cm="1">
        <f t="array" ref="AA8">_xlfn.IFS(Sheet1__4[[#This Row],[AVERAGE AQI]]&lt;50,"GOOD",Sheet1__4[[#This Row],[AVERAGE AQI]]&lt;=100,"MODERATE",Sheet1__4[[#This Row],[AVERAGE AQI]]&lt;=150,"BAD",Sheet1__4[[#This Row],[AVERAGE AQI]]&lt;=200,"VERY BAD")</f>
        <v>BAD</v>
      </c>
    </row>
    <row r="9" spans="1:30" x14ac:dyDescent="0.3">
      <c r="A9" s="1">
        <v>45724</v>
      </c>
      <c r="B9">
        <v>130</v>
      </c>
      <c r="C9">
        <v>129</v>
      </c>
      <c r="D9">
        <v>128</v>
      </c>
      <c r="E9">
        <v>126</v>
      </c>
      <c r="F9">
        <v>126</v>
      </c>
      <c r="G9">
        <v>125</v>
      </c>
      <c r="H9">
        <v>125</v>
      </c>
      <c r="I9">
        <v>123</v>
      </c>
      <c r="J9">
        <v>122</v>
      </c>
      <c r="K9">
        <v>122</v>
      </c>
      <c r="L9">
        <v>122</v>
      </c>
      <c r="M9">
        <v>124</v>
      </c>
      <c r="N9">
        <v>129</v>
      </c>
      <c r="O9">
        <v>139</v>
      </c>
      <c r="P9">
        <v>131</v>
      </c>
      <c r="Q9">
        <v>126</v>
      </c>
      <c r="R9">
        <v>127</v>
      </c>
      <c r="S9">
        <v>124</v>
      </c>
      <c r="T9">
        <v>124</v>
      </c>
      <c r="U9">
        <v>125</v>
      </c>
      <c r="V9">
        <v>124</v>
      </c>
      <c r="W9">
        <v>124</v>
      </c>
      <c r="X9">
        <v>124</v>
      </c>
      <c r="Y9">
        <v>123</v>
      </c>
      <c r="Z9" s="2">
        <f>AVERAGE(Sheet1__4[[#This Row],[00:00:00]:[23:00:00]])</f>
        <v>125.91666666666667</v>
      </c>
      <c r="AA9" t="str" cm="1">
        <f t="array" ref="AA9">_xlfn.IFS(Sheet1__4[[#This Row],[AVERAGE AQI]]&lt;50,"GOOD",Sheet1__4[[#This Row],[AVERAGE AQI]]&lt;=100,"MODERATE",Sheet1__4[[#This Row],[AVERAGE AQI]]&lt;=150,"BAD",Sheet1__4[[#This Row],[AVERAGE AQI]]&lt;=200,"VERY BAD")</f>
        <v>BAD</v>
      </c>
    </row>
    <row r="10" spans="1:30" x14ac:dyDescent="0.3">
      <c r="A10" s="1">
        <v>45725</v>
      </c>
      <c r="B10">
        <v>121</v>
      </c>
      <c r="C10">
        <v>116</v>
      </c>
      <c r="D10">
        <v>114</v>
      </c>
      <c r="E10">
        <v>113</v>
      </c>
      <c r="F10">
        <v>111</v>
      </c>
      <c r="G10">
        <v>110</v>
      </c>
      <c r="H10">
        <v>108</v>
      </c>
      <c r="I10">
        <v>107</v>
      </c>
      <c r="J10">
        <v>106</v>
      </c>
      <c r="K10">
        <v>104</v>
      </c>
      <c r="L10">
        <v>103</v>
      </c>
      <c r="M10">
        <v>102</v>
      </c>
      <c r="N10">
        <v>102</v>
      </c>
      <c r="O10">
        <v>101</v>
      </c>
      <c r="P10">
        <v>100</v>
      </c>
      <c r="Q10">
        <v>99</v>
      </c>
      <c r="R10">
        <v>98</v>
      </c>
      <c r="S10">
        <v>96</v>
      </c>
      <c r="T10">
        <v>96</v>
      </c>
      <c r="U10">
        <v>96</v>
      </c>
      <c r="V10">
        <v>95</v>
      </c>
      <c r="W10">
        <v>93</v>
      </c>
      <c r="X10">
        <v>92</v>
      </c>
      <c r="Y10">
        <v>92</v>
      </c>
      <c r="Z10" s="2">
        <f>AVERAGE(Sheet1__4[[#This Row],[00:00:00]:[23:00:00]])</f>
        <v>103.125</v>
      </c>
      <c r="AA10" t="str" cm="1">
        <f t="array" ref="AA10">_xlfn.IFS(Sheet1__4[[#This Row],[AVERAGE AQI]]&lt;50,"GOOD",Sheet1__4[[#This Row],[AVERAGE AQI]]&lt;=100,"MODERATE",Sheet1__4[[#This Row],[AVERAGE AQI]]&lt;=150,"BAD",Sheet1__4[[#This Row],[AVERAGE AQI]]&lt;=200,"VERY BAD")</f>
        <v>BAD</v>
      </c>
    </row>
    <row r="11" spans="1:30" x14ac:dyDescent="0.3">
      <c r="A11" s="1">
        <v>45726</v>
      </c>
      <c r="B11">
        <v>92</v>
      </c>
      <c r="C11">
        <v>93</v>
      </c>
      <c r="D11">
        <v>94</v>
      </c>
      <c r="E11">
        <v>95</v>
      </c>
      <c r="F11">
        <v>97</v>
      </c>
      <c r="G11">
        <v>101</v>
      </c>
      <c r="H11">
        <v>101</v>
      </c>
      <c r="I11">
        <v>101</v>
      </c>
      <c r="J11">
        <v>101</v>
      </c>
      <c r="K11">
        <v>102</v>
      </c>
      <c r="L11">
        <v>102</v>
      </c>
      <c r="M11">
        <v>102</v>
      </c>
      <c r="N11">
        <v>105</v>
      </c>
      <c r="O11">
        <v>107</v>
      </c>
      <c r="P11">
        <v>123</v>
      </c>
      <c r="Q11">
        <v>122</v>
      </c>
      <c r="R11">
        <v>118</v>
      </c>
      <c r="S11">
        <v>117</v>
      </c>
      <c r="T11">
        <v>119</v>
      </c>
      <c r="U11">
        <v>120</v>
      </c>
      <c r="V11">
        <v>123</v>
      </c>
      <c r="W11">
        <v>124</v>
      </c>
      <c r="X11">
        <v>128</v>
      </c>
      <c r="Y11">
        <v>130</v>
      </c>
      <c r="Z11" s="2">
        <f>AVERAGE(Sheet1__4[[#This Row],[00:00:00]:[23:00:00]])</f>
        <v>109.04166666666667</v>
      </c>
      <c r="AA11" t="str" cm="1">
        <f t="array" ref="AA11">_xlfn.IFS(Sheet1__4[[#This Row],[AVERAGE AQI]]&lt;50,"GOOD",Sheet1__4[[#This Row],[AVERAGE AQI]]&lt;=100,"MODERATE",Sheet1__4[[#This Row],[AVERAGE AQI]]&lt;=150,"BAD",Sheet1__4[[#This Row],[AVERAGE AQI]]&lt;=200,"VERY BAD")</f>
        <v>BAD</v>
      </c>
    </row>
    <row r="12" spans="1:30" x14ac:dyDescent="0.3">
      <c r="A12" s="1">
        <v>45727</v>
      </c>
      <c r="B12">
        <v>130</v>
      </c>
      <c r="C12">
        <v>134</v>
      </c>
      <c r="D12">
        <v>137</v>
      </c>
      <c r="E12">
        <v>139</v>
      </c>
      <c r="F12">
        <v>141</v>
      </c>
      <c r="G12">
        <v>144</v>
      </c>
      <c r="H12">
        <v>146</v>
      </c>
      <c r="I12">
        <v>151</v>
      </c>
      <c r="J12">
        <v>153</v>
      </c>
      <c r="K12">
        <v>156</v>
      </c>
      <c r="L12">
        <v>158</v>
      </c>
      <c r="M12">
        <v>160</v>
      </c>
      <c r="N12">
        <v>159</v>
      </c>
      <c r="O12">
        <v>162</v>
      </c>
      <c r="P12">
        <v>158</v>
      </c>
      <c r="Q12">
        <v>156</v>
      </c>
      <c r="R12">
        <v>159</v>
      </c>
      <c r="S12">
        <v>158</v>
      </c>
      <c r="T12">
        <v>159</v>
      </c>
      <c r="U12">
        <v>158</v>
      </c>
      <c r="V12">
        <v>157</v>
      </c>
      <c r="W12">
        <v>156</v>
      </c>
      <c r="Z12" s="2">
        <f>AVERAGE(Sheet1__4[[#This Row],[00:00:00]:[23:00:00]])</f>
        <v>151.40909090909091</v>
      </c>
      <c r="AA12" t="str" cm="1">
        <f t="array" ref="AA12">_xlfn.IFS(Sheet1__4[[#This Row],[AVERAGE AQI]]&lt;50,"GOOD",Sheet1__4[[#This Row],[AVERAGE AQI]]&lt;=100,"MODERATE",Sheet1__4[[#This Row],[AVERAGE AQI]]&lt;=150,"BAD",Sheet1__4[[#This Row],[AVERAGE AQI]]&lt;=200,"VERY BAD")</f>
        <v>VERY BAD</v>
      </c>
    </row>
    <row r="13" spans="1:30" x14ac:dyDescent="0.3">
      <c r="A13" s="1">
        <v>45728</v>
      </c>
      <c r="B13">
        <v>153</v>
      </c>
      <c r="C13">
        <v>150</v>
      </c>
      <c r="D13">
        <v>146</v>
      </c>
      <c r="E13">
        <v>143</v>
      </c>
      <c r="F13">
        <v>136</v>
      </c>
      <c r="G13">
        <v>135</v>
      </c>
      <c r="H13">
        <v>134</v>
      </c>
      <c r="I13">
        <v>134</v>
      </c>
      <c r="J13">
        <v>133</v>
      </c>
      <c r="K13">
        <v>134</v>
      </c>
      <c r="L13">
        <v>135</v>
      </c>
      <c r="M13">
        <v>135</v>
      </c>
      <c r="N13">
        <v>135</v>
      </c>
      <c r="O13">
        <v>144</v>
      </c>
      <c r="P13">
        <v>153</v>
      </c>
      <c r="Q13">
        <v>146</v>
      </c>
      <c r="R13">
        <v>147</v>
      </c>
      <c r="S13">
        <v>151</v>
      </c>
      <c r="T13">
        <v>151</v>
      </c>
      <c r="U13">
        <v>141</v>
      </c>
      <c r="V13">
        <v>144</v>
      </c>
      <c r="W13">
        <v>144</v>
      </c>
      <c r="X13">
        <v>144</v>
      </c>
      <c r="Y13">
        <v>141</v>
      </c>
      <c r="Z13" s="2">
        <f>AVERAGE(Sheet1__4[[#This Row],[00:00:00]:[23:00:00]])</f>
        <v>142.04166666666666</v>
      </c>
      <c r="AA13" t="str" cm="1">
        <f t="array" ref="AA13">_xlfn.IFS(Sheet1__4[[#This Row],[AVERAGE AQI]]&lt;50,"GOOD",Sheet1__4[[#This Row],[AVERAGE AQI]]&lt;=100,"MODERATE",Sheet1__4[[#This Row],[AVERAGE AQI]]&lt;=150,"BAD",Sheet1__4[[#This Row],[AVERAGE AQI]]&lt;=200,"VERY BAD")</f>
        <v>BAD</v>
      </c>
    </row>
    <row r="14" spans="1:30" x14ac:dyDescent="0.3">
      <c r="A14" s="1">
        <v>45729</v>
      </c>
      <c r="B14">
        <v>134</v>
      </c>
      <c r="C14">
        <v>134</v>
      </c>
      <c r="D14">
        <v>132</v>
      </c>
      <c r="E14">
        <v>129</v>
      </c>
      <c r="F14">
        <v>127</v>
      </c>
      <c r="G14">
        <v>126</v>
      </c>
      <c r="H14">
        <v>124</v>
      </c>
      <c r="I14">
        <v>122</v>
      </c>
      <c r="J14">
        <v>121</v>
      </c>
      <c r="K14">
        <v>122</v>
      </c>
      <c r="L14">
        <v>119</v>
      </c>
      <c r="M14">
        <v>118</v>
      </c>
      <c r="N14">
        <v>120</v>
      </c>
      <c r="O14">
        <v>123</v>
      </c>
      <c r="P14">
        <v>125</v>
      </c>
      <c r="Q14">
        <v>124</v>
      </c>
      <c r="R14">
        <v>121</v>
      </c>
      <c r="S14">
        <v>118</v>
      </c>
      <c r="T14">
        <v>117</v>
      </c>
      <c r="U14">
        <v>116</v>
      </c>
      <c r="V14">
        <v>115</v>
      </c>
      <c r="W14">
        <v>115</v>
      </c>
      <c r="X14">
        <v>114</v>
      </c>
      <c r="Y14">
        <v>114</v>
      </c>
      <c r="Z14" s="2">
        <f>AVERAGE(Sheet1__4[[#This Row],[00:00:00]:[23:00:00]])</f>
        <v>122.08333333333333</v>
      </c>
      <c r="AA14" t="str" cm="1">
        <f t="array" ref="AA14">_xlfn.IFS(Sheet1__4[[#This Row],[AVERAGE AQI]]&lt;50,"GOOD",Sheet1__4[[#This Row],[AVERAGE AQI]]&lt;=100,"MODERATE",Sheet1__4[[#This Row],[AVERAGE AQI]]&lt;=150,"BAD",Sheet1__4[[#This Row],[AVERAGE AQI]]&lt;=200,"VERY BAD")</f>
        <v>BAD</v>
      </c>
    </row>
    <row r="15" spans="1:30" x14ac:dyDescent="0.3">
      <c r="A15" s="1">
        <v>45730</v>
      </c>
      <c r="B15">
        <v>115</v>
      </c>
      <c r="C15">
        <v>116</v>
      </c>
      <c r="D15">
        <v>115</v>
      </c>
      <c r="E15">
        <v>116</v>
      </c>
      <c r="F15">
        <v>119</v>
      </c>
      <c r="G15">
        <v>119</v>
      </c>
      <c r="H15">
        <v>119</v>
      </c>
      <c r="I15">
        <v>120</v>
      </c>
      <c r="J15">
        <v>122</v>
      </c>
      <c r="K15">
        <v>121</v>
      </c>
      <c r="L15">
        <v>122</v>
      </c>
      <c r="M15">
        <v>122</v>
      </c>
      <c r="N15">
        <v>126</v>
      </c>
      <c r="O15">
        <v>129</v>
      </c>
      <c r="P15">
        <v>122</v>
      </c>
      <c r="Q15">
        <v>122</v>
      </c>
      <c r="R15">
        <v>121</v>
      </c>
      <c r="S15">
        <v>120</v>
      </c>
      <c r="T15">
        <v>118</v>
      </c>
      <c r="U15">
        <v>117</v>
      </c>
      <c r="V15">
        <v>116</v>
      </c>
      <c r="W15">
        <v>113</v>
      </c>
      <c r="X15">
        <v>113</v>
      </c>
      <c r="Y15">
        <v>110</v>
      </c>
      <c r="Z15" s="2">
        <f>AVERAGE(Sheet1__4[[#This Row],[00:00:00]:[23:00:00]])</f>
        <v>118.875</v>
      </c>
      <c r="AA15" t="str" cm="1">
        <f t="array" ref="AA15">_xlfn.IFS(Sheet1__4[[#This Row],[AVERAGE AQI]]&lt;50,"GOOD",Sheet1__4[[#This Row],[AVERAGE AQI]]&lt;=100,"MODERATE",Sheet1__4[[#This Row],[AVERAGE AQI]]&lt;=150,"BAD",Sheet1__4[[#This Row],[AVERAGE AQI]]&lt;=200,"VERY BAD")</f>
        <v>BAD</v>
      </c>
    </row>
    <row r="16" spans="1:30" x14ac:dyDescent="0.3">
      <c r="A16" s="1">
        <v>45731</v>
      </c>
      <c r="B16">
        <v>109</v>
      </c>
      <c r="C16">
        <v>105</v>
      </c>
      <c r="D16">
        <v>103</v>
      </c>
      <c r="E16">
        <v>99</v>
      </c>
      <c r="F16">
        <v>97</v>
      </c>
      <c r="G16">
        <v>94</v>
      </c>
      <c r="H16">
        <v>89</v>
      </c>
      <c r="I16">
        <v>87</v>
      </c>
      <c r="J16">
        <v>83</v>
      </c>
      <c r="K16">
        <v>81</v>
      </c>
      <c r="L16">
        <v>78</v>
      </c>
      <c r="M16">
        <v>75</v>
      </c>
      <c r="N16">
        <v>74</v>
      </c>
      <c r="O16">
        <v>73</v>
      </c>
      <c r="P16">
        <v>70</v>
      </c>
      <c r="Q16">
        <v>78</v>
      </c>
      <c r="R16">
        <v>79</v>
      </c>
      <c r="S16">
        <v>81</v>
      </c>
      <c r="T16">
        <v>73</v>
      </c>
      <c r="U16">
        <v>74</v>
      </c>
      <c r="V16">
        <v>75</v>
      </c>
      <c r="W16">
        <v>75</v>
      </c>
      <c r="X16">
        <v>75</v>
      </c>
      <c r="Y16">
        <v>75</v>
      </c>
      <c r="Z16" s="2">
        <f>AVERAGE(Sheet1__4[[#This Row],[00:00:00]:[23:00:00]])</f>
        <v>83.416666666666671</v>
      </c>
      <c r="AA16" t="str" cm="1">
        <f t="array" ref="AA16">_xlfn.IFS(Sheet1__4[[#This Row],[AVERAGE AQI]]&lt;50,"GOOD",Sheet1__4[[#This Row],[AVERAGE AQI]]&lt;=100,"MODERATE",Sheet1__4[[#This Row],[AVERAGE AQI]]&lt;=150,"BAD",Sheet1__4[[#This Row],[AVERAGE AQI]]&lt;=200,"VERY BAD")</f>
        <v>MODERATE</v>
      </c>
    </row>
    <row r="17" spans="1:27" x14ac:dyDescent="0.3">
      <c r="A17" s="1">
        <v>45732</v>
      </c>
      <c r="B17">
        <v>75</v>
      </c>
      <c r="C17">
        <v>76</v>
      </c>
      <c r="D17">
        <v>84</v>
      </c>
      <c r="E17">
        <v>77</v>
      </c>
      <c r="F17">
        <v>77</v>
      </c>
      <c r="G17">
        <v>78</v>
      </c>
      <c r="H17">
        <v>79</v>
      </c>
      <c r="I17">
        <v>79</v>
      </c>
      <c r="J17">
        <v>80</v>
      </c>
      <c r="K17">
        <v>81</v>
      </c>
      <c r="L17">
        <v>82</v>
      </c>
      <c r="M17">
        <v>82</v>
      </c>
      <c r="N17">
        <v>83</v>
      </c>
      <c r="O17">
        <v>83</v>
      </c>
      <c r="P17">
        <v>83</v>
      </c>
      <c r="Q17">
        <v>83</v>
      </c>
      <c r="R17">
        <v>83</v>
      </c>
      <c r="S17">
        <v>84</v>
      </c>
      <c r="T17">
        <v>85</v>
      </c>
      <c r="U17">
        <v>85</v>
      </c>
      <c r="V17">
        <v>86</v>
      </c>
      <c r="W17">
        <v>87</v>
      </c>
      <c r="X17">
        <v>88</v>
      </c>
      <c r="Y17">
        <v>88</v>
      </c>
      <c r="Z17" s="2">
        <f>AVERAGE(Sheet1__4[[#This Row],[00:00:00]:[23:00:00]])</f>
        <v>82</v>
      </c>
      <c r="AA17" t="str" cm="1">
        <f t="array" ref="AA17">_xlfn.IFS(Sheet1__4[[#This Row],[AVERAGE AQI]]&lt;50,"GOOD",Sheet1__4[[#This Row],[AVERAGE AQI]]&lt;=100,"MODERATE",Sheet1__4[[#This Row],[AVERAGE AQI]]&lt;=150,"BAD",Sheet1__4[[#This Row],[AVERAGE AQI]]&lt;=200,"VERY BAD")</f>
        <v>MODERATE</v>
      </c>
    </row>
    <row r="18" spans="1:27" x14ac:dyDescent="0.3">
      <c r="A18" s="1">
        <v>45733</v>
      </c>
      <c r="B18">
        <v>89</v>
      </c>
      <c r="C18">
        <v>90</v>
      </c>
      <c r="D18">
        <v>90</v>
      </c>
      <c r="E18">
        <v>91</v>
      </c>
      <c r="F18">
        <v>91</v>
      </c>
      <c r="G18">
        <v>91</v>
      </c>
      <c r="H18">
        <v>92</v>
      </c>
      <c r="I18">
        <v>92</v>
      </c>
      <c r="J18">
        <v>92</v>
      </c>
      <c r="K18">
        <v>92</v>
      </c>
      <c r="L18">
        <v>92</v>
      </c>
      <c r="M18">
        <v>93</v>
      </c>
      <c r="N18">
        <v>93</v>
      </c>
      <c r="O18">
        <v>94</v>
      </c>
      <c r="P18">
        <v>96</v>
      </c>
      <c r="Q18">
        <v>101</v>
      </c>
      <c r="R18">
        <v>102</v>
      </c>
      <c r="S18">
        <v>101</v>
      </c>
      <c r="T18">
        <v>98</v>
      </c>
      <c r="U18">
        <v>98</v>
      </c>
      <c r="V18">
        <v>99</v>
      </c>
      <c r="W18">
        <v>100</v>
      </c>
      <c r="X18">
        <v>100</v>
      </c>
      <c r="Y18">
        <v>100</v>
      </c>
      <c r="Z18" s="2">
        <f>AVERAGE(Sheet1__4[[#This Row],[00:00:00]:[23:00:00]])</f>
        <v>94.875</v>
      </c>
      <c r="AA18" t="str" cm="1">
        <f t="array" ref="AA18">_xlfn.IFS(Sheet1__4[[#This Row],[AVERAGE AQI]]&lt;50,"GOOD",Sheet1__4[[#This Row],[AVERAGE AQI]]&lt;=100,"MODERATE",Sheet1__4[[#This Row],[AVERAGE AQI]]&lt;=150,"BAD",Sheet1__4[[#This Row],[AVERAGE AQI]]&lt;=200,"VERY BAD")</f>
        <v>MODERATE</v>
      </c>
    </row>
    <row r="19" spans="1:27" x14ac:dyDescent="0.3">
      <c r="A19" s="1">
        <v>45734</v>
      </c>
      <c r="B19">
        <v>97</v>
      </c>
      <c r="C19">
        <v>99</v>
      </c>
      <c r="D19">
        <v>98</v>
      </c>
      <c r="F19">
        <v>98</v>
      </c>
      <c r="G19">
        <v>97</v>
      </c>
      <c r="H19">
        <v>94</v>
      </c>
      <c r="I19">
        <v>93</v>
      </c>
      <c r="J19">
        <v>92</v>
      </c>
      <c r="K19">
        <v>89</v>
      </c>
      <c r="L19">
        <v>91</v>
      </c>
      <c r="M19">
        <v>90</v>
      </c>
      <c r="N19">
        <v>91</v>
      </c>
      <c r="O19">
        <v>90</v>
      </c>
      <c r="P19">
        <v>90</v>
      </c>
      <c r="R19">
        <v>86</v>
      </c>
      <c r="S19">
        <v>86</v>
      </c>
      <c r="T19">
        <v>86</v>
      </c>
      <c r="U19">
        <v>85</v>
      </c>
      <c r="V19">
        <v>85</v>
      </c>
      <c r="W19">
        <v>84</v>
      </c>
      <c r="X19">
        <v>83</v>
      </c>
      <c r="Y19">
        <v>82</v>
      </c>
      <c r="Z19" s="2">
        <f>AVERAGE(Sheet1__4[[#This Row],[00:00:00]:[23:00:00]])</f>
        <v>90.272727272727266</v>
      </c>
      <c r="AA19" t="str" cm="1">
        <f t="array" ref="AA19">_xlfn.IFS(Sheet1__4[[#This Row],[AVERAGE AQI]]&lt;50,"GOOD",Sheet1__4[[#This Row],[AVERAGE AQI]]&lt;=100,"MODERATE",Sheet1__4[[#This Row],[AVERAGE AQI]]&lt;=150,"BAD",Sheet1__4[[#This Row],[AVERAGE AQI]]&lt;=200,"VERY BAD")</f>
        <v>MODERATE</v>
      </c>
    </row>
    <row r="20" spans="1:27" x14ac:dyDescent="0.3">
      <c r="A20" s="1">
        <v>45735</v>
      </c>
      <c r="B20">
        <v>82</v>
      </c>
      <c r="C20">
        <v>81</v>
      </c>
      <c r="D20">
        <v>81</v>
      </c>
      <c r="E20">
        <v>82</v>
      </c>
      <c r="F20">
        <v>82</v>
      </c>
      <c r="G20">
        <v>80</v>
      </c>
      <c r="H20">
        <v>80</v>
      </c>
      <c r="I20">
        <v>80</v>
      </c>
      <c r="J20">
        <v>80</v>
      </c>
      <c r="K20">
        <v>77</v>
      </c>
      <c r="L20">
        <v>79</v>
      </c>
      <c r="M20">
        <v>79</v>
      </c>
      <c r="N20">
        <v>80</v>
      </c>
      <c r="O20">
        <v>81</v>
      </c>
      <c r="P20">
        <v>81</v>
      </c>
      <c r="Q20">
        <v>83</v>
      </c>
      <c r="R20">
        <v>83</v>
      </c>
      <c r="S20">
        <v>84</v>
      </c>
      <c r="T20">
        <v>85</v>
      </c>
      <c r="U20">
        <v>85</v>
      </c>
      <c r="V20">
        <v>83</v>
      </c>
      <c r="W20">
        <v>83</v>
      </c>
      <c r="X20">
        <v>83</v>
      </c>
      <c r="Y20">
        <v>83</v>
      </c>
      <c r="Z20" s="2">
        <f>AVERAGE(Sheet1__4[[#This Row],[00:00:00]:[23:00:00]])</f>
        <v>81.541666666666671</v>
      </c>
      <c r="AA20" t="str" cm="1">
        <f t="array" ref="AA20">_xlfn.IFS(Sheet1__4[[#This Row],[AVERAGE AQI]]&lt;50,"GOOD",Sheet1__4[[#This Row],[AVERAGE AQI]]&lt;=100,"MODERATE",Sheet1__4[[#This Row],[AVERAGE AQI]]&lt;=150,"BAD",Sheet1__4[[#This Row],[AVERAGE AQI]]&lt;=200,"VERY BAD")</f>
        <v>MODERATE</v>
      </c>
    </row>
    <row r="21" spans="1:27" x14ac:dyDescent="0.3">
      <c r="A21" s="1">
        <v>45736</v>
      </c>
      <c r="B21">
        <v>84</v>
      </c>
      <c r="C21">
        <v>84</v>
      </c>
      <c r="D21">
        <v>84</v>
      </c>
      <c r="E21">
        <v>84</v>
      </c>
      <c r="F21">
        <v>84</v>
      </c>
      <c r="G21">
        <v>84</v>
      </c>
      <c r="H21">
        <v>86</v>
      </c>
      <c r="I21">
        <v>86</v>
      </c>
      <c r="J21">
        <v>86</v>
      </c>
      <c r="K21">
        <v>86</v>
      </c>
      <c r="L21">
        <v>85</v>
      </c>
      <c r="M21">
        <v>84</v>
      </c>
      <c r="N21">
        <v>84</v>
      </c>
      <c r="O21">
        <v>84</v>
      </c>
      <c r="P21">
        <v>84</v>
      </c>
      <c r="Q21">
        <v>84</v>
      </c>
      <c r="R21">
        <v>88</v>
      </c>
      <c r="S21">
        <v>88</v>
      </c>
      <c r="T21">
        <v>89</v>
      </c>
      <c r="U21">
        <v>95</v>
      </c>
      <c r="V21">
        <v>96</v>
      </c>
      <c r="W21">
        <v>94</v>
      </c>
      <c r="X21">
        <v>94</v>
      </c>
      <c r="Y21">
        <v>95</v>
      </c>
      <c r="Z21" s="2">
        <f>AVERAGE(Sheet1__4[[#This Row],[00:00:00]:[23:00:00]])</f>
        <v>87.166666666666671</v>
      </c>
      <c r="AA21" t="str" cm="1">
        <f t="array" ref="AA21">_xlfn.IFS(Sheet1__4[[#This Row],[AVERAGE AQI]]&lt;50,"GOOD",Sheet1__4[[#This Row],[AVERAGE AQI]]&lt;=100,"MODERATE",Sheet1__4[[#This Row],[AVERAGE AQI]]&lt;=150,"BAD",Sheet1__4[[#This Row],[AVERAGE AQI]]&lt;=200,"VERY BAD")</f>
        <v>MODERATE</v>
      </c>
    </row>
    <row r="22" spans="1:27" x14ac:dyDescent="0.3">
      <c r="A22" s="1">
        <v>45737</v>
      </c>
      <c r="B22">
        <v>94</v>
      </c>
      <c r="C22">
        <v>93</v>
      </c>
      <c r="D22">
        <v>92</v>
      </c>
      <c r="E22">
        <v>91</v>
      </c>
      <c r="F22">
        <v>91</v>
      </c>
      <c r="G22">
        <v>90</v>
      </c>
      <c r="H22">
        <v>90</v>
      </c>
      <c r="I22">
        <v>89</v>
      </c>
      <c r="J22">
        <v>89</v>
      </c>
      <c r="K22">
        <v>88</v>
      </c>
      <c r="L22">
        <v>88</v>
      </c>
      <c r="M22">
        <v>88</v>
      </c>
      <c r="N22">
        <v>89</v>
      </c>
      <c r="O22">
        <v>89</v>
      </c>
      <c r="P22">
        <v>88</v>
      </c>
      <c r="Q22">
        <v>86</v>
      </c>
      <c r="R22">
        <v>86</v>
      </c>
      <c r="S22">
        <v>86</v>
      </c>
      <c r="T22">
        <v>85</v>
      </c>
      <c r="U22">
        <v>84</v>
      </c>
      <c r="V22">
        <v>83</v>
      </c>
      <c r="W22">
        <v>82</v>
      </c>
      <c r="X22">
        <v>82</v>
      </c>
      <c r="Y22">
        <v>81</v>
      </c>
      <c r="Z22" s="2">
        <f>AVERAGE(Sheet1__4[[#This Row],[00:00:00]:[23:00:00]])</f>
        <v>87.666666666666671</v>
      </c>
      <c r="AA22" t="str" cm="1">
        <f t="array" ref="AA22">_xlfn.IFS(Sheet1__4[[#This Row],[AVERAGE AQI]]&lt;50,"GOOD",Sheet1__4[[#This Row],[AVERAGE AQI]]&lt;=100,"MODERATE",Sheet1__4[[#This Row],[AVERAGE AQI]]&lt;=150,"BAD",Sheet1__4[[#This Row],[AVERAGE AQI]]&lt;=200,"VERY BAD")</f>
        <v>MODERATE</v>
      </c>
    </row>
    <row r="23" spans="1:27" x14ac:dyDescent="0.3">
      <c r="A23" s="1">
        <v>45738</v>
      </c>
      <c r="B23">
        <v>80</v>
      </c>
      <c r="C23">
        <v>83</v>
      </c>
      <c r="D23">
        <v>82</v>
      </c>
      <c r="E23">
        <v>80</v>
      </c>
      <c r="F23">
        <v>78</v>
      </c>
      <c r="G23">
        <v>78</v>
      </c>
      <c r="H23">
        <v>77</v>
      </c>
      <c r="I23">
        <v>76</v>
      </c>
      <c r="J23">
        <v>76</v>
      </c>
      <c r="K23">
        <v>75</v>
      </c>
      <c r="L23">
        <v>75</v>
      </c>
      <c r="M23">
        <v>75</v>
      </c>
      <c r="N23">
        <v>75</v>
      </c>
      <c r="O23">
        <v>75</v>
      </c>
      <c r="P23">
        <v>74</v>
      </c>
      <c r="Q23">
        <v>74</v>
      </c>
      <c r="R23">
        <v>73</v>
      </c>
      <c r="S23">
        <v>73</v>
      </c>
      <c r="T23">
        <v>73</v>
      </c>
      <c r="U23">
        <v>74</v>
      </c>
      <c r="V23">
        <v>74</v>
      </c>
      <c r="W23">
        <v>74</v>
      </c>
      <c r="X23">
        <v>73</v>
      </c>
      <c r="Y23">
        <v>73</v>
      </c>
      <c r="Z23" s="2">
        <f>AVERAGE(Sheet1__4[[#This Row],[00:00:00]:[23:00:00]])</f>
        <v>75.833333333333329</v>
      </c>
      <c r="AA23" t="str" cm="1">
        <f t="array" ref="AA23">_xlfn.IFS(Sheet1__4[[#This Row],[AVERAGE AQI]]&lt;50,"GOOD",Sheet1__4[[#This Row],[AVERAGE AQI]]&lt;=100,"MODERATE",Sheet1__4[[#This Row],[AVERAGE AQI]]&lt;=150,"BAD",Sheet1__4[[#This Row],[AVERAGE AQI]]&lt;=200,"VERY BAD")</f>
        <v>MODERATE</v>
      </c>
    </row>
    <row r="24" spans="1:27" x14ac:dyDescent="0.3">
      <c r="A24" s="1">
        <v>45739</v>
      </c>
      <c r="B24">
        <v>72</v>
      </c>
      <c r="C24">
        <v>72</v>
      </c>
      <c r="D24">
        <v>72</v>
      </c>
      <c r="E24">
        <v>72</v>
      </c>
      <c r="F24">
        <v>74</v>
      </c>
      <c r="G24">
        <v>74</v>
      </c>
      <c r="H24">
        <v>75</v>
      </c>
      <c r="I24">
        <v>74</v>
      </c>
      <c r="J24">
        <v>71</v>
      </c>
      <c r="K24">
        <v>75</v>
      </c>
      <c r="L24">
        <v>77</v>
      </c>
      <c r="M24">
        <v>77</v>
      </c>
      <c r="N24">
        <v>77</v>
      </c>
      <c r="O24">
        <v>81</v>
      </c>
      <c r="P24">
        <v>85</v>
      </c>
      <c r="Q24">
        <v>85</v>
      </c>
      <c r="R24">
        <v>82</v>
      </c>
      <c r="S24">
        <v>83</v>
      </c>
      <c r="T24">
        <v>86</v>
      </c>
      <c r="U24">
        <v>87</v>
      </c>
      <c r="V24">
        <v>88</v>
      </c>
      <c r="W24">
        <v>88</v>
      </c>
      <c r="X24">
        <v>89</v>
      </c>
      <c r="Y24">
        <v>87</v>
      </c>
      <c r="Z24" s="2">
        <f>AVERAGE(Sheet1__4[[#This Row],[00:00:00]:[23:00:00]])</f>
        <v>79.291666666666671</v>
      </c>
      <c r="AA24" t="str" cm="1">
        <f t="array" ref="AA24">_xlfn.IFS(Sheet1__4[[#This Row],[AVERAGE AQI]]&lt;50,"GOOD",Sheet1__4[[#This Row],[AVERAGE AQI]]&lt;=100,"MODERATE",Sheet1__4[[#This Row],[AVERAGE AQI]]&lt;=150,"BAD",Sheet1__4[[#This Row],[AVERAGE AQI]]&lt;=200,"VERY BAD")</f>
        <v>MODERATE</v>
      </c>
    </row>
    <row r="25" spans="1:27" x14ac:dyDescent="0.3">
      <c r="A25" s="1">
        <v>45740</v>
      </c>
      <c r="B25">
        <v>88</v>
      </c>
      <c r="C25">
        <v>88</v>
      </c>
      <c r="D25">
        <v>89</v>
      </c>
      <c r="E25">
        <v>90</v>
      </c>
      <c r="F25">
        <v>90</v>
      </c>
      <c r="G25">
        <v>92</v>
      </c>
      <c r="H25">
        <v>92</v>
      </c>
      <c r="I25">
        <v>92</v>
      </c>
      <c r="J25">
        <v>92</v>
      </c>
      <c r="K25">
        <v>93</v>
      </c>
      <c r="L25">
        <v>93</v>
      </c>
      <c r="N25">
        <v>94</v>
      </c>
      <c r="O25">
        <v>94</v>
      </c>
      <c r="P25">
        <v>94</v>
      </c>
      <c r="Q25">
        <v>93</v>
      </c>
      <c r="R25">
        <v>93</v>
      </c>
      <c r="S25">
        <v>92</v>
      </c>
      <c r="T25">
        <v>92</v>
      </c>
      <c r="U25">
        <v>92</v>
      </c>
      <c r="V25">
        <v>92</v>
      </c>
      <c r="W25">
        <v>92</v>
      </c>
      <c r="X25">
        <v>88</v>
      </c>
      <c r="Y25">
        <v>88</v>
      </c>
      <c r="Z25" s="2">
        <f>AVERAGE(Sheet1__4[[#This Row],[00:00:00]:[23:00:00]])</f>
        <v>91.434782608695656</v>
      </c>
      <c r="AA25" t="str" cm="1">
        <f t="array" ref="AA25">_xlfn.IFS(Sheet1__4[[#This Row],[AVERAGE AQI]]&lt;50,"GOOD",Sheet1__4[[#This Row],[AVERAGE AQI]]&lt;=100,"MODERATE",Sheet1__4[[#This Row],[AVERAGE AQI]]&lt;=150,"BAD",Sheet1__4[[#This Row],[AVERAGE AQI]]&lt;=200,"VERY BAD")</f>
        <v>MODERATE</v>
      </c>
    </row>
    <row r="26" spans="1:27" x14ac:dyDescent="0.3">
      <c r="A26" s="1">
        <v>45741</v>
      </c>
      <c r="B26">
        <v>87</v>
      </c>
      <c r="C26">
        <v>87</v>
      </c>
      <c r="D26">
        <v>87</v>
      </c>
      <c r="E26">
        <v>87</v>
      </c>
      <c r="F26">
        <v>88</v>
      </c>
      <c r="H26">
        <v>90</v>
      </c>
      <c r="I26">
        <v>92</v>
      </c>
      <c r="J26">
        <v>94</v>
      </c>
      <c r="K26">
        <v>95</v>
      </c>
      <c r="L26">
        <v>95</v>
      </c>
      <c r="M26">
        <v>95</v>
      </c>
      <c r="N26">
        <v>96</v>
      </c>
      <c r="O26">
        <v>96</v>
      </c>
      <c r="P26">
        <v>96</v>
      </c>
      <c r="Q26">
        <v>96</v>
      </c>
      <c r="R26">
        <v>95</v>
      </c>
      <c r="S26">
        <v>95</v>
      </c>
      <c r="T26">
        <v>97</v>
      </c>
      <c r="U26">
        <v>96</v>
      </c>
      <c r="V26">
        <v>95</v>
      </c>
      <c r="W26">
        <v>95</v>
      </c>
      <c r="X26">
        <v>95</v>
      </c>
      <c r="Y26">
        <v>94</v>
      </c>
      <c r="Z26" s="2">
        <f>AVERAGE(Sheet1__4[[#This Row],[00:00:00]:[23:00:00]])</f>
        <v>93.173913043478265</v>
      </c>
      <c r="AA26" t="str" cm="1">
        <f t="array" ref="AA26">_xlfn.IFS(Sheet1__4[[#This Row],[AVERAGE AQI]]&lt;50,"GOOD",Sheet1__4[[#This Row],[AVERAGE AQI]]&lt;=100,"MODERATE",Sheet1__4[[#This Row],[AVERAGE AQI]]&lt;=150,"BAD",Sheet1__4[[#This Row],[AVERAGE AQI]]&lt;=200,"VERY BAD")</f>
        <v>MODERATE</v>
      </c>
    </row>
    <row r="27" spans="1:27" x14ac:dyDescent="0.3">
      <c r="A27" s="1">
        <v>45742</v>
      </c>
      <c r="B27">
        <v>93</v>
      </c>
      <c r="C27">
        <v>92</v>
      </c>
      <c r="D27">
        <v>89</v>
      </c>
      <c r="E27">
        <v>87</v>
      </c>
      <c r="F27">
        <v>87</v>
      </c>
      <c r="G27">
        <v>86</v>
      </c>
      <c r="H27">
        <v>84</v>
      </c>
      <c r="I27">
        <v>84</v>
      </c>
      <c r="J27">
        <v>82</v>
      </c>
      <c r="K27">
        <v>81</v>
      </c>
      <c r="L27">
        <v>80</v>
      </c>
      <c r="M27">
        <v>80</v>
      </c>
      <c r="N27">
        <v>78</v>
      </c>
      <c r="O27">
        <v>76</v>
      </c>
      <c r="P27">
        <v>75</v>
      </c>
      <c r="Q27">
        <v>74</v>
      </c>
      <c r="R27">
        <v>73</v>
      </c>
      <c r="S27">
        <v>73</v>
      </c>
      <c r="T27">
        <v>72</v>
      </c>
      <c r="U27">
        <v>71</v>
      </c>
      <c r="V27">
        <v>71</v>
      </c>
      <c r="W27">
        <v>70</v>
      </c>
      <c r="X27">
        <v>70</v>
      </c>
      <c r="Y27">
        <v>69</v>
      </c>
      <c r="Z27" s="2">
        <f>AVERAGE(Sheet1__4[[#This Row],[00:00:00]:[23:00:00]])</f>
        <v>79.041666666666671</v>
      </c>
      <c r="AA27" t="str" cm="1">
        <f t="array" ref="AA27">_xlfn.IFS(Sheet1__4[[#This Row],[AVERAGE AQI]]&lt;50,"GOOD",Sheet1__4[[#This Row],[AVERAGE AQI]]&lt;=100,"MODERATE",Sheet1__4[[#This Row],[AVERAGE AQI]]&lt;=150,"BAD",Sheet1__4[[#This Row],[AVERAGE AQI]]&lt;=200,"VERY BAD")</f>
        <v>MODERATE</v>
      </c>
    </row>
    <row r="28" spans="1:27" x14ac:dyDescent="0.3">
      <c r="A28" s="1">
        <v>45743</v>
      </c>
      <c r="B28">
        <v>68</v>
      </c>
      <c r="C28">
        <v>68</v>
      </c>
      <c r="D28">
        <v>67</v>
      </c>
      <c r="E28">
        <v>65</v>
      </c>
      <c r="F28">
        <v>64</v>
      </c>
      <c r="G28">
        <v>64</v>
      </c>
      <c r="H28">
        <v>63</v>
      </c>
      <c r="I28">
        <v>63</v>
      </c>
      <c r="J28">
        <v>62</v>
      </c>
      <c r="K28">
        <v>61</v>
      </c>
      <c r="L28">
        <v>60</v>
      </c>
      <c r="M28">
        <v>60</v>
      </c>
      <c r="N28">
        <v>59</v>
      </c>
      <c r="O28">
        <v>60</v>
      </c>
      <c r="P28">
        <v>59</v>
      </c>
      <c r="Q28">
        <v>59</v>
      </c>
      <c r="R28">
        <v>58</v>
      </c>
      <c r="S28">
        <v>58</v>
      </c>
      <c r="T28">
        <v>58</v>
      </c>
      <c r="U28">
        <v>58</v>
      </c>
      <c r="V28">
        <v>58</v>
      </c>
      <c r="W28">
        <v>58</v>
      </c>
      <c r="X28">
        <v>58</v>
      </c>
      <c r="Y28">
        <v>58</v>
      </c>
      <c r="Z28" s="2">
        <f>AVERAGE(Sheet1__4[[#This Row],[00:00:00]:[23:00:00]])</f>
        <v>61.083333333333336</v>
      </c>
      <c r="AA28" t="str" cm="1">
        <f t="array" ref="AA28">_xlfn.IFS(Sheet1__4[[#This Row],[AVERAGE AQI]]&lt;50,"GOOD",Sheet1__4[[#This Row],[AVERAGE AQI]]&lt;=100,"MODERATE",Sheet1__4[[#This Row],[AVERAGE AQI]]&lt;=150,"BAD",Sheet1__4[[#This Row],[AVERAGE AQI]]&lt;=200,"VERY BAD")</f>
        <v>MODERATE</v>
      </c>
    </row>
    <row r="29" spans="1:27" x14ac:dyDescent="0.3">
      <c r="A29" s="1">
        <v>45744</v>
      </c>
      <c r="B29">
        <v>59</v>
      </c>
      <c r="C29">
        <v>59</v>
      </c>
      <c r="D29">
        <v>60</v>
      </c>
      <c r="E29">
        <v>61</v>
      </c>
      <c r="F29">
        <v>62</v>
      </c>
      <c r="G29">
        <v>63</v>
      </c>
      <c r="H29">
        <v>63</v>
      </c>
      <c r="I29">
        <v>63</v>
      </c>
      <c r="J29">
        <v>63</v>
      </c>
      <c r="K29">
        <v>64</v>
      </c>
      <c r="L29">
        <v>65</v>
      </c>
      <c r="M29">
        <v>66</v>
      </c>
      <c r="N29">
        <v>67</v>
      </c>
      <c r="O29">
        <v>68</v>
      </c>
      <c r="P29">
        <v>70</v>
      </c>
      <c r="Q29">
        <v>71</v>
      </c>
      <c r="R29">
        <v>73</v>
      </c>
      <c r="S29">
        <v>74</v>
      </c>
      <c r="T29">
        <v>77</v>
      </c>
      <c r="U29">
        <v>79</v>
      </c>
      <c r="V29">
        <v>81</v>
      </c>
      <c r="W29">
        <v>82</v>
      </c>
      <c r="X29">
        <v>84</v>
      </c>
      <c r="Y29">
        <v>86</v>
      </c>
      <c r="Z29" s="2">
        <f>AVERAGE(Sheet1__4[[#This Row],[00:00:00]:[23:00:00]])</f>
        <v>69.166666666666671</v>
      </c>
      <c r="AA29" t="str" cm="1">
        <f t="array" ref="AA29">_xlfn.IFS(Sheet1__4[[#This Row],[AVERAGE AQI]]&lt;50,"GOOD",Sheet1__4[[#This Row],[AVERAGE AQI]]&lt;=100,"MODERATE",Sheet1__4[[#This Row],[AVERAGE AQI]]&lt;=150,"BAD",Sheet1__4[[#This Row],[AVERAGE AQI]]&lt;=200,"VERY BAD")</f>
        <v>MODERATE</v>
      </c>
    </row>
    <row r="30" spans="1:27" x14ac:dyDescent="0.3">
      <c r="A30" s="1">
        <v>45745</v>
      </c>
      <c r="B30">
        <v>88</v>
      </c>
      <c r="C30">
        <v>92</v>
      </c>
      <c r="D30">
        <v>96</v>
      </c>
      <c r="E30">
        <v>98</v>
      </c>
      <c r="F30">
        <v>101</v>
      </c>
      <c r="G30">
        <v>104</v>
      </c>
      <c r="H30">
        <v>104</v>
      </c>
      <c r="I30">
        <v>107</v>
      </c>
      <c r="J30">
        <v>109</v>
      </c>
      <c r="K30">
        <v>111</v>
      </c>
      <c r="L30">
        <v>113</v>
      </c>
      <c r="M30">
        <v>114</v>
      </c>
      <c r="N30">
        <v>119</v>
      </c>
      <c r="O30">
        <v>122</v>
      </c>
      <c r="P30">
        <v>134</v>
      </c>
      <c r="Q30">
        <v>135</v>
      </c>
      <c r="R30">
        <v>132</v>
      </c>
      <c r="S30">
        <v>130</v>
      </c>
      <c r="T30">
        <v>130</v>
      </c>
      <c r="U30">
        <v>134</v>
      </c>
      <c r="V30">
        <v>137</v>
      </c>
      <c r="W30">
        <v>132</v>
      </c>
      <c r="X30">
        <v>130</v>
      </c>
      <c r="Y30">
        <v>131</v>
      </c>
      <c r="Z30" s="2">
        <f>AVERAGE(Sheet1__4[[#This Row],[00:00:00]:[23:00:00]])</f>
        <v>116.79166666666667</v>
      </c>
      <c r="AA30" t="str" cm="1">
        <f t="array" ref="AA30">_xlfn.IFS(Sheet1__4[[#This Row],[AVERAGE AQI]]&lt;50,"GOOD",Sheet1__4[[#This Row],[AVERAGE AQI]]&lt;=100,"MODERATE",Sheet1__4[[#This Row],[AVERAGE AQI]]&lt;=150,"BAD",Sheet1__4[[#This Row],[AVERAGE AQI]]&lt;=200,"VERY BAD")</f>
        <v>BAD</v>
      </c>
    </row>
    <row r="31" spans="1:27" x14ac:dyDescent="0.3">
      <c r="A31" s="1">
        <v>45746</v>
      </c>
      <c r="B31">
        <v>128</v>
      </c>
      <c r="C31">
        <v>128</v>
      </c>
      <c r="D31">
        <v>128</v>
      </c>
      <c r="E31">
        <v>127</v>
      </c>
      <c r="F31">
        <v>126</v>
      </c>
      <c r="G31">
        <v>125</v>
      </c>
      <c r="H31">
        <v>124</v>
      </c>
      <c r="I31">
        <v>122</v>
      </c>
      <c r="J31">
        <v>122</v>
      </c>
      <c r="K31">
        <v>121</v>
      </c>
      <c r="L31">
        <v>120</v>
      </c>
      <c r="M31">
        <v>120</v>
      </c>
      <c r="N31">
        <v>122</v>
      </c>
      <c r="O31">
        <v>123</v>
      </c>
      <c r="P31">
        <v>127</v>
      </c>
      <c r="Q31">
        <v>129</v>
      </c>
      <c r="R31">
        <v>129</v>
      </c>
      <c r="S31">
        <v>133</v>
      </c>
      <c r="T31">
        <v>132</v>
      </c>
      <c r="U31">
        <v>130</v>
      </c>
      <c r="V31">
        <v>130</v>
      </c>
      <c r="W31">
        <v>129</v>
      </c>
      <c r="X31">
        <v>127</v>
      </c>
      <c r="Y31">
        <v>125</v>
      </c>
      <c r="Z31" s="2">
        <f>AVERAGE(Sheet1__4[[#This Row],[00:00:00]:[23:00:00]])</f>
        <v>126.125</v>
      </c>
      <c r="AA31" t="str" cm="1">
        <f t="array" ref="AA31">_xlfn.IFS(Sheet1__4[[#This Row],[AVERAGE AQI]]&lt;50,"GOOD",Sheet1__4[[#This Row],[AVERAGE AQI]]&lt;=100,"MODERATE",Sheet1__4[[#This Row],[AVERAGE AQI]]&lt;=150,"BAD",Sheet1__4[[#This Row],[AVERAGE AQI]]&lt;=200,"VERY BAD")</f>
        <v>BAD</v>
      </c>
    </row>
    <row r="32" spans="1:27" x14ac:dyDescent="0.3">
      <c r="A32" s="1">
        <v>45747</v>
      </c>
      <c r="B32">
        <v>124</v>
      </c>
      <c r="C32">
        <v>121</v>
      </c>
      <c r="D32">
        <v>121</v>
      </c>
      <c r="E32">
        <v>119</v>
      </c>
      <c r="F32">
        <v>118</v>
      </c>
      <c r="G32">
        <v>117</v>
      </c>
      <c r="H32">
        <v>116</v>
      </c>
      <c r="I32">
        <v>116</v>
      </c>
      <c r="J32">
        <v>116</v>
      </c>
      <c r="K32">
        <v>115</v>
      </c>
      <c r="L32">
        <v>114</v>
      </c>
      <c r="M32">
        <v>113</v>
      </c>
      <c r="N32">
        <v>111</v>
      </c>
      <c r="O32">
        <v>110</v>
      </c>
      <c r="P32">
        <v>110</v>
      </c>
      <c r="Q32">
        <v>108</v>
      </c>
      <c r="R32">
        <v>109</v>
      </c>
      <c r="S32">
        <v>134</v>
      </c>
      <c r="T32">
        <v>133</v>
      </c>
      <c r="U32">
        <v>106</v>
      </c>
      <c r="V32">
        <v>105</v>
      </c>
      <c r="W32">
        <v>104</v>
      </c>
      <c r="X32">
        <v>101</v>
      </c>
      <c r="Y32">
        <v>100</v>
      </c>
      <c r="Z32" s="2">
        <f>AVERAGE(Sheet1__4[[#This Row],[00:00:00]:[23:00:00]])</f>
        <v>114.20833333333333</v>
      </c>
      <c r="AA32" t="str" cm="1">
        <f t="array" ref="AA32">_xlfn.IFS(Sheet1__4[[#This Row],[AVERAGE AQI]]&lt;50,"GOOD",Sheet1__4[[#This Row],[AVERAGE AQI]]&lt;=100,"MODERATE",Sheet1__4[[#This Row],[AVERAGE AQI]]&lt;=150,"BAD",Sheet1__4[[#This Row],[AVERAGE AQI]]&lt;=200,"VERY BAD")</f>
        <v>BAD</v>
      </c>
    </row>
    <row r="33" spans="26:26" x14ac:dyDescent="0.3">
      <c r="Z33" s="2">
        <f>AVERAGE(Sheet1__4[AVERAGE AQI])</f>
        <v>103.17843406009605</v>
      </c>
    </row>
  </sheetData>
  <conditionalFormatting sqref="AA1:AA1048576">
    <cfRule type="containsText" dxfId="26" priority="1" operator="containsText" text="VERY BAD">
      <formula>NOT(ISERROR(SEARCH("VERY BAD",AA1)))</formula>
    </cfRule>
    <cfRule type="containsText" dxfId="25" priority="2" operator="containsText" text="BAD">
      <formula>NOT(ISERROR(SEARCH("BAD",AA1)))</formula>
    </cfRule>
    <cfRule type="containsText" dxfId="24" priority="3" operator="containsText" text="MODERATE">
      <formula>NOT(ISERROR(SEARCH("MODERATE",AA1)))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6E8CE-3B7D-4974-ABFC-653D15D7F2E5}">
  <dimension ref="A1:AD32"/>
  <sheetViews>
    <sheetView topLeftCell="Q1" workbookViewId="0">
      <selection activeCell="Z1" sqref="Z1"/>
    </sheetView>
  </sheetViews>
  <sheetFormatPr defaultRowHeight="14.4" x14ac:dyDescent="0.3"/>
  <cols>
    <col min="1" max="25" width="10.33203125" bestFit="1" customWidth="1"/>
    <col min="26" max="26" width="11.21875" bestFit="1" customWidth="1"/>
    <col min="27" max="27" width="15.554687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28</v>
      </c>
      <c r="AA1" t="s">
        <v>26</v>
      </c>
      <c r="AC1" t="s">
        <v>27</v>
      </c>
      <c r="AD1" s="2">
        <f>AVERAGE(Sheet1__5[AVERAGE AQI])</f>
        <v>76.40022507685552</v>
      </c>
    </row>
    <row r="2" spans="1:30" x14ac:dyDescent="0.3">
      <c r="A2" s="1">
        <v>45748</v>
      </c>
      <c r="B2">
        <v>98</v>
      </c>
      <c r="C2">
        <v>96</v>
      </c>
      <c r="D2">
        <v>95</v>
      </c>
      <c r="E2">
        <v>94</v>
      </c>
      <c r="F2">
        <v>93</v>
      </c>
      <c r="G2">
        <v>93</v>
      </c>
      <c r="H2">
        <v>94</v>
      </c>
      <c r="I2">
        <v>92</v>
      </c>
      <c r="J2">
        <v>92</v>
      </c>
      <c r="K2">
        <v>92</v>
      </c>
      <c r="L2">
        <v>91</v>
      </c>
      <c r="M2">
        <v>91</v>
      </c>
      <c r="N2">
        <v>91</v>
      </c>
      <c r="O2">
        <v>92</v>
      </c>
      <c r="P2">
        <v>93</v>
      </c>
      <c r="Q2">
        <v>96</v>
      </c>
      <c r="R2">
        <v>96</v>
      </c>
      <c r="S2">
        <v>97</v>
      </c>
      <c r="T2">
        <v>96</v>
      </c>
      <c r="U2">
        <v>96</v>
      </c>
      <c r="V2">
        <v>96</v>
      </c>
      <c r="W2">
        <v>97</v>
      </c>
      <c r="X2">
        <v>97</v>
      </c>
      <c r="Y2">
        <v>97</v>
      </c>
      <c r="Z2" s="2">
        <f>AVERAGE(Sheet1__5[[#This Row],[00:00:00]:[23:00:00]])</f>
        <v>94.375</v>
      </c>
      <c r="AA2" t="str" cm="1">
        <f t="array" ref="AA2">_xlfn.IFS(Sheet1__5[[#This Row],[AVERAGE AQI]]&lt;50,"GOOD",Sheet1__5[[#This Row],[AVERAGE AQI]]&lt;=100,"MODERATE",Sheet1__5[[#This Row],[AVERAGE AQI]]&lt;=150,"BAD",Sheet1__5[[#This Row],[AVERAGE AQI]]&lt;=200,"VERY BAD")</f>
        <v>MODERATE</v>
      </c>
    </row>
    <row r="3" spans="1:30" x14ac:dyDescent="0.3">
      <c r="A3" s="1">
        <v>45749</v>
      </c>
      <c r="B3">
        <v>97</v>
      </c>
      <c r="C3">
        <v>97</v>
      </c>
      <c r="D3">
        <v>94</v>
      </c>
      <c r="E3">
        <v>95</v>
      </c>
      <c r="F3">
        <v>96</v>
      </c>
      <c r="G3">
        <v>97</v>
      </c>
      <c r="H3">
        <v>98</v>
      </c>
      <c r="I3">
        <v>99</v>
      </c>
      <c r="J3">
        <v>100</v>
      </c>
      <c r="K3">
        <v>101</v>
      </c>
      <c r="L3">
        <v>103</v>
      </c>
      <c r="M3">
        <v>105</v>
      </c>
      <c r="N3">
        <v>106</v>
      </c>
      <c r="O3">
        <v>107</v>
      </c>
      <c r="P3">
        <v>110</v>
      </c>
      <c r="Q3">
        <v>110</v>
      </c>
      <c r="R3">
        <v>110</v>
      </c>
      <c r="S3">
        <v>108</v>
      </c>
      <c r="T3">
        <v>107</v>
      </c>
      <c r="V3">
        <v>106</v>
      </c>
      <c r="W3">
        <v>106</v>
      </c>
      <c r="X3">
        <v>107</v>
      </c>
      <c r="Y3">
        <v>103</v>
      </c>
      <c r="Z3" s="2">
        <f>AVERAGE(Sheet1__5[[#This Row],[00:00:00]:[23:00:00]])</f>
        <v>102.69565217391305</v>
      </c>
      <c r="AA3" t="str" cm="1">
        <f t="array" ref="AA3">_xlfn.IFS(Sheet1__5[[#This Row],[AVERAGE AQI]]&lt;50,"GOOD",Sheet1__5[[#This Row],[AVERAGE AQI]]&lt;=100,"MODERATE",Sheet1__5[[#This Row],[AVERAGE AQI]]&lt;=150,"BAD",Sheet1__5[[#This Row],[AVERAGE AQI]]&lt;=200,"VERY BAD")</f>
        <v>BAD</v>
      </c>
    </row>
    <row r="4" spans="1:30" x14ac:dyDescent="0.3">
      <c r="A4" s="1">
        <v>45750</v>
      </c>
      <c r="B4">
        <v>103</v>
      </c>
      <c r="C4">
        <v>102</v>
      </c>
      <c r="D4">
        <v>104</v>
      </c>
      <c r="E4">
        <v>104</v>
      </c>
      <c r="F4">
        <v>106</v>
      </c>
      <c r="G4">
        <v>107</v>
      </c>
      <c r="H4">
        <v>108</v>
      </c>
      <c r="I4">
        <v>107</v>
      </c>
      <c r="J4">
        <v>108</v>
      </c>
      <c r="K4">
        <v>107</v>
      </c>
      <c r="L4">
        <v>107</v>
      </c>
      <c r="M4">
        <v>106</v>
      </c>
      <c r="N4">
        <v>104</v>
      </c>
      <c r="P4">
        <v>102</v>
      </c>
      <c r="Q4">
        <v>102</v>
      </c>
      <c r="R4">
        <v>99</v>
      </c>
      <c r="S4">
        <v>98</v>
      </c>
      <c r="T4">
        <v>97</v>
      </c>
      <c r="U4">
        <v>96</v>
      </c>
      <c r="V4">
        <v>96</v>
      </c>
      <c r="W4">
        <v>93</v>
      </c>
      <c r="X4">
        <v>92</v>
      </c>
      <c r="Y4">
        <v>90</v>
      </c>
      <c r="Z4" s="2">
        <f>AVERAGE(Sheet1__5[[#This Row],[00:00:00]:[23:00:00]])</f>
        <v>101.65217391304348</v>
      </c>
      <c r="AA4" t="str" cm="1">
        <f t="array" ref="AA4">_xlfn.IFS(Sheet1__5[[#This Row],[AVERAGE AQI]]&lt;50,"GOOD",Sheet1__5[[#This Row],[AVERAGE AQI]]&lt;=100,"MODERATE",Sheet1__5[[#This Row],[AVERAGE AQI]]&lt;=150,"BAD",Sheet1__5[[#This Row],[AVERAGE AQI]]&lt;=200,"VERY BAD")</f>
        <v>BAD</v>
      </c>
    </row>
    <row r="5" spans="1:30" x14ac:dyDescent="0.3">
      <c r="A5" s="1">
        <v>45751</v>
      </c>
      <c r="B5">
        <v>88</v>
      </c>
      <c r="C5">
        <v>87</v>
      </c>
      <c r="D5">
        <v>85</v>
      </c>
      <c r="E5">
        <v>82</v>
      </c>
      <c r="F5">
        <v>82</v>
      </c>
      <c r="G5">
        <v>81</v>
      </c>
      <c r="H5">
        <v>80</v>
      </c>
      <c r="I5">
        <v>79</v>
      </c>
      <c r="J5">
        <v>77</v>
      </c>
      <c r="K5">
        <v>75</v>
      </c>
      <c r="L5">
        <v>74</v>
      </c>
      <c r="M5">
        <v>72</v>
      </c>
      <c r="N5">
        <v>71</v>
      </c>
      <c r="O5">
        <v>72</v>
      </c>
      <c r="P5">
        <v>71</v>
      </c>
      <c r="Q5">
        <v>71</v>
      </c>
      <c r="R5">
        <v>71</v>
      </c>
      <c r="S5">
        <v>71</v>
      </c>
      <c r="T5">
        <v>73</v>
      </c>
      <c r="U5">
        <v>75</v>
      </c>
      <c r="V5">
        <v>75</v>
      </c>
      <c r="W5">
        <v>81</v>
      </c>
      <c r="Y5">
        <v>81</v>
      </c>
      <c r="Z5" s="2">
        <f>AVERAGE(Sheet1__5[[#This Row],[00:00:00]:[23:00:00]])</f>
        <v>77.130434782608702</v>
      </c>
      <c r="AA5" t="str" cm="1">
        <f t="array" ref="AA5">_xlfn.IFS(Sheet1__5[[#This Row],[AVERAGE AQI]]&lt;50,"GOOD",Sheet1__5[[#This Row],[AVERAGE AQI]]&lt;=100,"MODERATE",Sheet1__5[[#This Row],[AVERAGE AQI]]&lt;=150,"BAD",Sheet1__5[[#This Row],[AVERAGE AQI]]&lt;=200,"VERY BAD")</f>
        <v>MODERATE</v>
      </c>
    </row>
    <row r="6" spans="1:30" x14ac:dyDescent="0.3">
      <c r="A6" s="1">
        <v>45752</v>
      </c>
      <c r="B6">
        <v>84</v>
      </c>
      <c r="C6">
        <v>90</v>
      </c>
      <c r="D6">
        <v>92</v>
      </c>
      <c r="E6">
        <v>94</v>
      </c>
      <c r="F6">
        <v>96</v>
      </c>
      <c r="G6">
        <v>97</v>
      </c>
      <c r="H6">
        <v>98</v>
      </c>
      <c r="I6">
        <v>100</v>
      </c>
      <c r="J6">
        <v>101</v>
      </c>
      <c r="K6">
        <v>104</v>
      </c>
      <c r="L6">
        <v>105</v>
      </c>
      <c r="M6">
        <v>105</v>
      </c>
      <c r="N6">
        <v>106</v>
      </c>
      <c r="O6">
        <v>109</v>
      </c>
      <c r="P6">
        <v>111</v>
      </c>
      <c r="Q6">
        <v>110</v>
      </c>
      <c r="R6">
        <v>110</v>
      </c>
      <c r="S6">
        <v>111</v>
      </c>
      <c r="T6">
        <v>109</v>
      </c>
      <c r="U6">
        <v>106</v>
      </c>
      <c r="V6">
        <v>103</v>
      </c>
      <c r="W6">
        <v>99</v>
      </c>
      <c r="X6">
        <v>99</v>
      </c>
      <c r="Y6">
        <v>96</v>
      </c>
      <c r="Z6" s="2">
        <f>AVERAGE(Sheet1__5[[#This Row],[00:00:00]:[23:00:00]])</f>
        <v>101.45833333333333</v>
      </c>
      <c r="AA6" t="str" cm="1">
        <f t="array" ref="AA6">_xlfn.IFS(Sheet1__5[[#This Row],[AVERAGE AQI]]&lt;50,"GOOD",Sheet1__5[[#This Row],[AVERAGE AQI]]&lt;=100,"MODERATE",Sheet1__5[[#This Row],[AVERAGE AQI]]&lt;=150,"BAD",Sheet1__5[[#This Row],[AVERAGE AQI]]&lt;=200,"VERY BAD")</f>
        <v>BAD</v>
      </c>
    </row>
    <row r="7" spans="1:30" x14ac:dyDescent="0.3">
      <c r="A7" s="1">
        <v>45753</v>
      </c>
      <c r="B7">
        <v>95</v>
      </c>
      <c r="C7">
        <v>94</v>
      </c>
      <c r="D7">
        <v>93</v>
      </c>
      <c r="E7">
        <v>91</v>
      </c>
      <c r="F7">
        <v>89</v>
      </c>
      <c r="G7">
        <v>88</v>
      </c>
      <c r="H7">
        <v>87</v>
      </c>
      <c r="I7">
        <v>86</v>
      </c>
      <c r="J7">
        <v>84</v>
      </c>
      <c r="K7">
        <v>84</v>
      </c>
      <c r="L7">
        <v>82</v>
      </c>
      <c r="M7">
        <v>81</v>
      </c>
      <c r="N7">
        <v>81</v>
      </c>
      <c r="O7">
        <v>81</v>
      </c>
      <c r="P7">
        <v>80</v>
      </c>
      <c r="Q7">
        <v>81</v>
      </c>
      <c r="R7">
        <v>80</v>
      </c>
      <c r="S7">
        <v>79</v>
      </c>
      <c r="T7">
        <v>79</v>
      </c>
      <c r="U7">
        <v>79</v>
      </c>
      <c r="V7">
        <v>78</v>
      </c>
      <c r="W7">
        <v>78</v>
      </c>
      <c r="X7">
        <v>77</v>
      </c>
      <c r="Y7">
        <v>77</v>
      </c>
      <c r="Z7" s="2">
        <f>AVERAGE(Sheet1__5[[#This Row],[00:00:00]:[23:00:00]])</f>
        <v>83.5</v>
      </c>
      <c r="AA7" t="str" cm="1">
        <f t="array" ref="AA7">_xlfn.IFS(Sheet1__5[[#This Row],[AVERAGE AQI]]&lt;50,"GOOD",Sheet1__5[[#This Row],[AVERAGE AQI]]&lt;=100,"MODERATE",Sheet1__5[[#This Row],[AVERAGE AQI]]&lt;=150,"BAD",Sheet1__5[[#This Row],[AVERAGE AQI]]&lt;=200,"VERY BAD")</f>
        <v>MODERATE</v>
      </c>
    </row>
    <row r="8" spans="1:30" x14ac:dyDescent="0.3">
      <c r="A8" s="1">
        <v>45754</v>
      </c>
      <c r="B8">
        <v>77</v>
      </c>
      <c r="C8">
        <v>76</v>
      </c>
      <c r="D8">
        <v>76</v>
      </c>
      <c r="E8">
        <v>75</v>
      </c>
      <c r="F8">
        <v>75</v>
      </c>
      <c r="G8">
        <v>76</v>
      </c>
      <c r="H8">
        <v>76</v>
      </c>
      <c r="I8">
        <v>76</v>
      </c>
      <c r="J8">
        <v>76</v>
      </c>
      <c r="K8">
        <v>77</v>
      </c>
      <c r="L8">
        <v>77</v>
      </c>
      <c r="M8">
        <v>77</v>
      </c>
      <c r="N8">
        <v>77</v>
      </c>
      <c r="O8">
        <v>77</v>
      </c>
      <c r="P8">
        <v>77</v>
      </c>
      <c r="Q8">
        <v>77</v>
      </c>
      <c r="R8">
        <v>77</v>
      </c>
      <c r="S8">
        <v>78</v>
      </c>
      <c r="T8">
        <v>85</v>
      </c>
      <c r="U8">
        <v>86</v>
      </c>
      <c r="V8">
        <v>88</v>
      </c>
      <c r="W8">
        <v>90</v>
      </c>
      <c r="X8">
        <v>91</v>
      </c>
      <c r="Y8">
        <v>91</v>
      </c>
      <c r="Z8" s="2">
        <f>AVERAGE(Sheet1__5[[#This Row],[00:00:00]:[23:00:00]])</f>
        <v>79.5</v>
      </c>
      <c r="AA8" t="str" cm="1">
        <f t="array" ref="AA8">_xlfn.IFS(Sheet1__5[[#This Row],[AVERAGE AQI]]&lt;50,"GOOD",Sheet1__5[[#This Row],[AVERAGE AQI]]&lt;=100,"MODERATE",Sheet1__5[[#This Row],[AVERAGE AQI]]&lt;=150,"BAD",Sheet1__5[[#This Row],[AVERAGE AQI]]&lt;=200,"VERY BAD")</f>
        <v>MODERATE</v>
      </c>
    </row>
    <row r="9" spans="1:30" x14ac:dyDescent="0.3">
      <c r="A9" s="1">
        <v>45755</v>
      </c>
      <c r="B9">
        <v>92</v>
      </c>
      <c r="C9">
        <v>93</v>
      </c>
      <c r="D9">
        <v>93</v>
      </c>
      <c r="E9">
        <v>91</v>
      </c>
      <c r="F9">
        <v>90</v>
      </c>
      <c r="G9">
        <v>89</v>
      </c>
      <c r="H9">
        <v>90</v>
      </c>
      <c r="I9">
        <v>91</v>
      </c>
      <c r="J9">
        <v>92</v>
      </c>
      <c r="K9">
        <v>93</v>
      </c>
      <c r="L9">
        <v>94</v>
      </c>
      <c r="M9">
        <v>95</v>
      </c>
      <c r="N9">
        <v>96</v>
      </c>
      <c r="O9">
        <v>99</v>
      </c>
      <c r="P9">
        <v>100</v>
      </c>
      <c r="Q9">
        <v>101</v>
      </c>
      <c r="R9">
        <v>98</v>
      </c>
      <c r="S9">
        <v>100</v>
      </c>
      <c r="T9">
        <v>105</v>
      </c>
      <c r="U9">
        <v>105</v>
      </c>
      <c r="V9">
        <v>102</v>
      </c>
      <c r="W9">
        <v>101</v>
      </c>
      <c r="X9">
        <v>100</v>
      </c>
      <c r="Y9">
        <v>99</v>
      </c>
      <c r="Z9" s="2">
        <f>AVERAGE(Sheet1__5[[#This Row],[00:00:00]:[23:00:00]])</f>
        <v>96.208333333333329</v>
      </c>
      <c r="AA9" t="str" cm="1">
        <f t="array" ref="AA9">_xlfn.IFS(Sheet1__5[[#This Row],[AVERAGE AQI]]&lt;50,"GOOD",Sheet1__5[[#This Row],[AVERAGE AQI]]&lt;=100,"MODERATE",Sheet1__5[[#This Row],[AVERAGE AQI]]&lt;=150,"BAD",Sheet1__5[[#This Row],[AVERAGE AQI]]&lt;=200,"VERY BAD")</f>
        <v>MODERATE</v>
      </c>
    </row>
    <row r="10" spans="1:30" x14ac:dyDescent="0.3">
      <c r="A10" s="1">
        <v>45756</v>
      </c>
      <c r="B10">
        <v>97</v>
      </c>
      <c r="C10">
        <v>94</v>
      </c>
      <c r="D10">
        <v>90</v>
      </c>
      <c r="E10">
        <v>90</v>
      </c>
      <c r="F10">
        <v>89</v>
      </c>
      <c r="G10">
        <v>87</v>
      </c>
      <c r="H10">
        <v>86</v>
      </c>
      <c r="I10">
        <v>85</v>
      </c>
      <c r="J10">
        <v>84</v>
      </c>
      <c r="K10">
        <v>83</v>
      </c>
      <c r="L10">
        <v>82</v>
      </c>
      <c r="N10">
        <v>80</v>
      </c>
      <c r="O10">
        <v>79</v>
      </c>
      <c r="P10">
        <v>79</v>
      </c>
      <c r="Q10">
        <v>78</v>
      </c>
      <c r="R10">
        <v>78</v>
      </c>
      <c r="S10">
        <v>78</v>
      </c>
      <c r="T10">
        <v>77</v>
      </c>
      <c r="U10">
        <v>76</v>
      </c>
      <c r="V10">
        <v>75</v>
      </c>
      <c r="W10">
        <v>74</v>
      </c>
      <c r="X10">
        <v>74</v>
      </c>
      <c r="Y10">
        <v>73</v>
      </c>
      <c r="Z10" s="2">
        <f>AVERAGE(Sheet1__5[[#This Row],[00:00:00]:[23:00:00]])</f>
        <v>82.086956521739125</v>
      </c>
      <c r="AA10" t="str" cm="1">
        <f t="array" ref="AA10">_xlfn.IFS(Sheet1__5[[#This Row],[AVERAGE AQI]]&lt;50,"GOOD",Sheet1__5[[#This Row],[AVERAGE AQI]]&lt;=100,"MODERATE",Sheet1__5[[#This Row],[AVERAGE AQI]]&lt;=150,"BAD",Sheet1__5[[#This Row],[AVERAGE AQI]]&lt;=200,"VERY BAD")</f>
        <v>MODERATE</v>
      </c>
    </row>
    <row r="11" spans="1:30" x14ac:dyDescent="0.3">
      <c r="A11" s="1">
        <v>45757</v>
      </c>
      <c r="B11">
        <v>73</v>
      </c>
      <c r="C11">
        <v>73</v>
      </c>
      <c r="D11">
        <v>74</v>
      </c>
      <c r="E11">
        <v>74</v>
      </c>
      <c r="F11">
        <v>74</v>
      </c>
      <c r="G11">
        <v>73</v>
      </c>
      <c r="H11">
        <v>73</v>
      </c>
      <c r="I11">
        <v>72</v>
      </c>
      <c r="J11">
        <v>71</v>
      </c>
      <c r="K11">
        <v>70</v>
      </c>
      <c r="L11">
        <v>69</v>
      </c>
      <c r="M11">
        <v>69</v>
      </c>
      <c r="N11">
        <v>67</v>
      </c>
      <c r="O11">
        <v>66</v>
      </c>
      <c r="P11">
        <v>65</v>
      </c>
      <c r="Q11">
        <v>64</v>
      </c>
      <c r="R11">
        <v>63</v>
      </c>
      <c r="S11">
        <v>62</v>
      </c>
      <c r="T11">
        <v>62</v>
      </c>
      <c r="U11">
        <v>62</v>
      </c>
      <c r="V11">
        <v>61</v>
      </c>
      <c r="W11">
        <v>60</v>
      </c>
      <c r="X11">
        <v>59</v>
      </c>
      <c r="Y11">
        <v>59</v>
      </c>
      <c r="Z11" s="2">
        <f>AVERAGE(Sheet1__5[[#This Row],[00:00:00]:[23:00:00]])</f>
        <v>67.291666666666671</v>
      </c>
      <c r="AA11" t="str" cm="1">
        <f t="array" ref="AA11">_xlfn.IFS(Sheet1__5[[#This Row],[AVERAGE AQI]]&lt;50,"GOOD",Sheet1__5[[#This Row],[AVERAGE AQI]]&lt;=100,"MODERATE",Sheet1__5[[#This Row],[AVERAGE AQI]]&lt;=150,"BAD",Sheet1__5[[#This Row],[AVERAGE AQI]]&lt;=200,"VERY BAD")</f>
        <v>MODERATE</v>
      </c>
    </row>
    <row r="12" spans="1:30" x14ac:dyDescent="0.3">
      <c r="A12" s="1">
        <v>45758</v>
      </c>
      <c r="B12">
        <v>58</v>
      </c>
      <c r="C12">
        <v>58</v>
      </c>
      <c r="D12">
        <v>58</v>
      </c>
      <c r="E12">
        <v>58</v>
      </c>
      <c r="G12">
        <v>57</v>
      </c>
      <c r="H12">
        <v>57</v>
      </c>
      <c r="I12">
        <v>57</v>
      </c>
      <c r="J12">
        <v>57</v>
      </c>
      <c r="K12">
        <v>55</v>
      </c>
      <c r="L12">
        <v>55</v>
      </c>
      <c r="M12">
        <v>57</v>
      </c>
      <c r="N12">
        <v>57</v>
      </c>
      <c r="O12">
        <v>57</v>
      </c>
      <c r="P12">
        <v>57</v>
      </c>
      <c r="Q12">
        <v>57</v>
      </c>
      <c r="R12">
        <v>57</v>
      </c>
      <c r="S12">
        <v>57</v>
      </c>
      <c r="T12">
        <v>58</v>
      </c>
      <c r="U12">
        <v>57</v>
      </c>
      <c r="V12">
        <v>57</v>
      </c>
      <c r="W12">
        <v>57</v>
      </c>
      <c r="X12">
        <v>57</v>
      </c>
      <c r="Y12">
        <v>57</v>
      </c>
      <c r="Z12" s="2">
        <f>AVERAGE(Sheet1__5[[#This Row],[00:00:00]:[23:00:00]])</f>
        <v>57.043478260869563</v>
      </c>
      <c r="AA12" t="str" cm="1">
        <f t="array" ref="AA12">_xlfn.IFS(Sheet1__5[[#This Row],[AVERAGE AQI]]&lt;50,"GOOD",Sheet1__5[[#This Row],[AVERAGE AQI]]&lt;=100,"MODERATE",Sheet1__5[[#This Row],[AVERAGE AQI]]&lt;=150,"BAD",Sheet1__5[[#This Row],[AVERAGE AQI]]&lt;=200,"VERY BAD")</f>
        <v>MODERATE</v>
      </c>
    </row>
    <row r="13" spans="1:30" x14ac:dyDescent="0.3">
      <c r="A13" s="1">
        <v>45759</v>
      </c>
      <c r="B13">
        <v>57</v>
      </c>
      <c r="C13">
        <v>56</v>
      </c>
      <c r="D13">
        <v>56</v>
      </c>
      <c r="E13">
        <v>56</v>
      </c>
      <c r="F13">
        <v>61</v>
      </c>
      <c r="G13">
        <v>61</v>
      </c>
      <c r="H13">
        <v>60</v>
      </c>
      <c r="I13">
        <v>60</v>
      </c>
      <c r="J13">
        <v>60</v>
      </c>
      <c r="K13">
        <v>60</v>
      </c>
      <c r="L13">
        <v>60</v>
      </c>
      <c r="M13">
        <v>60</v>
      </c>
      <c r="N13">
        <v>61</v>
      </c>
      <c r="O13">
        <v>61</v>
      </c>
      <c r="P13">
        <v>61</v>
      </c>
      <c r="Q13">
        <v>61</v>
      </c>
      <c r="R13">
        <v>61</v>
      </c>
      <c r="S13">
        <v>61</v>
      </c>
      <c r="T13">
        <v>61</v>
      </c>
      <c r="U13">
        <v>61</v>
      </c>
      <c r="V13">
        <v>61</v>
      </c>
      <c r="W13">
        <v>60</v>
      </c>
      <c r="X13">
        <v>61</v>
      </c>
      <c r="Y13">
        <v>62</v>
      </c>
      <c r="Z13" s="2">
        <f>AVERAGE(Sheet1__5[[#This Row],[00:00:00]:[23:00:00]])</f>
        <v>59.958333333333336</v>
      </c>
      <c r="AA13" t="str" cm="1">
        <f t="array" ref="AA13">_xlfn.IFS(Sheet1__5[[#This Row],[AVERAGE AQI]]&lt;50,"GOOD",Sheet1__5[[#This Row],[AVERAGE AQI]]&lt;=100,"MODERATE",Sheet1__5[[#This Row],[AVERAGE AQI]]&lt;=150,"BAD",Sheet1__5[[#This Row],[AVERAGE AQI]]&lt;=200,"VERY BAD")</f>
        <v>MODERATE</v>
      </c>
    </row>
    <row r="14" spans="1:30" x14ac:dyDescent="0.3">
      <c r="A14" s="1">
        <v>45760</v>
      </c>
      <c r="B14">
        <v>62</v>
      </c>
      <c r="C14">
        <v>62</v>
      </c>
      <c r="D14">
        <v>62</v>
      </c>
      <c r="E14">
        <v>62</v>
      </c>
      <c r="F14">
        <v>62</v>
      </c>
      <c r="G14">
        <v>62</v>
      </c>
      <c r="H14">
        <v>62</v>
      </c>
      <c r="I14">
        <v>63</v>
      </c>
      <c r="J14">
        <v>63</v>
      </c>
      <c r="K14">
        <v>63</v>
      </c>
      <c r="L14">
        <v>64</v>
      </c>
      <c r="M14">
        <v>64</v>
      </c>
      <c r="N14">
        <v>64</v>
      </c>
      <c r="O14">
        <v>65</v>
      </c>
      <c r="P14">
        <v>65</v>
      </c>
      <c r="Q14">
        <v>65</v>
      </c>
      <c r="R14">
        <v>65</v>
      </c>
      <c r="S14">
        <v>65</v>
      </c>
      <c r="T14">
        <v>66</v>
      </c>
      <c r="U14">
        <v>66</v>
      </c>
      <c r="V14">
        <v>65</v>
      </c>
      <c r="W14">
        <v>65</v>
      </c>
      <c r="X14">
        <v>64</v>
      </c>
      <c r="Y14">
        <v>64</v>
      </c>
      <c r="Z14" s="2">
        <f>AVERAGE(Sheet1__5[[#This Row],[00:00:00]:[23:00:00]])</f>
        <v>63.75</v>
      </c>
      <c r="AA14" t="str" cm="1">
        <f t="array" ref="AA14">_xlfn.IFS(Sheet1__5[[#This Row],[AVERAGE AQI]]&lt;50,"GOOD",Sheet1__5[[#This Row],[AVERAGE AQI]]&lt;=100,"MODERATE",Sheet1__5[[#This Row],[AVERAGE AQI]]&lt;=150,"BAD",Sheet1__5[[#This Row],[AVERAGE AQI]]&lt;=200,"VERY BAD")</f>
        <v>MODERATE</v>
      </c>
    </row>
    <row r="15" spans="1:30" x14ac:dyDescent="0.3">
      <c r="A15" s="1">
        <v>45761</v>
      </c>
      <c r="B15">
        <v>64</v>
      </c>
      <c r="C15">
        <v>64</v>
      </c>
      <c r="D15">
        <v>64</v>
      </c>
      <c r="E15">
        <v>65</v>
      </c>
      <c r="F15">
        <v>65</v>
      </c>
      <c r="G15">
        <v>65</v>
      </c>
      <c r="H15">
        <v>66</v>
      </c>
      <c r="I15">
        <v>66</v>
      </c>
      <c r="J15">
        <v>65</v>
      </c>
      <c r="K15">
        <v>66</v>
      </c>
      <c r="L15">
        <v>66</v>
      </c>
      <c r="M15">
        <v>66</v>
      </c>
      <c r="N15">
        <v>66</v>
      </c>
      <c r="O15">
        <v>67</v>
      </c>
      <c r="P15">
        <v>67</v>
      </c>
      <c r="Q15">
        <v>68</v>
      </c>
      <c r="R15">
        <v>69</v>
      </c>
      <c r="S15">
        <v>71</v>
      </c>
      <c r="T15">
        <v>72</v>
      </c>
      <c r="U15">
        <v>74</v>
      </c>
      <c r="V15">
        <v>76</v>
      </c>
      <c r="W15">
        <v>76</v>
      </c>
      <c r="X15">
        <v>77</v>
      </c>
      <c r="Y15">
        <v>77</v>
      </c>
      <c r="Z15" s="2">
        <f>AVERAGE(Sheet1__5[[#This Row],[00:00:00]:[23:00:00]])</f>
        <v>68.416666666666671</v>
      </c>
      <c r="AA15" t="str" cm="1">
        <f t="array" ref="AA15">_xlfn.IFS(Sheet1__5[[#This Row],[AVERAGE AQI]]&lt;50,"GOOD",Sheet1__5[[#This Row],[AVERAGE AQI]]&lt;=100,"MODERATE",Sheet1__5[[#This Row],[AVERAGE AQI]]&lt;=150,"BAD",Sheet1__5[[#This Row],[AVERAGE AQI]]&lt;=200,"VERY BAD")</f>
        <v>MODERATE</v>
      </c>
    </row>
    <row r="16" spans="1:30" x14ac:dyDescent="0.3">
      <c r="A16" s="1">
        <v>45762</v>
      </c>
      <c r="B16">
        <v>76</v>
      </c>
      <c r="C16">
        <v>76</v>
      </c>
      <c r="D16">
        <v>76</v>
      </c>
      <c r="E16">
        <v>75</v>
      </c>
      <c r="F16">
        <v>75</v>
      </c>
      <c r="G16">
        <v>76</v>
      </c>
      <c r="H16">
        <v>76</v>
      </c>
      <c r="I16">
        <v>76</v>
      </c>
      <c r="J16">
        <v>76</v>
      </c>
      <c r="K16">
        <v>77</v>
      </c>
      <c r="L16">
        <v>77</v>
      </c>
      <c r="M16">
        <v>77</v>
      </c>
      <c r="N16">
        <v>77</v>
      </c>
      <c r="O16">
        <v>77</v>
      </c>
      <c r="P16">
        <v>77</v>
      </c>
      <c r="Q16">
        <v>77</v>
      </c>
      <c r="R16">
        <v>77</v>
      </c>
      <c r="S16">
        <v>77</v>
      </c>
      <c r="T16">
        <v>76</v>
      </c>
      <c r="U16">
        <v>76</v>
      </c>
      <c r="V16">
        <v>75</v>
      </c>
      <c r="W16">
        <v>75</v>
      </c>
      <c r="X16">
        <v>74</v>
      </c>
      <c r="Y16">
        <v>73</v>
      </c>
      <c r="Z16" s="2">
        <f>AVERAGE(Sheet1__5[[#This Row],[00:00:00]:[23:00:00]])</f>
        <v>76</v>
      </c>
      <c r="AA16" t="str" cm="1">
        <f t="array" ref="AA16">_xlfn.IFS(Sheet1__5[[#This Row],[AVERAGE AQI]]&lt;50,"GOOD",Sheet1__5[[#This Row],[AVERAGE AQI]]&lt;=100,"MODERATE",Sheet1__5[[#This Row],[AVERAGE AQI]]&lt;=150,"BAD",Sheet1__5[[#This Row],[AVERAGE AQI]]&lt;=200,"VERY BAD")</f>
        <v>MODERATE</v>
      </c>
    </row>
    <row r="17" spans="1:27" x14ac:dyDescent="0.3">
      <c r="A17" s="1">
        <v>45763</v>
      </c>
      <c r="B17">
        <v>73</v>
      </c>
      <c r="C17">
        <v>73</v>
      </c>
      <c r="D17">
        <v>71</v>
      </c>
      <c r="E17">
        <v>71</v>
      </c>
      <c r="F17">
        <v>70</v>
      </c>
      <c r="G17">
        <v>70</v>
      </c>
      <c r="H17">
        <v>70</v>
      </c>
      <c r="I17">
        <v>70</v>
      </c>
      <c r="J17">
        <v>70</v>
      </c>
      <c r="K17">
        <v>70</v>
      </c>
      <c r="L17">
        <v>70</v>
      </c>
      <c r="M17">
        <v>70</v>
      </c>
      <c r="N17">
        <v>70</v>
      </c>
      <c r="O17">
        <v>70</v>
      </c>
      <c r="P17">
        <v>70</v>
      </c>
      <c r="Q17">
        <v>69</v>
      </c>
      <c r="R17">
        <v>69</v>
      </c>
      <c r="S17">
        <v>69</v>
      </c>
      <c r="T17">
        <v>69</v>
      </c>
      <c r="U17">
        <v>64</v>
      </c>
      <c r="V17">
        <v>63</v>
      </c>
      <c r="W17">
        <v>63</v>
      </c>
      <c r="X17">
        <v>61</v>
      </c>
      <c r="Y17">
        <v>61</v>
      </c>
      <c r="Z17" s="2">
        <f>AVERAGE(Sheet1__5[[#This Row],[00:00:00]:[23:00:00]])</f>
        <v>68.583333333333329</v>
      </c>
      <c r="AA17" t="str" cm="1">
        <f t="array" ref="AA17">_xlfn.IFS(Sheet1__5[[#This Row],[AVERAGE AQI]]&lt;50,"GOOD",Sheet1__5[[#This Row],[AVERAGE AQI]]&lt;=100,"MODERATE",Sheet1__5[[#This Row],[AVERAGE AQI]]&lt;=150,"BAD",Sheet1__5[[#This Row],[AVERAGE AQI]]&lt;=200,"VERY BAD")</f>
        <v>MODERATE</v>
      </c>
    </row>
    <row r="18" spans="1:27" x14ac:dyDescent="0.3">
      <c r="A18" s="1">
        <v>45764</v>
      </c>
      <c r="B18">
        <v>61</v>
      </c>
      <c r="C18">
        <v>61</v>
      </c>
      <c r="D18">
        <v>59</v>
      </c>
      <c r="E18">
        <v>59</v>
      </c>
      <c r="F18">
        <v>59</v>
      </c>
      <c r="G18">
        <v>58</v>
      </c>
      <c r="H18">
        <v>58</v>
      </c>
      <c r="I18">
        <v>60</v>
      </c>
      <c r="J18">
        <v>60</v>
      </c>
      <c r="K18">
        <v>61</v>
      </c>
      <c r="L18">
        <v>61</v>
      </c>
      <c r="M18">
        <v>61</v>
      </c>
      <c r="N18">
        <v>61</v>
      </c>
      <c r="O18">
        <v>61</v>
      </c>
      <c r="P18">
        <v>61</v>
      </c>
      <c r="Q18">
        <v>61</v>
      </c>
      <c r="R18">
        <v>61</v>
      </c>
      <c r="S18">
        <v>61</v>
      </c>
      <c r="T18">
        <v>61</v>
      </c>
      <c r="U18">
        <v>62</v>
      </c>
      <c r="V18">
        <v>62</v>
      </c>
      <c r="W18">
        <v>61</v>
      </c>
      <c r="X18">
        <v>60</v>
      </c>
      <c r="Y18">
        <v>59</v>
      </c>
      <c r="Z18" s="2">
        <f>AVERAGE(Sheet1__5[[#This Row],[00:00:00]:[23:00:00]])</f>
        <v>60.375</v>
      </c>
      <c r="AA18" t="str" cm="1">
        <f t="array" ref="AA18">_xlfn.IFS(Sheet1__5[[#This Row],[AVERAGE AQI]]&lt;50,"GOOD",Sheet1__5[[#This Row],[AVERAGE AQI]]&lt;=100,"MODERATE",Sheet1__5[[#This Row],[AVERAGE AQI]]&lt;=150,"BAD",Sheet1__5[[#This Row],[AVERAGE AQI]]&lt;=200,"VERY BAD")</f>
        <v>MODERATE</v>
      </c>
    </row>
    <row r="19" spans="1:27" x14ac:dyDescent="0.3">
      <c r="A19" s="1">
        <v>45765</v>
      </c>
      <c r="B19">
        <v>59</v>
      </c>
      <c r="C19">
        <v>58</v>
      </c>
      <c r="D19">
        <v>58</v>
      </c>
      <c r="E19">
        <v>57</v>
      </c>
      <c r="F19">
        <v>57</v>
      </c>
      <c r="G19">
        <v>58</v>
      </c>
      <c r="H19">
        <v>57</v>
      </c>
      <c r="I19">
        <v>57</v>
      </c>
      <c r="J19">
        <v>57</v>
      </c>
      <c r="K19">
        <v>57</v>
      </c>
      <c r="L19">
        <v>57</v>
      </c>
      <c r="M19">
        <v>57</v>
      </c>
      <c r="N19">
        <v>57</v>
      </c>
      <c r="O19">
        <v>57</v>
      </c>
      <c r="P19">
        <v>57</v>
      </c>
      <c r="Q19">
        <v>57</v>
      </c>
      <c r="R19">
        <v>57</v>
      </c>
      <c r="S19">
        <v>57</v>
      </c>
      <c r="T19">
        <v>59</v>
      </c>
      <c r="U19">
        <v>59</v>
      </c>
      <c r="V19">
        <v>60</v>
      </c>
      <c r="W19">
        <v>59</v>
      </c>
      <c r="X19">
        <v>59</v>
      </c>
      <c r="Y19">
        <v>58</v>
      </c>
      <c r="Z19" s="2">
        <f>AVERAGE(Sheet1__5[[#This Row],[00:00:00]:[23:00:00]])</f>
        <v>57.708333333333336</v>
      </c>
      <c r="AA19" t="str" cm="1">
        <f t="array" ref="AA19">_xlfn.IFS(Sheet1__5[[#This Row],[AVERAGE AQI]]&lt;50,"GOOD",Sheet1__5[[#This Row],[AVERAGE AQI]]&lt;=100,"MODERATE",Sheet1__5[[#This Row],[AVERAGE AQI]]&lt;=150,"BAD",Sheet1__5[[#This Row],[AVERAGE AQI]]&lt;=200,"VERY BAD")</f>
        <v>MODERATE</v>
      </c>
    </row>
    <row r="20" spans="1:27" x14ac:dyDescent="0.3">
      <c r="A20" s="1">
        <v>45766</v>
      </c>
      <c r="B20">
        <v>59</v>
      </c>
      <c r="C20">
        <v>59</v>
      </c>
      <c r="D20">
        <v>59</v>
      </c>
      <c r="E20">
        <v>58</v>
      </c>
      <c r="F20">
        <v>58</v>
      </c>
      <c r="G20">
        <v>58</v>
      </c>
      <c r="H20">
        <v>57</v>
      </c>
      <c r="I20">
        <v>57</v>
      </c>
      <c r="J20">
        <v>57</v>
      </c>
      <c r="K20">
        <v>55</v>
      </c>
      <c r="L20">
        <v>53</v>
      </c>
      <c r="M20">
        <v>53</v>
      </c>
      <c r="N20">
        <v>53</v>
      </c>
      <c r="O20">
        <v>53</v>
      </c>
      <c r="P20">
        <v>55</v>
      </c>
      <c r="Q20">
        <v>55</v>
      </c>
      <c r="R20">
        <v>55</v>
      </c>
      <c r="S20">
        <v>56</v>
      </c>
      <c r="T20">
        <v>56</v>
      </c>
      <c r="U20">
        <v>56</v>
      </c>
      <c r="V20">
        <v>57</v>
      </c>
      <c r="W20">
        <v>57</v>
      </c>
      <c r="X20">
        <v>56</v>
      </c>
      <c r="Y20">
        <v>53</v>
      </c>
      <c r="Z20" s="2">
        <f>AVERAGE(Sheet1__5[[#This Row],[00:00:00]:[23:00:00]])</f>
        <v>56.041666666666664</v>
      </c>
      <c r="AA20" t="str" cm="1">
        <f t="array" ref="AA20">_xlfn.IFS(Sheet1__5[[#This Row],[AVERAGE AQI]]&lt;50,"GOOD",Sheet1__5[[#This Row],[AVERAGE AQI]]&lt;=100,"MODERATE",Sheet1__5[[#This Row],[AVERAGE AQI]]&lt;=150,"BAD",Sheet1__5[[#This Row],[AVERAGE AQI]]&lt;=200,"VERY BAD")</f>
        <v>MODERATE</v>
      </c>
    </row>
    <row r="21" spans="1:27" x14ac:dyDescent="0.3">
      <c r="A21" s="1">
        <v>45767</v>
      </c>
      <c r="B21">
        <v>53</v>
      </c>
      <c r="C21">
        <v>53</v>
      </c>
      <c r="D21">
        <v>54</v>
      </c>
      <c r="E21">
        <v>53</v>
      </c>
      <c r="F21">
        <v>54</v>
      </c>
      <c r="G21">
        <v>55</v>
      </c>
      <c r="H21">
        <v>56</v>
      </c>
      <c r="I21">
        <v>56</v>
      </c>
      <c r="J21">
        <v>58</v>
      </c>
      <c r="K21">
        <v>59</v>
      </c>
      <c r="L21">
        <v>60</v>
      </c>
      <c r="M21">
        <v>61</v>
      </c>
      <c r="N21">
        <v>62</v>
      </c>
      <c r="O21">
        <v>64</v>
      </c>
      <c r="P21">
        <v>65</v>
      </c>
      <c r="Q21">
        <v>66</v>
      </c>
      <c r="R21">
        <v>70</v>
      </c>
      <c r="S21">
        <v>71</v>
      </c>
      <c r="T21">
        <v>72</v>
      </c>
      <c r="U21">
        <v>73</v>
      </c>
      <c r="V21">
        <v>73</v>
      </c>
      <c r="W21">
        <v>73</v>
      </c>
      <c r="X21">
        <v>73</v>
      </c>
      <c r="Y21">
        <v>74</v>
      </c>
      <c r="Z21" s="2">
        <f>AVERAGE(Sheet1__5[[#This Row],[00:00:00]:[23:00:00]])</f>
        <v>62.833333333333336</v>
      </c>
      <c r="AA21" t="str" cm="1">
        <f t="array" ref="AA21">_xlfn.IFS(Sheet1__5[[#This Row],[AVERAGE AQI]]&lt;50,"GOOD",Sheet1__5[[#This Row],[AVERAGE AQI]]&lt;=100,"MODERATE",Sheet1__5[[#This Row],[AVERAGE AQI]]&lt;=150,"BAD",Sheet1__5[[#This Row],[AVERAGE AQI]]&lt;=200,"VERY BAD")</f>
        <v>MODERATE</v>
      </c>
    </row>
    <row r="22" spans="1:27" x14ac:dyDescent="0.3">
      <c r="A22" s="1">
        <v>45768</v>
      </c>
      <c r="B22">
        <v>74</v>
      </c>
      <c r="C22">
        <v>70</v>
      </c>
      <c r="D22">
        <v>71</v>
      </c>
      <c r="E22">
        <v>71</v>
      </c>
      <c r="F22">
        <v>71</v>
      </c>
      <c r="G22">
        <v>70</v>
      </c>
      <c r="H22">
        <v>69</v>
      </c>
      <c r="I22">
        <v>68</v>
      </c>
      <c r="J22">
        <v>68</v>
      </c>
      <c r="K22">
        <v>67</v>
      </c>
      <c r="L22">
        <v>67</v>
      </c>
      <c r="M22">
        <v>66</v>
      </c>
      <c r="N22">
        <v>65</v>
      </c>
      <c r="O22">
        <v>65</v>
      </c>
      <c r="P22">
        <v>64</v>
      </c>
      <c r="Q22">
        <v>66</v>
      </c>
      <c r="R22">
        <v>66</v>
      </c>
      <c r="S22">
        <v>67</v>
      </c>
      <c r="T22">
        <v>69</v>
      </c>
      <c r="U22">
        <v>70</v>
      </c>
      <c r="V22">
        <v>70</v>
      </c>
      <c r="W22">
        <v>69</v>
      </c>
      <c r="X22">
        <v>68</v>
      </c>
      <c r="Y22">
        <v>68</v>
      </c>
      <c r="Z22" s="2">
        <f>AVERAGE(Sheet1__5[[#This Row],[00:00:00]:[23:00:00]])</f>
        <v>68.291666666666671</v>
      </c>
      <c r="AA22" t="str" cm="1">
        <f t="array" ref="AA22">_xlfn.IFS(Sheet1__5[[#This Row],[AVERAGE AQI]]&lt;50,"GOOD",Sheet1__5[[#This Row],[AVERAGE AQI]]&lt;=100,"MODERATE",Sheet1__5[[#This Row],[AVERAGE AQI]]&lt;=150,"BAD",Sheet1__5[[#This Row],[AVERAGE AQI]]&lt;=200,"VERY BAD")</f>
        <v>MODERATE</v>
      </c>
    </row>
    <row r="23" spans="1:27" x14ac:dyDescent="0.3">
      <c r="A23" s="1">
        <v>45769</v>
      </c>
      <c r="B23">
        <v>66</v>
      </c>
      <c r="C23">
        <v>66</v>
      </c>
      <c r="D23">
        <v>67</v>
      </c>
      <c r="E23">
        <v>68</v>
      </c>
      <c r="F23">
        <v>69</v>
      </c>
      <c r="G23">
        <v>70</v>
      </c>
      <c r="H23">
        <v>71</v>
      </c>
      <c r="I23">
        <v>72</v>
      </c>
      <c r="J23">
        <v>77</v>
      </c>
      <c r="K23">
        <v>78</v>
      </c>
      <c r="L23">
        <v>80</v>
      </c>
      <c r="M23">
        <v>81</v>
      </c>
      <c r="N23">
        <v>83</v>
      </c>
      <c r="O23">
        <v>84</v>
      </c>
      <c r="P23">
        <v>86</v>
      </c>
      <c r="Q23">
        <v>87</v>
      </c>
      <c r="R23">
        <v>89</v>
      </c>
      <c r="S23">
        <v>90</v>
      </c>
      <c r="T23">
        <v>92</v>
      </c>
      <c r="U23">
        <v>94</v>
      </c>
      <c r="V23">
        <v>95</v>
      </c>
      <c r="W23">
        <v>96</v>
      </c>
      <c r="X23">
        <v>98</v>
      </c>
      <c r="Y23">
        <v>99</v>
      </c>
      <c r="Z23" s="2">
        <f>AVERAGE(Sheet1__5[[#This Row],[00:00:00]:[23:00:00]])</f>
        <v>81.583333333333329</v>
      </c>
      <c r="AA23" t="str" cm="1">
        <f t="array" ref="AA23">_xlfn.IFS(Sheet1__5[[#This Row],[AVERAGE AQI]]&lt;50,"GOOD",Sheet1__5[[#This Row],[AVERAGE AQI]]&lt;=100,"MODERATE",Sheet1__5[[#This Row],[AVERAGE AQI]]&lt;=150,"BAD",Sheet1__5[[#This Row],[AVERAGE AQI]]&lt;=200,"VERY BAD")</f>
        <v>MODERATE</v>
      </c>
    </row>
    <row r="24" spans="1:27" x14ac:dyDescent="0.3">
      <c r="A24" s="1">
        <v>45770</v>
      </c>
      <c r="B24">
        <v>103</v>
      </c>
      <c r="C24">
        <v>102</v>
      </c>
      <c r="D24">
        <v>103</v>
      </c>
      <c r="G24">
        <v>107</v>
      </c>
      <c r="H24">
        <v>107</v>
      </c>
      <c r="I24">
        <v>108</v>
      </c>
      <c r="J24">
        <v>108</v>
      </c>
      <c r="K24">
        <v>108</v>
      </c>
      <c r="L24">
        <v>108</v>
      </c>
      <c r="M24">
        <v>107</v>
      </c>
      <c r="N24">
        <v>107</v>
      </c>
      <c r="O24">
        <v>109</v>
      </c>
      <c r="P24">
        <v>110</v>
      </c>
      <c r="Q24">
        <v>109</v>
      </c>
      <c r="R24">
        <v>109</v>
      </c>
      <c r="S24">
        <v>109</v>
      </c>
      <c r="T24">
        <v>108</v>
      </c>
      <c r="U24">
        <v>107</v>
      </c>
      <c r="V24">
        <v>104</v>
      </c>
      <c r="W24">
        <v>103</v>
      </c>
      <c r="X24">
        <v>102</v>
      </c>
      <c r="Y24">
        <v>102</v>
      </c>
      <c r="Z24" s="2">
        <f>AVERAGE(Sheet1__5[[#This Row],[00:00:00]:[23:00:00]])</f>
        <v>106.36363636363636</v>
      </c>
      <c r="AA24" t="str" cm="1">
        <f t="array" ref="AA24">_xlfn.IFS(Sheet1__5[[#This Row],[AVERAGE AQI]]&lt;50,"GOOD",Sheet1__5[[#This Row],[AVERAGE AQI]]&lt;=100,"MODERATE",Sheet1__5[[#This Row],[AVERAGE AQI]]&lt;=150,"BAD",Sheet1__5[[#This Row],[AVERAGE AQI]]&lt;=200,"VERY BAD")</f>
        <v>BAD</v>
      </c>
    </row>
    <row r="25" spans="1:27" x14ac:dyDescent="0.3">
      <c r="A25" s="1">
        <v>45771</v>
      </c>
      <c r="B25">
        <v>101</v>
      </c>
      <c r="C25">
        <v>98</v>
      </c>
      <c r="D25">
        <v>99</v>
      </c>
      <c r="E25">
        <v>97</v>
      </c>
      <c r="F25">
        <v>97</v>
      </c>
      <c r="G25">
        <v>96</v>
      </c>
      <c r="H25">
        <v>93</v>
      </c>
      <c r="I25">
        <v>92</v>
      </c>
      <c r="J25">
        <v>92</v>
      </c>
      <c r="K25">
        <v>91</v>
      </c>
      <c r="L25">
        <v>87</v>
      </c>
      <c r="M25">
        <v>89</v>
      </c>
      <c r="N25">
        <v>88</v>
      </c>
      <c r="O25">
        <v>88</v>
      </c>
      <c r="P25">
        <v>88</v>
      </c>
      <c r="Q25">
        <v>87</v>
      </c>
      <c r="R25">
        <v>87</v>
      </c>
      <c r="S25">
        <v>86</v>
      </c>
      <c r="U25">
        <v>84</v>
      </c>
      <c r="V25">
        <v>83</v>
      </c>
      <c r="W25">
        <v>82</v>
      </c>
      <c r="X25">
        <v>80</v>
      </c>
      <c r="Y25">
        <v>81</v>
      </c>
      <c r="Z25" s="2">
        <f>AVERAGE(Sheet1__5[[#This Row],[00:00:00]:[23:00:00]])</f>
        <v>89.826086956521735</v>
      </c>
      <c r="AA25" t="str" cm="1">
        <f t="array" ref="AA25">_xlfn.IFS(Sheet1__5[[#This Row],[AVERAGE AQI]]&lt;50,"GOOD",Sheet1__5[[#This Row],[AVERAGE AQI]]&lt;=100,"MODERATE",Sheet1__5[[#This Row],[AVERAGE AQI]]&lt;=150,"BAD",Sheet1__5[[#This Row],[AVERAGE AQI]]&lt;=200,"VERY BAD")</f>
        <v>MODERATE</v>
      </c>
    </row>
    <row r="26" spans="1:27" x14ac:dyDescent="0.3">
      <c r="A26" s="1">
        <v>45772</v>
      </c>
      <c r="B26">
        <v>79</v>
      </c>
      <c r="C26">
        <v>78</v>
      </c>
      <c r="D26">
        <v>77</v>
      </c>
      <c r="E26">
        <v>76</v>
      </c>
      <c r="F26">
        <v>76</v>
      </c>
      <c r="G26">
        <v>74</v>
      </c>
      <c r="H26">
        <v>74</v>
      </c>
      <c r="I26">
        <v>73</v>
      </c>
      <c r="J26">
        <v>73</v>
      </c>
      <c r="K26">
        <v>72</v>
      </c>
      <c r="L26">
        <v>71</v>
      </c>
      <c r="M26">
        <v>71</v>
      </c>
      <c r="N26">
        <v>70</v>
      </c>
      <c r="O26">
        <v>69</v>
      </c>
      <c r="P26">
        <v>68</v>
      </c>
      <c r="Q26">
        <v>68</v>
      </c>
      <c r="R26">
        <v>68</v>
      </c>
      <c r="S26">
        <v>68</v>
      </c>
      <c r="T26">
        <v>69</v>
      </c>
      <c r="U26">
        <v>70</v>
      </c>
      <c r="V26">
        <v>69</v>
      </c>
      <c r="W26">
        <v>69</v>
      </c>
      <c r="X26">
        <v>69</v>
      </c>
      <c r="Y26">
        <v>67</v>
      </c>
      <c r="Z26" s="2">
        <f>AVERAGE(Sheet1__5[[#This Row],[00:00:00]:[23:00:00]])</f>
        <v>71.583333333333329</v>
      </c>
      <c r="AA26" t="str" cm="1">
        <f t="array" ref="AA26">_xlfn.IFS(Sheet1__5[[#This Row],[AVERAGE AQI]]&lt;50,"GOOD",Sheet1__5[[#This Row],[AVERAGE AQI]]&lt;=100,"MODERATE",Sheet1__5[[#This Row],[AVERAGE AQI]]&lt;=150,"BAD",Sheet1__5[[#This Row],[AVERAGE AQI]]&lt;=200,"VERY BAD")</f>
        <v>MODERATE</v>
      </c>
    </row>
    <row r="27" spans="1:27" x14ac:dyDescent="0.3">
      <c r="A27" s="1">
        <v>45773</v>
      </c>
      <c r="B27">
        <v>67</v>
      </c>
      <c r="C27">
        <v>67</v>
      </c>
      <c r="D27">
        <v>67</v>
      </c>
      <c r="E27">
        <v>67</v>
      </c>
      <c r="F27">
        <v>67</v>
      </c>
      <c r="G27">
        <v>67</v>
      </c>
      <c r="H27">
        <v>67</v>
      </c>
      <c r="I27">
        <v>66</v>
      </c>
      <c r="J27">
        <v>67</v>
      </c>
      <c r="K27">
        <v>66</v>
      </c>
      <c r="L27">
        <v>66</v>
      </c>
      <c r="M27">
        <v>66</v>
      </c>
      <c r="N27">
        <v>67</v>
      </c>
      <c r="O27">
        <v>67</v>
      </c>
      <c r="P27">
        <v>67</v>
      </c>
      <c r="Q27">
        <v>71</v>
      </c>
      <c r="R27">
        <v>68</v>
      </c>
      <c r="S27">
        <v>68</v>
      </c>
      <c r="T27">
        <v>68</v>
      </c>
      <c r="U27">
        <v>69</v>
      </c>
      <c r="V27">
        <v>68</v>
      </c>
      <c r="W27">
        <v>68</v>
      </c>
      <c r="X27">
        <v>68</v>
      </c>
      <c r="Y27">
        <v>68</v>
      </c>
      <c r="Z27" s="2">
        <f>AVERAGE(Sheet1__5[[#This Row],[00:00:00]:[23:00:00]])</f>
        <v>67.375</v>
      </c>
      <c r="AA27" t="str" cm="1">
        <f t="array" ref="AA27">_xlfn.IFS(Sheet1__5[[#This Row],[AVERAGE AQI]]&lt;50,"GOOD",Sheet1__5[[#This Row],[AVERAGE AQI]]&lt;=100,"MODERATE",Sheet1__5[[#This Row],[AVERAGE AQI]]&lt;=150,"BAD",Sheet1__5[[#This Row],[AVERAGE AQI]]&lt;=200,"VERY BAD")</f>
        <v>MODERATE</v>
      </c>
    </row>
    <row r="28" spans="1:27" x14ac:dyDescent="0.3">
      <c r="A28" s="1">
        <v>45774</v>
      </c>
      <c r="B28">
        <v>63</v>
      </c>
      <c r="C28">
        <v>63</v>
      </c>
      <c r="D28">
        <v>62</v>
      </c>
      <c r="E28">
        <v>62</v>
      </c>
      <c r="F28">
        <v>62</v>
      </c>
      <c r="G28">
        <v>62</v>
      </c>
      <c r="H28">
        <v>62</v>
      </c>
      <c r="I28">
        <v>62</v>
      </c>
      <c r="J28">
        <v>63</v>
      </c>
      <c r="K28">
        <v>63</v>
      </c>
      <c r="L28">
        <v>64</v>
      </c>
      <c r="M28">
        <v>64</v>
      </c>
      <c r="N28">
        <v>65</v>
      </c>
      <c r="O28">
        <v>66</v>
      </c>
      <c r="P28">
        <v>67</v>
      </c>
      <c r="Q28">
        <v>68</v>
      </c>
      <c r="R28">
        <v>69</v>
      </c>
      <c r="S28">
        <v>70</v>
      </c>
      <c r="T28">
        <v>72</v>
      </c>
      <c r="U28">
        <v>75</v>
      </c>
      <c r="V28">
        <v>76</v>
      </c>
      <c r="W28">
        <v>77</v>
      </c>
      <c r="X28">
        <v>78</v>
      </c>
      <c r="Y28">
        <v>79</v>
      </c>
      <c r="Z28" s="2">
        <f>AVERAGE(Sheet1__5[[#This Row],[00:00:00]:[23:00:00]])</f>
        <v>67.25</v>
      </c>
      <c r="AA28" t="str" cm="1">
        <f t="array" ref="AA28">_xlfn.IFS(Sheet1__5[[#This Row],[AVERAGE AQI]]&lt;50,"GOOD",Sheet1__5[[#This Row],[AVERAGE AQI]]&lt;=100,"MODERATE",Sheet1__5[[#This Row],[AVERAGE AQI]]&lt;=150,"BAD",Sheet1__5[[#This Row],[AVERAGE AQI]]&lt;=200,"VERY BAD")</f>
        <v>MODERATE</v>
      </c>
    </row>
    <row r="29" spans="1:27" x14ac:dyDescent="0.3">
      <c r="A29" s="1">
        <v>45775</v>
      </c>
      <c r="B29">
        <v>79</v>
      </c>
      <c r="C29">
        <v>78</v>
      </c>
      <c r="D29">
        <v>78</v>
      </c>
      <c r="E29">
        <v>79</v>
      </c>
      <c r="F29">
        <v>79</v>
      </c>
      <c r="G29">
        <v>79</v>
      </c>
      <c r="H29">
        <v>80</v>
      </c>
      <c r="I29">
        <v>81</v>
      </c>
      <c r="J29">
        <v>82</v>
      </c>
      <c r="K29">
        <v>83</v>
      </c>
      <c r="L29">
        <v>83</v>
      </c>
      <c r="M29">
        <v>84</v>
      </c>
      <c r="N29">
        <v>85</v>
      </c>
      <c r="O29">
        <v>85</v>
      </c>
      <c r="P29">
        <v>86</v>
      </c>
      <c r="Q29">
        <v>86</v>
      </c>
      <c r="R29">
        <v>86</v>
      </c>
      <c r="S29">
        <v>87</v>
      </c>
      <c r="T29">
        <v>86</v>
      </c>
      <c r="U29">
        <v>85</v>
      </c>
      <c r="V29">
        <v>85</v>
      </c>
      <c r="W29">
        <v>84</v>
      </c>
      <c r="X29">
        <v>84</v>
      </c>
      <c r="Y29">
        <v>96</v>
      </c>
      <c r="Z29" s="2">
        <f>AVERAGE(Sheet1__5[[#This Row],[00:00:00]:[23:00:00]])</f>
        <v>83.333333333333329</v>
      </c>
      <c r="AA29" t="str" cm="1">
        <f t="array" ref="AA29">_xlfn.IFS(Sheet1__5[[#This Row],[AVERAGE AQI]]&lt;50,"GOOD",Sheet1__5[[#This Row],[AVERAGE AQI]]&lt;=100,"MODERATE",Sheet1__5[[#This Row],[AVERAGE AQI]]&lt;=150,"BAD",Sheet1__5[[#This Row],[AVERAGE AQI]]&lt;=200,"VERY BAD")</f>
        <v>MODERATE</v>
      </c>
    </row>
    <row r="30" spans="1:27" x14ac:dyDescent="0.3">
      <c r="A30" s="1">
        <v>45776</v>
      </c>
      <c r="B30">
        <v>83</v>
      </c>
      <c r="C30">
        <v>83</v>
      </c>
      <c r="D30">
        <v>83</v>
      </c>
      <c r="E30">
        <v>82</v>
      </c>
      <c r="F30">
        <v>82</v>
      </c>
      <c r="G30">
        <v>80</v>
      </c>
      <c r="H30">
        <v>78</v>
      </c>
      <c r="I30">
        <v>78</v>
      </c>
      <c r="J30">
        <v>77</v>
      </c>
      <c r="K30">
        <v>77</v>
      </c>
      <c r="L30">
        <v>76</v>
      </c>
      <c r="M30">
        <v>76</v>
      </c>
      <c r="N30">
        <v>76</v>
      </c>
      <c r="O30">
        <v>76</v>
      </c>
      <c r="P30">
        <v>75</v>
      </c>
      <c r="Q30">
        <v>75</v>
      </c>
      <c r="R30">
        <v>74</v>
      </c>
      <c r="S30">
        <v>73</v>
      </c>
      <c r="T30">
        <v>73</v>
      </c>
      <c r="U30">
        <v>73</v>
      </c>
      <c r="V30">
        <v>72</v>
      </c>
      <c r="W30">
        <v>71</v>
      </c>
      <c r="X30">
        <v>71</v>
      </c>
      <c r="Y30">
        <v>71</v>
      </c>
      <c r="Z30" s="2">
        <f>AVERAGE(Sheet1__5[[#This Row],[00:00:00]:[23:00:00]])</f>
        <v>76.458333333333329</v>
      </c>
      <c r="AA30" t="str" cm="1">
        <f t="array" ref="AA30">_xlfn.IFS(Sheet1__5[[#This Row],[AVERAGE AQI]]&lt;50,"GOOD",Sheet1__5[[#This Row],[AVERAGE AQI]]&lt;=100,"MODERATE",Sheet1__5[[#This Row],[AVERAGE AQI]]&lt;=150,"BAD",Sheet1__5[[#This Row],[AVERAGE AQI]]&lt;=200,"VERY BAD")</f>
        <v>MODERATE</v>
      </c>
    </row>
    <row r="31" spans="1:27" x14ac:dyDescent="0.3">
      <c r="A31" s="1">
        <v>45777</v>
      </c>
      <c r="B31">
        <v>68</v>
      </c>
      <c r="C31">
        <v>68</v>
      </c>
      <c r="D31">
        <v>68</v>
      </c>
      <c r="E31">
        <v>67</v>
      </c>
      <c r="F31">
        <v>67</v>
      </c>
      <c r="G31">
        <v>68</v>
      </c>
      <c r="H31">
        <v>65</v>
      </c>
      <c r="I31">
        <v>65</v>
      </c>
      <c r="J31">
        <v>64</v>
      </c>
      <c r="K31">
        <v>66</v>
      </c>
      <c r="L31">
        <v>66</v>
      </c>
      <c r="M31">
        <v>65</v>
      </c>
      <c r="N31">
        <v>64</v>
      </c>
      <c r="O31">
        <v>60</v>
      </c>
      <c r="P31">
        <v>60</v>
      </c>
      <c r="Q31">
        <v>60</v>
      </c>
      <c r="R31">
        <v>60</v>
      </c>
      <c r="S31">
        <v>60</v>
      </c>
      <c r="T31">
        <v>61</v>
      </c>
      <c r="U31">
        <v>61</v>
      </c>
      <c r="V31">
        <v>60</v>
      </c>
      <c r="W31">
        <v>60</v>
      </c>
      <c r="X31">
        <v>59</v>
      </c>
      <c r="Y31">
        <v>58</v>
      </c>
      <c r="Z31" s="2">
        <f>AVERAGE(Sheet1__5[[#This Row],[00:00:00]:[23:00:00]])</f>
        <v>63.333333333333336</v>
      </c>
      <c r="AA31" t="str" cm="1">
        <f t="array" ref="AA31">_xlfn.IFS(Sheet1__5[[#This Row],[AVERAGE AQI]]&lt;50,"GOOD",Sheet1__5[[#This Row],[AVERAGE AQI]]&lt;=100,"MODERATE",Sheet1__5[[#This Row],[AVERAGE AQI]]&lt;=150,"BAD",Sheet1__5[[#This Row],[AVERAGE AQI]]&lt;=200,"VERY BAD")</f>
        <v>MODERATE</v>
      </c>
    </row>
    <row r="32" spans="1:27" x14ac:dyDescent="0.3">
      <c r="Z32" s="2">
        <f>SUBTOTAL(101,Sheet1__5[AVERAGE AQI])</f>
        <v>76.40022507685552</v>
      </c>
    </row>
  </sheetData>
  <conditionalFormatting sqref="AA1:AA1048576">
    <cfRule type="containsText" dxfId="23" priority="1" operator="containsText" text="BAD">
      <formula>NOT(ISERROR(SEARCH("BAD",AA1)))</formula>
    </cfRule>
    <cfRule type="cellIs" dxfId="22" priority="2" operator="equal">
      <formula>"MODERATE"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AE5E3-C846-4440-B6AC-F4CB59537ACB}">
  <dimension ref="A1:AD33"/>
  <sheetViews>
    <sheetView topLeftCell="O1" workbookViewId="0">
      <selection activeCell="Z2" sqref="Z2"/>
    </sheetView>
  </sheetViews>
  <sheetFormatPr defaultRowHeight="14.4" x14ac:dyDescent="0.3"/>
  <cols>
    <col min="1" max="25" width="10.33203125" bestFit="1" customWidth="1"/>
    <col min="27" max="27" width="10.5546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28</v>
      </c>
      <c r="AA1" t="s">
        <v>26</v>
      </c>
      <c r="AC1" t="s">
        <v>27</v>
      </c>
      <c r="AD1" s="2">
        <f>AVERAGE(Sheet1__6[AVERAGE AQI])</f>
        <v>67.610926941221464</v>
      </c>
    </row>
    <row r="2" spans="1:30" x14ac:dyDescent="0.3">
      <c r="A2" s="1">
        <v>45778</v>
      </c>
      <c r="B2">
        <v>58</v>
      </c>
      <c r="C2">
        <v>57</v>
      </c>
      <c r="D2">
        <v>56</v>
      </c>
      <c r="E2">
        <v>57</v>
      </c>
      <c r="F2">
        <v>56</v>
      </c>
      <c r="G2">
        <v>56</v>
      </c>
      <c r="H2">
        <v>56</v>
      </c>
      <c r="I2">
        <v>56</v>
      </c>
      <c r="J2">
        <v>56</v>
      </c>
      <c r="K2">
        <v>56</v>
      </c>
      <c r="L2">
        <v>56</v>
      </c>
      <c r="M2">
        <v>56</v>
      </c>
      <c r="N2">
        <v>56</v>
      </c>
      <c r="O2">
        <v>56</v>
      </c>
      <c r="P2">
        <v>54</v>
      </c>
      <c r="Q2">
        <v>54</v>
      </c>
      <c r="R2">
        <v>55</v>
      </c>
      <c r="S2">
        <v>56</v>
      </c>
      <c r="T2">
        <v>56</v>
      </c>
      <c r="U2">
        <v>56</v>
      </c>
      <c r="V2">
        <v>56</v>
      </c>
      <c r="W2">
        <v>56</v>
      </c>
      <c r="X2">
        <v>56</v>
      </c>
      <c r="Y2">
        <v>56</v>
      </c>
      <c r="Z2" s="2">
        <f>AVERAGE(Sheet1__6[[#This Row],[00:00:00]:[23:00:00]])</f>
        <v>55.958333333333336</v>
      </c>
      <c r="AA2" t="str" cm="1">
        <f t="array" ref="AA2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3" spans="1:30" x14ac:dyDescent="0.3">
      <c r="A3" s="1">
        <v>45779</v>
      </c>
      <c r="B3">
        <v>55</v>
      </c>
      <c r="C3">
        <v>54</v>
      </c>
      <c r="D3">
        <v>55</v>
      </c>
      <c r="E3">
        <v>54</v>
      </c>
      <c r="F3">
        <v>54</v>
      </c>
      <c r="G3">
        <v>54</v>
      </c>
      <c r="H3">
        <v>53</v>
      </c>
      <c r="I3">
        <v>53</v>
      </c>
      <c r="J3">
        <v>52</v>
      </c>
      <c r="K3">
        <v>52</v>
      </c>
      <c r="L3">
        <v>53</v>
      </c>
      <c r="M3">
        <v>53</v>
      </c>
      <c r="N3">
        <v>55</v>
      </c>
      <c r="O3">
        <v>55</v>
      </c>
      <c r="P3">
        <v>56</v>
      </c>
      <c r="Q3">
        <v>57</v>
      </c>
      <c r="R3">
        <v>57</v>
      </c>
      <c r="S3">
        <v>58</v>
      </c>
      <c r="T3">
        <v>60</v>
      </c>
      <c r="U3">
        <v>60</v>
      </c>
      <c r="V3">
        <v>59</v>
      </c>
      <c r="W3">
        <v>59</v>
      </c>
      <c r="X3">
        <v>59</v>
      </c>
      <c r="Y3">
        <v>59</v>
      </c>
      <c r="Z3" s="2">
        <f>AVERAGE(Sheet1__6[[#This Row],[00:00:00]:[23:00:00]])</f>
        <v>55.666666666666664</v>
      </c>
      <c r="AA3" t="str" cm="1">
        <f t="array" ref="AA3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4" spans="1:30" x14ac:dyDescent="0.3">
      <c r="A4" s="1">
        <v>45780</v>
      </c>
      <c r="B4">
        <v>59</v>
      </c>
      <c r="C4">
        <v>59</v>
      </c>
      <c r="D4">
        <v>58</v>
      </c>
      <c r="E4">
        <v>58</v>
      </c>
      <c r="F4">
        <v>58</v>
      </c>
      <c r="G4">
        <v>58</v>
      </c>
      <c r="H4">
        <v>57</v>
      </c>
      <c r="I4">
        <v>57</v>
      </c>
      <c r="J4">
        <v>57</v>
      </c>
      <c r="K4">
        <v>57</v>
      </c>
      <c r="L4">
        <v>57</v>
      </c>
      <c r="M4">
        <v>58</v>
      </c>
      <c r="N4">
        <v>59</v>
      </c>
      <c r="O4">
        <v>58</v>
      </c>
      <c r="P4">
        <v>58</v>
      </c>
      <c r="Q4">
        <v>59</v>
      </c>
      <c r="R4">
        <v>58</v>
      </c>
      <c r="S4">
        <v>59</v>
      </c>
      <c r="T4">
        <v>59</v>
      </c>
      <c r="U4">
        <v>59</v>
      </c>
      <c r="V4">
        <v>59</v>
      </c>
      <c r="W4">
        <v>58</v>
      </c>
      <c r="X4">
        <v>58</v>
      </c>
      <c r="Y4">
        <v>57</v>
      </c>
      <c r="Z4" s="2">
        <f>AVERAGE(Sheet1__6[[#This Row],[00:00:00]:[23:00:00]])</f>
        <v>58.083333333333336</v>
      </c>
      <c r="AA4" t="str" cm="1">
        <f t="array" ref="AA4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5" spans="1:30" x14ac:dyDescent="0.3">
      <c r="A5" s="1">
        <v>45781</v>
      </c>
      <c r="B5">
        <v>56</v>
      </c>
      <c r="C5">
        <v>55</v>
      </c>
      <c r="D5">
        <v>55</v>
      </c>
      <c r="E5">
        <v>55</v>
      </c>
      <c r="F5">
        <v>54</v>
      </c>
      <c r="G5">
        <v>54</v>
      </c>
      <c r="H5">
        <v>54</v>
      </c>
      <c r="I5">
        <v>53</v>
      </c>
      <c r="J5">
        <v>55</v>
      </c>
      <c r="K5">
        <v>55</v>
      </c>
      <c r="L5">
        <v>55</v>
      </c>
      <c r="M5">
        <v>55</v>
      </c>
      <c r="N5">
        <v>56</v>
      </c>
      <c r="O5">
        <v>56</v>
      </c>
      <c r="P5">
        <v>56</v>
      </c>
      <c r="Q5">
        <v>56</v>
      </c>
      <c r="R5">
        <v>56</v>
      </c>
      <c r="S5">
        <v>56</v>
      </c>
      <c r="T5">
        <v>56</v>
      </c>
      <c r="U5">
        <v>56</v>
      </c>
      <c r="V5">
        <v>56</v>
      </c>
      <c r="W5">
        <v>56</v>
      </c>
      <c r="X5">
        <v>55</v>
      </c>
      <c r="Y5">
        <v>55</v>
      </c>
      <c r="Z5" s="2">
        <f>AVERAGE(Sheet1__6[[#This Row],[00:00:00]:[23:00:00]])</f>
        <v>55.25</v>
      </c>
      <c r="AA5" t="str" cm="1">
        <f t="array" ref="AA5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6" spans="1:30" x14ac:dyDescent="0.3">
      <c r="A6" s="1">
        <v>45782</v>
      </c>
      <c r="B6">
        <v>56</v>
      </c>
      <c r="C6">
        <v>55</v>
      </c>
      <c r="D6">
        <v>55</v>
      </c>
      <c r="E6">
        <v>55</v>
      </c>
      <c r="F6">
        <v>55</v>
      </c>
      <c r="G6">
        <v>54</v>
      </c>
      <c r="H6">
        <v>54</v>
      </c>
      <c r="I6">
        <v>54</v>
      </c>
      <c r="J6">
        <v>54</v>
      </c>
      <c r="K6">
        <v>54</v>
      </c>
      <c r="L6">
        <v>55</v>
      </c>
      <c r="M6">
        <v>55</v>
      </c>
      <c r="N6">
        <v>55</v>
      </c>
      <c r="O6">
        <v>56</v>
      </c>
      <c r="P6">
        <v>56</v>
      </c>
      <c r="Q6">
        <v>56</v>
      </c>
      <c r="R6">
        <v>57</v>
      </c>
      <c r="S6">
        <v>57</v>
      </c>
      <c r="T6">
        <v>59</v>
      </c>
      <c r="U6">
        <v>59</v>
      </c>
      <c r="V6">
        <v>59</v>
      </c>
      <c r="W6">
        <v>58</v>
      </c>
      <c r="X6">
        <v>57</v>
      </c>
      <c r="Y6">
        <v>56</v>
      </c>
      <c r="Z6" s="2">
        <f>AVERAGE(Sheet1__6[[#This Row],[00:00:00]:[23:00:00]])</f>
        <v>55.875</v>
      </c>
      <c r="AA6" t="str" cm="1">
        <f t="array" ref="AA6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7" spans="1:30" x14ac:dyDescent="0.3">
      <c r="A7" s="1">
        <v>45783</v>
      </c>
      <c r="B7">
        <v>56</v>
      </c>
      <c r="C7">
        <v>57</v>
      </c>
      <c r="D7">
        <v>57</v>
      </c>
      <c r="E7">
        <v>57</v>
      </c>
      <c r="F7">
        <v>57</v>
      </c>
      <c r="G7">
        <v>56</v>
      </c>
      <c r="H7">
        <v>56</v>
      </c>
      <c r="I7">
        <v>57</v>
      </c>
      <c r="J7">
        <v>57</v>
      </c>
      <c r="K7">
        <v>58</v>
      </c>
      <c r="L7">
        <v>57</v>
      </c>
      <c r="M7">
        <v>57</v>
      </c>
      <c r="N7">
        <v>57</v>
      </c>
      <c r="O7">
        <v>57</v>
      </c>
      <c r="P7">
        <v>57</v>
      </c>
      <c r="Q7">
        <v>57</v>
      </c>
      <c r="R7">
        <v>58</v>
      </c>
      <c r="S7">
        <v>58</v>
      </c>
      <c r="T7">
        <v>58</v>
      </c>
      <c r="U7">
        <v>59</v>
      </c>
      <c r="V7">
        <v>58</v>
      </c>
      <c r="W7">
        <v>58</v>
      </c>
      <c r="X7">
        <v>59</v>
      </c>
      <c r="Y7">
        <v>60</v>
      </c>
      <c r="Z7" s="2">
        <f>AVERAGE(Sheet1__6[[#This Row],[00:00:00]:[23:00:00]])</f>
        <v>57.416666666666664</v>
      </c>
      <c r="AA7" t="str" cm="1">
        <f t="array" ref="AA7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8" spans="1:30" x14ac:dyDescent="0.3">
      <c r="A8" s="1">
        <v>45784</v>
      </c>
      <c r="B8">
        <v>60</v>
      </c>
      <c r="C8">
        <v>59</v>
      </c>
      <c r="D8">
        <v>59</v>
      </c>
      <c r="E8">
        <v>59</v>
      </c>
      <c r="F8">
        <v>59</v>
      </c>
      <c r="G8">
        <v>58</v>
      </c>
      <c r="H8">
        <v>60</v>
      </c>
      <c r="I8">
        <v>62</v>
      </c>
      <c r="J8">
        <v>62</v>
      </c>
      <c r="K8">
        <v>63</v>
      </c>
      <c r="L8">
        <v>64</v>
      </c>
      <c r="M8">
        <v>64</v>
      </c>
      <c r="N8">
        <v>65</v>
      </c>
      <c r="O8">
        <v>65</v>
      </c>
      <c r="P8">
        <v>65</v>
      </c>
      <c r="Q8">
        <v>64</v>
      </c>
      <c r="R8">
        <v>64</v>
      </c>
      <c r="S8">
        <v>65</v>
      </c>
      <c r="T8">
        <v>65</v>
      </c>
      <c r="U8">
        <v>63</v>
      </c>
      <c r="V8">
        <v>63</v>
      </c>
      <c r="W8">
        <v>62</v>
      </c>
      <c r="X8">
        <v>62</v>
      </c>
      <c r="Y8">
        <v>69</v>
      </c>
      <c r="Z8" s="2">
        <f>AVERAGE(Sheet1__6[[#This Row],[00:00:00]:[23:00:00]])</f>
        <v>62.541666666666664</v>
      </c>
      <c r="AA8" t="str" cm="1">
        <f t="array" ref="AA8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9" spans="1:30" x14ac:dyDescent="0.3">
      <c r="A9" s="1">
        <v>45785</v>
      </c>
      <c r="B9">
        <v>59</v>
      </c>
      <c r="C9">
        <v>59</v>
      </c>
      <c r="D9">
        <v>58</v>
      </c>
      <c r="E9">
        <v>57</v>
      </c>
      <c r="F9">
        <v>57</v>
      </c>
      <c r="G9">
        <v>56</v>
      </c>
      <c r="H9">
        <v>56</v>
      </c>
      <c r="I9">
        <v>55</v>
      </c>
      <c r="J9">
        <v>54</v>
      </c>
      <c r="K9">
        <v>54</v>
      </c>
      <c r="L9">
        <v>54</v>
      </c>
      <c r="M9">
        <v>54</v>
      </c>
      <c r="N9">
        <v>54</v>
      </c>
      <c r="O9">
        <v>54</v>
      </c>
      <c r="P9">
        <v>53</v>
      </c>
      <c r="Q9">
        <v>53</v>
      </c>
      <c r="R9">
        <v>53</v>
      </c>
      <c r="S9">
        <v>53</v>
      </c>
      <c r="T9">
        <v>52</v>
      </c>
      <c r="U9">
        <v>52</v>
      </c>
      <c r="V9">
        <v>52</v>
      </c>
      <c r="W9">
        <v>52</v>
      </c>
      <c r="X9">
        <v>52</v>
      </c>
      <c r="Y9">
        <v>51</v>
      </c>
      <c r="Z9" s="2">
        <f>AVERAGE(Sheet1__6[[#This Row],[00:00:00]:[23:00:00]])</f>
        <v>54.333333333333336</v>
      </c>
      <c r="AA9" t="str" cm="1">
        <f t="array" ref="AA9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10" spans="1:30" x14ac:dyDescent="0.3">
      <c r="A10" s="1">
        <v>45786</v>
      </c>
      <c r="B10">
        <v>52</v>
      </c>
      <c r="C10">
        <v>52</v>
      </c>
      <c r="D10">
        <v>53</v>
      </c>
      <c r="E10">
        <v>53</v>
      </c>
      <c r="F10">
        <v>53</v>
      </c>
      <c r="G10">
        <v>53</v>
      </c>
      <c r="H10">
        <v>53</v>
      </c>
      <c r="I10">
        <v>52</v>
      </c>
      <c r="J10">
        <v>52</v>
      </c>
      <c r="K10">
        <v>53</v>
      </c>
      <c r="M10">
        <v>53</v>
      </c>
      <c r="N10">
        <v>53</v>
      </c>
      <c r="O10">
        <v>53</v>
      </c>
      <c r="P10">
        <v>54</v>
      </c>
      <c r="Q10">
        <v>54</v>
      </c>
      <c r="R10">
        <v>54</v>
      </c>
      <c r="S10">
        <v>55</v>
      </c>
      <c r="T10">
        <v>56</v>
      </c>
      <c r="U10">
        <v>56</v>
      </c>
      <c r="V10">
        <v>55</v>
      </c>
      <c r="W10">
        <v>55</v>
      </c>
      <c r="X10">
        <v>54</v>
      </c>
      <c r="Y10">
        <v>54</v>
      </c>
      <c r="Z10" s="2">
        <f>AVERAGE(Sheet1__6[[#This Row],[00:00:00]:[23:00:00]])</f>
        <v>53.565217391304351</v>
      </c>
      <c r="AA10" t="str" cm="1">
        <f t="array" ref="AA10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11" spans="1:30" x14ac:dyDescent="0.3">
      <c r="A11" s="1">
        <v>45787</v>
      </c>
      <c r="B11">
        <v>53</v>
      </c>
      <c r="C11">
        <v>53</v>
      </c>
      <c r="D11">
        <v>54</v>
      </c>
      <c r="E11">
        <v>54</v>
      </c>
      <c r="F11">
        <v>54</v>
      </c>
      <c r="G11">
        <v>54</v>
      </c>
      <c r="H11">
        <v>54</v>
      </c>
      <c r="I11">
        <v>56</v>
      </c>
      <c r="J11">
        <v>55</v>
      </c>
      <c r="K11">
        <v>55</v>
      </c>
      <c r="L11">
        <v>56</v>
      </c>
      <c r="M11">
        <v>56</v>
      </c>
      <c r="N11">
        <v>56</v>
      </c>
      <c r="O11">
        <v>56</v>
      </c>
      <c r="P11">
        <v>57</v>
      </c>
      <c r="Q11">
        <v>58</v>
      </c>
      <c r="R11">
        <v>58</v>
      </c>
      <c r="S11">
        <v>58</v>
      </c>
      <c r="T11">
        <v>58</v>
      </c>
      <c r="U11">
        <v>58</v>
      </c>
      <c r="V11">
        <v>57</v>
      </c>
      <c r="W11">
        <v>57</v>
      </c>
      <c r="X11">
        <v>54</v>
      </c>
      <c r="Y11">
        <v>54</v>
      </c>
      <c r="Z11" s="2">
        <f>AVERAGE(Sheet1__6[[#This Row],[00:00:00]:[23:00:00]])</f>
        <v>55.625</v>
      </c>
      <c r="AA11" t="str" cm="1">
        <f t="array" ref="AA11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12" spans="1:30" x14ac:dyDescent="0.3">
      <c r="A12" s="1">
        <v>45788</v>
      </c>
      <c r="B12">
        <v>54</v>
      </c>
      <c r="C12">
        <v>53</v>
      </c>
      <c r="D12">
        <v>53</v>
      </c>
      <c r="E12">
        <v>53</v>
      </c>
      <c r="F12">
        <v>55</v>
      </c>
      <c r="G12">
        <v>54</v>
      </c>
      <c r="H12">
        <v>54</v>
      </c>
      <c r="I12">
        <v>54</v>
      </c>
      <c r="J12">
        <v>55</v>
      </c>
      <c r="K12">
        <v>55</v>
      </c>
      <c r="L12">
        <v>54</v>
      </c>
      <c r="M12">
        <v>54</v>
      </c>
      <c r="N12">
        <v>53</v>
      </c>
      <c r="O12">
        <v>57</v>
      </c>
      <c r="P12">
        <v>55</v>
      </c>
      <c r="Q12">
        <v>57</v>
      </c>
      <c r="R12">
        <v>59</v>
      </c>
      <c r="S12">
        <v>61</v>
      </c>
      <c r="T12">
        <v>63</v>
      </c>
      <c r="U12">
        <v>64</v>
      </c>
      <c r="V12">
        <v>63</v>
      </c>
      <c r="W12">
        <v>63</v>
      </c>
      <c r="X12">
        <v>60</v>
      </c>
      <c r="Y12">
        <v>58</v>
      </c>
      <c r="Z12" s="2">
        <f>AVERAGE(Sheet1__6[[#This Row],[00:00:00]:[23:00:00]])</f>
        <v>56.708333333333336</v>
      </c>
      <c r="AA12" t="str" cm="1">
        <f t="array" ref="AA12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13" spans="1:30" x14ac:dyDescent="0.3">
      <c r="A13" s="1">
        <v>45789</v>
      </c>
      <c r="B13">
        <v>56</v>
      </c>
      <c r="D13">
        <v>53</v>
      </c>
      <c r="E13">
        <v>53</v>
      </c>
      <c r="F13">
        <v>52</v>
      </c>
      <c r="G13">
        <v>52</v>
      </c>
      <c r="H13">
        <v>52</v>
      </c>
      <c r="I13">
        <v>52</v>
      </c>
      <c r="J13">
        <v>53</v>
      </c>
      <c r="K13">
        <v>54</v>
      </c>
      <c r="L13">
        <v>53</v>
      </c>
      <c r="M13">
        <v>53</v>
      </c>
      <c r="N13">
        <v>53</v>
      </c>
      <c r="O13">
        <v>53</v>
      </c>
      <c r="P13">
        <v>52</v>
      </c>
      <c r="Q13">
        <v>53</v>
      </c>
      <c r="R13">
        <v>52</v>
      </c>
      <c r="S13">
        <v>53</v>
      </c>
      <c r="T13">
        <v>53</v>
      </c>
      <c r="U13">
        <v>51</v>
      </c>
      <c r="V13">
        <v>51</v>
      </c>
      <c r="W13">
        <v>51</v>
      </c>
      <c r="X13">
        <v>50</v>
      </c>
      <c r="Y13">
        <v>48</v>
      </c>
      <c r="Z13" s="2">
        <f>AVERAGE(Sheet1__6[[#This Row],[00:00:00]:[23:00:00]])</f>
        <v>52.304347826086953</v>
      </c>
      <c r="AA13" t="str" cm="1">
        <f t="array" ref="AA13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14" spans="1:30" x14ac:dyDescent="0.3">
      <c r="A14" s="1">
        <v>45790</v>
      </c>
      <c r="B14">
        <v>49</v>
      </c>
      <c r="C14">
        <v>49</v>
      </c>
      <c r="D14">
        <v>49</v>
      </c>
      <c r="E14">
        <v>49</v>
      </c>
      <c r="F14">
        <v>50</v>
      </c>
      <c r="G14">
        <v>50</v>
      </c>
      <c r="H14">
        <v>51</v>
      </c>
      <c r="I14">
        <v>51</v>
      </c>
      <c r="J14">
        <v>52</v>
      </c>
      <c r="K14">
        <v>52</v>
      </c>
      <c r="L14">
        <v>52</v>
      </c>
      <c r="M14">
        <v>52</v>
      </c>
      <c r="N14">
        <v>52</v>
      </c>
      <c r="O14">
        <v>51</v>
      </c>
      <c r="P14">
        <v>51</v>
      </c>
      <c r="Q14">
        <v>51</v>
      </c>
      <c r="R14">
        <v>51</v>
      </c>
      <c r="S14">
        <v>52</v>
      </c>
      <c r="T14">
        <v>52</v>
      </c>
      <c r="U14">
        <v>52</v>
      </c>
      <c r="V14">
        <v>53</v>
      </c>
      <c r="W14">
        <v>53</v>
      </c>
      <c r="X14">
        <v>55</v>
      </c>
      <c r="Y14">
        <v>56</v>
      </c>
      <c r="Z14" s="2">
        <f>AVERAGE(Sheet1__6[[#This Row],[00:00:00]:[23:00:00]])</f>
        <v>51.458333333333336</v>
      </c>
      <c r="AA14" t="str" cm="1">
        <f t="array" ref="AA14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15" spans="1:30" x14ac:dyDescent="0.3">
      <c r="A15" s="1">
        <v>45791</v>
      </c>
      <c r="B15">
        <v>57</v>
      </c>
      <c r="C15">
        <v>59</v>
      </c>
      <c r="D15">
        <v>60</v>
      </c>
      <c r="E15">
        <v>62</v>
      </c>
      <c r="F15">
        <v>65</v>
      </c>
      <c r="G15">
        <v>68</v>
      </c>
      <c r="H15">
        <v>70</v>
      </c>
      <c r="I15">
        <v>72</v>
      </c>
      <c r="J15">
        <v>74</v>
      </c>
      <c r="K15">
        <v>77</v>
      </c>
      <c r="L15">
        <v>78</v>
      </c>
      <c r="M15">
        <v>80</v>
      </c>
      <c r="N15">
        <v>80</v>
      </c>
      <c r="O15">
        <v>82</v>
      </c>
      <c r="P15">
        <v>83</v>
      </c>
      <c r="Q15">
        <v>84</v>
      </c>
      <c r="R15">
        <v>89</v>
      </c>
      <c r="S15">
        <v>89</v>
      </c>
      <c r="T15">
        <v>90</v>
      </c>
      <c r="U15">
        <v>91</v>
      </c>
      <c r="V15">
        <v>91</v>
      </c>
      <c r="W15">
        <v>92</v>
      </c>
      <c r="X15">
        <v>92</v>
      </c>
      <c r="Y15">
        <v>90</v>
      </c>
      <c r="Z15" s="2">
        <f>AVERAGE(Sheet1__6[[#This Row],[00:00:00]:[23:00:00]])</f>
        <v>78.125</v>
      </c>
      <c r="AA15" t="str" cm="1">
        <f t="array" ref="AA15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16" spans="1:30" x14ac:dyDescent="0.3">
      <c r="A16" s="1">
        <v>45792</v>
      </c>
      <c r="B16">
        <v>90</v>
      </c>
      <c r="C16">
        <v>90</v>
      </c>
      <c r="D16">
        <v>87</v>
      </c>
      <c r="E16">
        <v>87</v>
      </c>
      <c r="F16">
        <v>87</v>
      </c>
      <c r="G16">
        <v>87</v>
      </c>
      <c r="H16">
        <v>88</v>
      </c>
      <c r="I16">
        <v>89</v>
      </c>
      <c r="J16">
        <v>89</v>
      </c>
      <c r="K16">
        <v>88</v>
      </c>
      <c r="L16">
        <v>89</v>
      </c>
      <c r="M16">
        <v>89</v>
      </c>
      <c r="N16">
        <v>92</v>
      </c>
      <c r="O16">
        <v>90</v>
      </c>
      <c r="P16">
        <v>90</v>
      </c>
      <c r="Q16">
        <v>90</v>
      </c>
      <c r="R16">
        <v>90</v>
      </c>
      <c r="S16">
        <v>90</v>
      </c>
      <c r="U16">
        <v>90</v>
      </c>
      <c r="V16">
        <v>89</v>
      </c>
      <c r="W16">
        <v>89</v>
      </c>
      <c r="X16">
        <v>89</v>
      </c>
      <c r="Y16">
        <v>89</v>
      </c>
      <c r="Z16" s="2">
        <f>AVERAGE(Sheet1__6[[#This Row],[00:00:00]:[23:00:00]])</f>
        <v>89.043478260869563</v>
      </c>
      <c r="AA16" t="str" cm="1">
        <f t="array" ref="AA16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17" spans="1:27" x14ac:dyDescent="0.3">
      <c r="A17" s="1">
        <v>45793</v>
      </c>
      <c r="B17">
        <v>88</v>
      </c>
      <c r="C17">
        <v>88</v>
      </c>
      <c r="D17">
        <v>83</v>
      </c>
      <c r="E17">
        <v>80</v>
      </c>
      <c r="F17">
        <v>79</v>
      </c>
      <c r="G17">
        <v>79</v>
      </c>
      <c r="H17">
        <v>78</v>
      </c>
      <c r="I17">
        <v>75</v>
      </c>
      <c r="J17">
        <v>74</v>
      </c>
      <c r="K17">
        <v>73</v>
      </c>
      <c r="L17">
        <v>72</v>
      </c>
      <c r="M17">
        <v>71</v>
      </c>
      <c r="N17">
        <v>70</v>
      </c>
      <c r="O17">
        <v>69</v>
      </c>
      <c r="P17">
        <v>76</v>
      </c>
      <c r="Q17">
        <v>76</v>
      </c>
      <c r="R17">
        <v>76</v>
      </c>
      <c r="S17">
        <v>75</v>
      </c>
      <c r="T17">
        <v>75</v>
      </c>
      <c r="U17">
        <v>75</v>
      </c>
      <c r="V17">
        <v>75</v>
      </c>
      <c r="W17">
        <v>75</v>
      </c>
      <c r="X17">
        <v>74</v>
      </c>
      <c r="Y17">
        <v>75</v>
      </c>
      <c r="Z17" s="2">
        <f>AVERAGE(Sheet1__6[[#This Row],[00:00:00]:[23:00:00]])</f>
        <v>76.291666666666671</v>
      </c>
      <c r="AA17" t="str" cm="1">
        <f t="array" ref="AA17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18" spans="1:27" x14ac:dyDescent="0.3">
      <c r="A18" s="1">
        <v>45794</v>
      </c>
      <c r="B18">
        <v>73</v>
      </c>
      <c r="C18">
        <v>73</v>
      </c>
      <c r="D18">
        <v>73</v>
      </c>
      <c r="E18">
        <v>79</v>
      </c>
      <c r="F18">
        <v>79</v>
      </c>
      <c r="G18">
        <v>79</v>
      </c>
      <c r="H18">
        <v>79</v>
      </c>
      <c r="I18">
        <v>79</v>
      </c>
      <c r="J18">
        <v>80</v>
      </c>
      <c r="K18">
        <v>80</v>
      </c>
      <c r="L18">
        <v>81</v>
      </c>
      <c r="M18">
        <v>81</v>
      </c>
      <c r="N18">
        <v>80</v>
      </c>
      <c r="O18">
        <v>79</v>
      </c>
      <c r="P18">
        <v>79</v>
      </c>
      <c r="Q18">
        <v>79</v>
      </c>
      <c r="R18">
        <v>78</v>
      </c>
      <c r="S18">
        <v>78</v>
      </c>
      <c r="T18">
        <v>77</v>
      </c>
      <c r="U18">
        <v>76</v>
      </c>
      <c r="V18">
        <v>76</v>
      </c>
      <c r="W18">
        <v>76</v>
      </c>
      <c r="X18">
        <v>76</v>
      </c>
      <c r="Y18">
        <v>75</v>
      </c>
      <c r="Z18" s="2">
        <f>AVERAGE(Sheet1__6[[#This Row],[00:00:00]:[23:00:00]])</f>
        <v>77.708333333333329</v>
      </c>
      <c r="AA18" t="str" cm="1">
        <f t="array" ref="AA18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19" spans="1:27" x14ac:dyDescent="0.3">
      <c r="A19" s="1">
        <v>45795</v>
      </c>
      <c r="B19">
        <v>75</v>
      </c>
      <c r="C19">
        <v>75</v>
      </c>
      <c r="D19">
        <v>75</v>
      </c>
      <c r="E19">
        <v>75</v>
      </c>
      <c r="F19">
        <v>75</v>
      </c>
      <c r="G19">
        <v>75</v>
      </c>
      <c r="H19">
        <v>76</v>
      </c>
      <c r="I19">
        <v>76</v>
      </c>
      <c r="J19">
        <v>76</v>
      </c>
      <c r="K19">
        <v>76</v>
      </c>
      <c r="L19">
        <v>75</v>
      </c>
      <c r="M19">
        <v>75</v>
      </c>
      <c r="N19">
        <v>75</v>
      </c>
      <c r="O19">
        <v>75</v>
      </c>
      <c r="P19">
        <v>75</v>
      </c>
      <c r="Q19">
        <v>74</v>
      </c>
      <c r="R19">
        <v>74</v>
      </c>
      <c r="S19">
        <v>74</v>
      </c>
      <c r="T19">
        <v>75</v>
      </c>
      <c r="U19">
        <v>75</v>
      </c>
      <c r="V19">
        <v>75</v>
      </c>
      <c r="W19">
        <v>75</v>
      </c>
      <c r="X19">
        <v>75</v>
      </c>
      <c r="Y19">
        <v>75</v>
      </c>
      <c r="Z19" s="2">
        <f>AVERAGE(Sheet1__6[[#This Row],[00:00:00]:[23:00:00]])</f>
        <v>75.041666666666671</v>
      </c>
      <c r="AA19" t="str" cm="1">
        <f t="array" ref="AA19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20" spans="1:27" x14ac:dyDescent="0.3">
      <c r="A20" s="1">
        <v>45796</v>
      </c>
      <c r="B20">
        <v>75</v>
      </c>
      <c r="C20">
        <v>74</v>
      </c>
      <c r="D20">
        <v>74</v>
      </c>
      <c r="E20">
        <v>74</v>
      </c>
      <c r="F20">
        <v>74</v>
      </c>
      <c r="G20">
        <v>74</v>
      </c>
      <c r="H20">
        <v>72</v>
      </c>
      <c r="I20">
        <v>72</v>
      </c>
      <c r="J20">
        <v>72</v>
      </c>
      <c r="K20">
        <v>72</v>
      </c>
      <c r="L20">
        <v>72</v>
      </c>
      <c r="M20">
        <v>74</v>
      </c>
      <c r="N20">
        <v>74</v>
      </c>
      <c r="O20">
        <v>75</v>
      </c>
      <c r="P20">
        <v>75</v>
      </c>
      <c r="Q20">
        <v>75</v>
      </c>
      <c r="R20">
        <v>76</v>
      </c>
      <c r="S20">
        <v>76</v>
      </c>
      <c r="T20">
        <v>76</v>
      </c>
      <c r="U20">
        <v>76</v>
      </c>
      <c r="V20">
        <v>76</v>
      </c>
      <c r="W20">
        <v>76</v>
      </c>
      <c r="X20">
        <v>77</v>
      </c>
      <c r="Y20">
        <v>77</v>
      </c>
      <c r="Z20" s="2">
        <f>AVERAGE(Sheet1__6[[#This Row],[00:00:00]:[23:00:00]])</f>
        <v>74.5</v>
      </c>
      <c r="AA20" t="str" cm="1">
        <f t="array" ref="AA20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21" spans="1:27" x14ac:dyDescent="0.3">
      <c r="A21" s="1">
        <v>45797</v>
      </c>
      <c r="B21">
        <v>78</v>
      </c>
      <c r="C21">
        <v>80</v>
      </c>
      <c r="D21">
        <v>81</v>
      </c>
      <c r="E21">
        <v>81</v>
      </c>
      <c r="F21">
        <v>81</v>
      </c>
      <c r="G21">
        <v>81</v>
      </c>
      <c r="H21">
        <v>82</v>
      </c>
      <c r="I21">
        <v>82</v>
      </c>
      <c r="J21">
        <v>84</v>
      </c>
      <c r="K21">
        <v>84</v>
      </c>
      <c r="L21">
        <v>85</v>
      </c>
      <c r="M21">
        <v>85</v>
      </c>
      <c r="N21">
        <v>86</v>
      </c>
      <c r="O21">
        <v>86</v>
      </c>
      <c r="P21">
        <v>87</v>
      </c>
      <c r="Q21">
        <v>88</v>
      </c>
      <c r="R21">
        <v>88</v>
      </c>
      <c r="S21">
        <v>88</v>
      </c>
      <c r="T21">
        <v>88</v>
      </c>
      <c r="U21">
        <v>89</v>
      </c>
      <c r="V21">
        <v>89</v>
      </c>
      <c r="W21">
        <v>89</v>
      </c>
      <c r="X21">
        <v>89</v>
      </c>
      <c r="Y21">
        <v>73</v>
      </c>
      <c r="Z21" s="2">
        <f>AVERAGE(Sheet1__6[[#This Row],[00:00:00]:[23:00:00]])</f>
        <v>84.333333333333329</v>
      </c>
      <c r="AA21" t="str" cm="1">
        <f t="array" ref="AA21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22" spans="1:27" x14ac:dyDescent="0.3">
      <c r="A22" s="1">
        <v>45798</v>
      </c>
      <c r="B22">
        <v>72</v>
      </c>
      <c r="C22">
        <v>71</v>
      </c>
      <c r="D22">
        <v>70</v>
      </c>
      <c r="E22">
        <v>69</v>
      </c>
      <c r="F22">
        <v>68</v>
      </c>
      <c r="G22">
        <v>66</v>
      </c>
      <c r="H22">
        <v>66</v>
      </c>
      <c r="I22">
        <v>65</v>
      </c>
      <c r="J22">
        <v>64</v>
      </c>
      <c r="K22">
        <v>63</v>
      </c>
      <c r="L22">
        <v>63</v>
      </c>
      <c r="M22">
        <v>62</v>
      </c>
      <c r="N22">
        <v>64</v>
      </c>
      <c r="O22">
        <v>64</v>
      </c>
      <c r="P22">
        <v>64</v>
      </c>
      <c r="Q22">
        <v>64</v>
      </c>
      <c r="R22">
        <v>65</v>
      </c>
      <c r="S22">
        <v>67</v>
      </c>
      <c r="T22">
        <v>70</v>
      </c>
      <c r="U22">
        <v>72</v>
      </c>
      <c r="V22">
        <v>73</v>
      </c>
      <c r="W22">
        <v>73</v>
      </c>
      <c r="X22">
        <v>74</v>
      </c>
      <c r="Y22">
        <v>74</v>
      </c>
      <c r="Z22" s="2">
        <f>AVERAGE(Sheet1__6[[#This Row],[00:00:00]:[23:00:00]])</f>
        <v>67.625</v>
      </c>
      <c r="AA22" t="str" cm="1">
        <f t="array" ref="AA22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23" spans="1:27" x14ac:dyDescent="0.3">
      <c r="A23" s="1">
        <v>45799</v>
      </c>
      <c r="B23">
        <v>73</v>
      </c>
      <c r="C23">
        <v>72</v>
      </c>
      <c r="D23">
        <v>71</v>
      </c>
      <c r="E23">
        <v>69</v>
      </c>
      <c r="F23">
        <v>67</v>
      </c>
      <c r="G23">
        <v>66</v>
      </c>
      <c r="H23">
        <v>65</v>
      </c>
      <c r="I23">
        <v>64</v>
      </c>
      <c r="J23">
        <v>63</v>
      </c>
      <c r="K23">
        <v>62</v>
      </c>
      <c r="L23">
        <v>61</v>
      </c>
      <c r="M23">
        <v>62</v>
      </c>
      <c r="N23">
        <v>61</v>
      </c>
      <c r="O23">
        <v>62</v>
      </c>
      <c r="P23">
        <v>62</v>
      </c>
      <c r="Q23">
        <v>68</v>
      </c>
      <c r="R23">
        <v>67</v>
      </c>
      <c r="S23">
        <v>69</v>
      </c>
      <c r="T23">
        <v>70</v>
      </c>
      <c r="U23">
        <v>70</v>
      </c>
      <c r="V23">
        <v>69</v>
      </c>
      <c r="W23">
        <v>68</v>
      </c>
      <c r="X23">
        <v>68</v>
      </c>
      <c r="Y23">
        <v>67</v>
      </c>
      <c r="Z23" s="2">
        <f>AVERAGE(Sheet1__6[[#This Row],[00:00:00]:[23:00:00]])</f>
        <v>66.5</v>
      </c>
      <c r="AA23" t="str" cm="1">
        <f t="array" ref="AA23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24" spans="1:27" x14ac:dyDescent="0.3">
      <c r="A24" s="1">
        <v>45800</v>
      </c>
      <c r="B24">
        <v>65</v>
      </c>
      <c r="C24">
        <v>65</v>
      </c>
      <c r="D24">
        <v>65</v>
      </c>
      <c r="E24">
        <v>67</v>
      </c>
      <c r="F24">
        <v>68</v>
      </c>
      <c r="G24">
        <v>69</v>
      </c>
      <c r="H24">
        <v>71</v>
      </c>
      <c r="I24">
        <v>72</v>
      </c>
      <c r="J24">
        <v>73</v>
      </c>
      <c r="K24">
        <v>75</v>
      </c>
      <c r="L24">
        <v>76</v>
      </c>
      <c r="M24">
        <v>78</v>
      </c>
      <c r="N24">
        <v>79</v>
      </c>
      <c r="O24">
        <v>80</v>
      </c>
      <c r="P24">
        <v>80</v>
      </c>
      <c r="Q24">
        <v>81</v>
      </c>
      <c r="R24">
        <v>82</v>
      </c>
      <c r="S24">
        <v>82</v>
      </c>
      <c r="T24">
        <v>83</v>
      </c>
      <c r="U24">
        <v>83</v>
      </c>
      <c r="V24">
        <v>82</v>
      </c>
      <c r="W24">
        <v>82</v>
      </c>
      <c r="X24">
        <v>81</v>
      </c>
      <c r="Y24">
        <v>81</v>
      </c>
      <c r="Z24" s="2">
        <f>AVERAGE(Sheet1__6[[#This Row],[00:00:00]:[23:00:00]])</f>
        <v>75.833333333333329</v>
      </c>
      <c r="AA24" t="str" cm="1">
        <f t="array" ref="AA24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25" spans="1:27" x14ac:dyDescent="0.3">
      <c r="A25" s="1">
        <v>45801</v>
      </c>
      <c r="B25">
        <v>82</v>
      </c>
      <c r="C25">
        <v>83</v>
      </c>
      <c r="D25">
        <v>84</v>
      </c>
      <c r="F25">
        <v>86</v>
      </c>
      <c r="G25">
        <v>87</v>
      </c>
      <c r="H25">
        <v>88</v>
      </c>
      <c r="I25">
        <v>89</v>
      </c>
      <c r="J25">
        <v>89</v>
      </c>
      <c r="K25">
        <v>90</v>
      </c>
      <c r="L25">
        <v>91</v>
      </c>
      <c r="M25">
        <v>91</v>
      </c>
      <c r="N25">
        <v>91</v>
      </c>
      <c r="O25">
        <v>91</v>
      </c>
      <c r="P25">
        <v>91</v>
      </c>
      <c r="Q25">
        <v>91</v>
      </c>
      <c r="R25">
        <v>91</v>
      </c>
      <c r="S25">
        <v>91</v>
      </c>
      <c r="T25">
        <v>92</v>
      </c>
      <c r="U25">
        <v>92</v>
      </c>
      <c r="V25">
        <v>92</v>
      </c>
      <c r="W25">
        <v>92</v>
      </c>
      <c r="X25">
        <v>92</v>
      </c>
      <c r="Y25">
        <v>91</v>
      </c>
      <c r="Z25" s="2">
        <f>AVERAGE(Sheet1__6[[#This Row],[00:00:00]:[23:00:00]])</f>
        <v>89.434782608695656</v>
      </c>
      <c r="AA25" t="str" cm="1">
        <f t="array" ref="AA25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26" spans="1:27" x14ac:dyDescent="0.3">
      <c r="A26" s="1">
        <v>45802</v>
      </c>
      <c r="B26">
        <v>89</v>
      </c>
      <c r="C26">
        <v>88</v>
      </c>
      <c r="D26">
        <v>86</v>
      </c>
      <c r="E26">
        <v>85</v>
      </c>
      <c r="F26">
        <v>82</v>
      </c>
      <c r="G26">
        <v>80</v>
      </c>
      <c r="H26">
        <v>78</v>
      </c>
      <c r="I26">
        <v>77</v>
      </c>
      <c r="J26">
        <v>75</v>
      </c>
      <c r="K26">
        <v>73</v>
      </c>
      <c r="L26">
        <v>71</v>
      </c>
      <c r="M26">
        <v>71</v>
      </c>
      <c r="N26">
        <v>71</v>
      </c>
      <c r="O26">
        <v>71</v>
      </c>
      <c r="P26">
        <v>71</v>
      </c>
      <c r="Q26">
        <v>71</v>
      </c>
      <c r="R26">
        <v>72</v>
      </c>
      <c r="S26">
        <v>72</v>
      </c>
      <c r="T26">
        <v>71</v>
      </c>
      <c r="U26">
        <v>71</v>
      </c>
      <c r="V26">
        <v>71</v>
      </c>
      <c r="Z26" s="2">
        <f>AVERAGE(Sheet1__6[[#This Row],[00:00:00]:[23:00:00]])</f>
        <v>76</v>
      </c>
      <c r="AA26" t="str" cm="1">
        <f t="array" ref="AA26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27" spans="1:27" x14ac:dyDescent="0.3">
      <c r="A27" s="1">
        <v>45803</v>
      </c>
      <c r="D27">
        <v>73</v>
      </c>
      <c r="E27">
        <v>81</v>
      </c>
      <c r="F27">
        <v>73</v>
      </c>
      <c r="G27">
        <v>66</v>
      </c>
      <c r="H27">
        <v>65</v>
      </c>
      <c r="I27">
        <v>65</v>
      </c>
      <c r="J27">
        <v>65</v>
      </c>
      <c r="K27">
        <v>65</v>
      </c>
      <c r="L27">
        <v>65</v>
      </c>
      <c r="M27">
        <v>71</v>
      </c>
      <c r="N27">
        <v>67</v>
      </c>
      <c r="O27">
        <v>64</v>
      </c>
      <c r="P27">
        <v>57</v>
      </c>
      <c r="Q27">
        <v>56</v>
      </c>
      <c r="R27">
        <v>54</v>
      </c>
      <c r="S27">
        <v>52</v>
      </c>
      <c r="T27">
        <v>51</v>
      </c>
      <c r="U27">
        <v>57</v>
      </c>
      <c r="V27">
        <v>58</v>
      </c>
      <c r="W27">
        <v>60</v>
      </c>
      <c r="X27">
        <v>61</v>
      </c>
      <c r="Y27">
        <v>62</v>
      </c>
      <c r="Z27" s="2">
        <f>AVERAGE(Sheet1__6[[#This Row],[00:00:00]:[23:00:00]])</f>
        <v>63.090909090909093</v>
      </c>
      <c r="AA27" t="str" cm="1">
        <f t="array" ref="AA27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28" spans="1:27" x14ac:dyDescent="0.3">
      <c r="A28" s="1">
        <v>45804</v>
      </c>
      <c r="B28">
        <v>63</v>
      </c>
      <c r="C28">
        <v>70</v>
      </c>
      <c r="D28">
        <v>70</v>
      </c>
      <c r="E28">
        <v>66</v>
      </c>
      <c r="F28">
        <v>65</v>
      </c>
      <c r="G28">
        <v>65</v>
      </c>
      <c r="H28">
        <v>64</v>
      </c>
      <c r="I28">
        <v>63</v>
      </c>
      <c r="J28">
        <v>63</v>
      </c>
      <c r="K28">
        <v>63</v>
      </c>
      <c r="L28">
        <v>64</v>
      </c>
      <c r="M28">
        <v>66</v>
      </c>
      <c r="N28">
        <v>66</v>
      </c>
      <c r="O28">
        <v>66</v>
      </c>
      <c r="P28">
        <v>65</v>
      </c>
      <c r="Q28">
        <v>66</v>
      </c>
      <c r="R28">
        <v>68</v>
      </c>
      <c r="S28">
        <v>67</v>
      </c>
      <c r="T28">
        <v>67</v>
      </c>
      <c r="U28">
        <v>64</v>
      </c>
      <c r="V28">
        <v>62</v>
      </c>
      <c r="W28">
        <v>61</v>
      </c>
      <c r="X28">
        <v>59</v>
      </c>
      <c r="Y28">
        <v>58</v>
      </c>
      <c r="Z28" s="2">
        <f>AVERAGE(Sheet1__6[[#This Row],[00:00:00]:[23:00:00]])</f>
        <v>64.625</v>
      </c>
      <c r="AA28" t="str" cm="1">
        <f t="array" ref="AA28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29" spans="1:27" x14ac:dyDescent="0.3">
      <c r="A29" s="1">
        <v>45805</v>
      </c>
      <c r="B29">
        <v>58</v>
      </c>
      <c r="C29">
        <v>58</v>
      </c>
      <c r="D29">
        <v>60</v>
      </c>
      <c r="E29">
        <v>60</v>
      </c>
      <c r="F29">
        <v>62</v>
      </c>
      <c r="G29">
        <v>62</v>
      </c>
      <c r="H29">
        <v>63</v>
      </c>
      <c r="I29">
        <v>64</v>
      </c>
      <c r="J29">
        <v>65</v>
      </c>
      <c r="K29">
        <v>66</v>
      </c>
      <c r="L29">
        <v>66</v>
      </c>
      <c r="M29">
        <v>67</v>
      </c>
      <c r="N29">
        <v>68</v>
      </c>
      <c r="O29">
        <v>70</v>
      </c>
      <c r="P29">
        <v>70</v>
      </c>
      <c r="Q29">
        <v>72</v>
      </c>
      <c r="R29">
        <v>72</v>
      </c>
      <c r="S29">
        <v>72</v>
      </c>
      <c r="T29">
        <v>72</v>
      </c>
      <c r="U29">
        <v>72</v>
      </c>
      <c r="V29">
        <v>72</v>
      </c>
      <c r="W29">
        <v>72</v>
      </c>
      <c r="X29">
        <v>72</v>
      </c>
      <c r="Y29">
        <v>72</v>
      </c>
      <c r="Z29" s="2">
        <f>AVERAGE(Sheet1__6[[#This Row],[00:00:00]:[23:00:00]])</f>
        <v>66.958333333333329</v>
      </c>
      <c r="AA29" t="str" cm="1">
        <f t="array" ref="AA29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30" spans="1:27" x14ac:dyDescent="0.3">
      <c r="A30" s="1">
        <v>45806</v>
      </c>
      <c r="B30">
        <v>73</v>
      </c>
      <c r="C30">
        <v>72</v>
      </c>
      <c r="D30">
        <v>72</v>
      </c>
      <c r="E30">
        <v>72</v>
      </c>
      <c r="F30">
        <v>72</v>
      </c>
      <c r="G30">
        <v>72</v>
      </c>
      <c r="H30">
        <v>70</v>
      </c>
      <c r="I30">
        <v>70</v>
      </c>
      <c r="J30">
        <v>70</v>
      </c>
      <c r="K30">
        <v>70</v>
      </c>
      <c r="L30">
        <v>71</v>
      </c>
      <c r="M30">
        <v>71</v>
      </c>
      <c r="N30">
        <v>72</v>
      </c>
      <c r="O30">
        <v>73</v>
      </c>
      <c r="P30">
        <v>70</v>
      </c>
      <c r="Q30">
        <v>71</v>
      </c>
      <c r="R30">
        <v>74</v>
      </c>
      <c r="S30">
        <v>75</v>
      </c>
      <c r="T30">
        <v>77</v>
      </c>
      <c r="U30">
        <v>78</v>
      </c>
      <c r="V30">
        <v>80</v>
      </c>
      <c r="W30">
        <v>80</v>
      </c>
      <c r="X30">
        <v>82</v>
      </c>
      <c r="Y30">
        <v>83</v>
      </c>
      <c r="Z30" s="2">
        <f>AVERAGE(Sheet1__6[[#This Row],[00:00:00]:[23:00:00]])</f>
        <v>73.75</v>
      </c>
      <c r="AA30" t="str" cm="1">
        <f t="array" ref="AA30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31" spans="1:27" x14ac:dyDescent="0.3">
      <c r="A31" s="1">
        <v>45807</v>
      </c>
      <c r="B31">
        <v>81</v>
      </c>
      <c r="C31">
        <v>85</v>
      </c>
      <c r="D31">
        <v>86</v>
      </c>
      <c r="E31">
        <v>87</v>
      </c>
      <c r="F31">
        <v>88</v>
      </c>
      <c r="G31">
        <v>91</v>
      </c>
      <c r="H31">
        <v>92</v>
      </c>
      <c r="I31">
        <v>92</v>
      </c>
      <c r="J31">
        <v>90</v>
      </c>
      <c r="K31">
        <v>89</v>
      </c>
      <c r="L31">
        <v>89</v>
      </c>
      <c r="M31">
        <v>89</v>
      </c>
      <c r="N31">
        <v>91</v>
      </c>
      <c r="O31">
        <v>91</v>
      </c>
      <c r="P31">
        <v>92</v>
      </c>
      <c r="Q31">
        <v>92</v>
      </c>
      <c r="R31">
        <v>92</v>
      </c>
      <c r="S31">
        <v>92</v>
      </c>
      <c r="T31">
        <v>92</v>
      </c>
      <c r="U31">
        <v>91</v>
      </c>
      <c r="V31">
        <v>91</v>
      </c>
      <c r="W31">
        <v>92</v>
      </c>
      <c r="X31">
        <v>91</v>
      </c>
      <c r="Y31">
        <v>91</v>
      </c>
      <c r="Z31" s="2">
        <f>AVERAGE(Sheet1__6[[#This Row],[00:00:00]:[23:00:00]])</f>
        <v>89.875</v>
      </c>
      <c r="AA31" t="str" cm="1">
        <f t="array" ref="AA31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32" spans="1:27" x14ac:dyDescent="0.3">
      <c r="A32" s="1">
        <v>45808</v>
      </c>
      <c r="B32">
        <v>90</v>
      </c>
      <c r="C32">
        <v>95</v>
      </c>
      <c r="D32">
        <v>88</v>
      </c>
      <c r="E32">
        <v>88</v>
      </c>
      <c r="F32">
        <v>88</v>
      </c>
      <c r="G32">
        <v>88</v>
      </c>
      <c r="H32">
        <v>85</v>
      </c>
      <c r="I32">
        <v>84</v>
      </c>
      <c r="J32">
        <v>83</v>
      </c>
      <c r="K32">
        <v>80</v>
      </c>
      <c r="L32">
        <v>80</v>
      </c>
      <c r="M32">
        <v>80</v>
      </c>
      <c r="N32">
        <v>80</v>
      </c>
      <c r="O32">
        <v>80</v>
      </c>
      <c r="P32">
        <v>82</v>
      </c>
      <c r="Q32">
        <v>81</v>
      </c>
      <c r="R32">
        <v>80</v>
      </c>
      <c r="S32">
        <v>79</v>
      </c>
      <c r="T32">
        <v>78</v>
      </c>
      <c r="U32">
        <v>80</v>
      </c>
      <c r="V32">
        <v>78</v>
      </c>
      <c r="W32">
        <v>78</v>
      </c>
      <c r="X32">
        <v>77</v>
      </c>
      <c r="Y32">
        <v>76</v>
      </c>
      <c r="Z32" s="2">
        <f>AVERAGE(Sheet1__6[[#This Row],[00:00:00]:[23:00:00]])</f>
        <v>82.416666666666671</v>
      </c>
      <c r="AA32" t="str" cm="1">
        <f t="array" ref="AA32">_xlfn.IFS(Sheet1__6[[#This Row],[AVERAGE AQI]]&lt;50,"GOOD",Sheet1__6[[#This Row],[AVERAGE AQI]]&lt;=100,"MODERATE",Sheet1__6[[#This Row],[AVERAGE AQI]]&lt;=150,"BAD",Sheet1__6[[#This Row],[AVERAGE AQI]]&lt;=200,"VERY BAD")</f>
        <v>MODERATE</v>
      </c>
    </row>
    <row r="33" spans="26:26" x14ac:dyDescent="0.3">
      <c r="Z33" s="2">
        <f>SUBTOTAL(101,Sheet1__6[AVERAGE AQI])</f>
        <v>67.610926941221464</v>
      </c>
    </row>
  </sheetData>
  <conditionalFormatting sqref="AA1:AA1048576">
    <cfRule type="containsText" dxfId="21" priority="1" operator="containsText" text="MODERATE">
      <formula>NOT(ISERROR(SEARCH("MODERATE",AA1)))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7CA1-A7A8-4688-A593-EC123D1118CC}">
  <dimension ref="A1:AD32"/>
  <sheetViews>
    <sheetView topLeftCell="R1" workbookViewId="0">
      <selection activeCell="Z2" sqref="Z2"/>
    </sheetView>
  </sheetViews>
  <sheetFormatPr defaultRowHeight="14.4" x14ac:dyDescent="0.3"/>
  <cols>
    <col min="1" max="25" width="10.33203125" bestFit="1" customWidth="1"/>
    <col min="26" max="26" width="11.21875" bestFit="1" customWidth="1"/>
    <col min="27" max="27" width="10.5546875" bestFit="1" customWidth="1"/>
  </cols>
  <sheetData>
    <row r="1" spans="1:30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28</v>
      </c>
      <c r="AA1" t="s">
        <v>26</v>
      </c>
      <c r="AC1" t="s">
        <v>27</v>
      </c>
      <c r="AD1">
        <f>AVERAGE(Sheet1__7[AVERAGE AQI])</f>
        <v>58.836842806951502</v>
      </c>
    </row>
    <row r="2" spans="1:30" ht="15" thickTop="1" x14ac:dyDescent="0.3">
      <c r="A2" s="1">
        <v>45809</v>
      </c>
      <c r="B2">
        <v>76</v>
      </c>
      <c r="C2">
        <v>73</v>
      </c>
      <c r="D2">
        <v>73</v>
      </c>
      <c r="E2">
        <v>72</v>
      </c>
      <c r="F2">
        <v>69</v>
      </c>
      <c r="G2">
        <v>68</v>
      </c>
      <c r="H2">
        <v>68</v>
      </c>
      <c r="I2">
        <v>67</v>
      </c>
      <c r="J2">
        <v>67</v>
      </c>
      <c r="K2">
        <v>66</v>
      </c>
      <c r="L2">
        <v>65</v>
      </c>
      <c r="M2">
        <v>66</v>
      </c>
      <c r="N2">
        <v>65</v>
      </c>
      <c r="O2">
        <v>64</v>
      </c>
      <c r="P2">
        <v>63</v>
      </c>
      <c r="Q2">
        <v>63</v>
      </c>
      <c r="R2">
        <v>62</v>
      </c>
      <c r="S2">
        <v>62</v>
      </c>
      <c r="T2">
        <v>62</v>
      </c>
      <c r="U2">
        <v>61</v>
      </c>
      <c r="V2">
        <v>61</v>
      </c>
      <c r="W2">
        <v>60</v>
      </c>
      <c r="X2">
        <v>60</v>
      </c>
      <c r="Y2">
        <v>60</v>
      </c>
      <c r="Z2" s="2">
        <f>AVERAGE(Sheet1__7[[#This Row],[00:00:00]:[23:00:00]])</f>
        <v>65.541666666666671</v>
      </c>
      <c r="AA2" t="str" cm="1">
        <f t="array" ref="AA2">_xlfn.IFS(Sheet1__7[[#This Row],[AVERAGE AQI]]&lt;50,"GOOD",Sheet1__7[[#This Row],[AVERAGE AQI]]&lt;=100,"MODERATE",Sheet1__7[[#This Row],[AVERAGE AQI]]&lt;=150,"BAD",Sheet1__7[[#This Row],[AVERAGE AQI]]&lt;=200,"VERY BAD")</f>
        <v>MODERATE</v>
      </c>
      <c r="AD2" s="3"/>
    </row>
    <row r="3" spans="1:30" x14ac:dyDescent="0.3">
      <c r="A3" s="1">
        <v>45810</v>
      </c>
      <c r="B3">
        <v>59</v>
      </c>
      <c r="C3">
        <v>59</v>
      </c>
      <c r="D3">
        <v>59</v>
      </c>
      <c r="E3">
        <v>59</v>
      </c>
      <c r="F3">
        <v>60</v>
      </c>
      <c r="G3">
        <v>60</v>
      </c>
      <c r="H3">
        <v>60</v>
      </c>
      <c r="I3">
        <v>60</v>
      </c>
      <c r="J3">
        <v>61</v>
      </c>
      <c r="K3">
        <v>60</v>
      </c>
      <c r="L3">
        <v>60</v>
      </c>
      <c r="M3">
        <v>60</v>
      </c>
      <c r="N3">
        <v>61</v>
      </c>
      <c r="O3">
        <v>61</v>
      </c>
      <c r="P3">
        <v>62</v>
      </c>
      <c r="Q3">
        <v>62</v>
      </c>
      <c r="R3">
        <v>63</v>
      </c>
      <c r="S3">
        <v>64</v>
      </c>
      <c r="T3">
        <v>64</v>
      </c>
      <c r="U3">
        <v>65</v>
      </c>
      <c r="V3">
        <v>65</v>
      </c>
      <c r="W3">
        <v>65</v>
      </c>
      <c r="X3">
        <v>67</v>
      </c>
      <c r="Y3">
        <v>68</v>
      </c>
      <c r="Z3" s="2">
        <f>AVERAGE(Sheet1__7[[#This Row],[00:00:00]:[23:00:00]])</f>
        <v>61.833333333333336</v>
      </c>
      <c r="AA3" t="str" cm="1">
        <f t="array" ref="AA3">_xlfn.IFS(Sheet1__7[[#This Row],[AVERAGE AQI]]&lt;50,"GOOD",Sheet1__7[[#This Row],[AVERAGE AQI]]&lt;=100,"MODERATE",Sheet1__7[[#This Row],[AVERAGE AQI]]&lt;=150,"BAD",Sheet1__7[[#This Row],[AVERAGE AQI]]&lt;=200,"VERY BAD")</f>
        <v>MODERATE</v>
      </c>
    </row>
    <row r="4" spans="1:30" x14ac:dyDescent="0.3">
      <c r="A4" s="1">
        <v>45811</v>
      </c>
      <c r="B4">
        <v>68</v>
      </c>
      <c r="C4">
        <v>69</v>
      </c>
      <c r="D4">
        <v>68</v>
      </c>
      <c r="E4">
        <v>66</v>
      </c>
      <c r="F4">
        <v>67</v>
      </c>
      <c r="G4">
        <v>67</v>
      </c>
      <c r="H4">
        <v>66</v>
      </c>
      <c r="I4">
        <v>67</v>
      </c>
      <c r="J4">
        <v>67</v>
      </c>
      <c r="K4">
        <v>67</v>
      </c>
      <c r="L4">
        <v>67</v>
      </c>
      <c r="M4">
        <v>67</v>
      </c>
      <c r="N4">
        <v>67</v>
      </c>
      <c r="O4">
        <v>66</v>
      </c>
      <c r="P4">
        <v>66</v>
      </c>
      <c r="Q4">
        <v>66</v>
      </c>
      <c r="R4">
        <v>66</v>
      </c>
      <c r="S4">
        <v>66</v>
      </c>
      <c r="W4">
        <v>65</v>
      </c>
      <c r="X4">
        <v>65</v>
      </c>
      <c r="Y4">
        <v>64</v>
      </c>
      <c r="Z4" s="2">
        <f>AVERAGE(Sheet1__7[[#This Row],[00:00:00]:[23:00:00]])</f>
        <v>66.523809523809518</v>
      </c>
      <c r="AA4" t="str" cm="1">
        <f t="array" ref="AA4">_xlfn.IFS(Sheet1__7[[#This Row],[AVERAGE AQI]]&lt;50,"GOOD",Sheet1__7[[#This Row],[AVERAGE AQI]]&lt;=100,"MODERATE",Sheet1__7[[#This Row],[AVERAGE AQI]]&lt;=150,"BAD",Sheet1__7[[#This Row],[AVERAGE AQI]]&lt;=200,"VERY BAD")</f>
        <v>MODERATE</v>
      </c>
    </row>
    <row r="5" spans="1:30" x14ac:dyDescent="0.3">
      <c r="A5" s="1">
        <v>45812</v>
      </c>
      <c r="B5">
        <v>64</v>
      </c>
      <c r="C5">
        <v>63</v>
      </c>
      <c r="D5">
        <v>63</v>
      </c>
      <c r="E5">
        <v>63</v>
      </c>
      <c r="F5">
        <v>63</v>
      </c>
      <c r="G5">
        <v>62</v>
      </c>
      <c r="H5">
        <v>61</v>
      </c>
      <c r="I5">
        <v>60</v>
      </c>
      <c r="J5">
        <v>60</v>
      </c>
      <c r="K5">
        <v>58</v>
      </c>
      <c r="L5">
        <v>57</v>
      </c>
      <c r="M5">
        <v>56</v>
      </c>
      <c r="N5">
        <v>55</v>
      </c>
      <c r="O5">
        <v>55</v>
      </c>
      <c r="P5">
        <v>54</v>
      </c>
      <c r="Q5">
        <v>55</v>
      </c>
      <c r="R5">
        <v>55</v>
      </c>
      <c r="S5">
        <v>54</v>
      </c>
      <c r="T5">
        <v>54</v>
      </c>
      <c r="U5">
        <v>55</v>
      </c>
      <c r="V5">
        <v>54</v>
      </c>
      <c r="W5">
        <v>54</v>
      </c>
      <c r="X5">
        <v>54</v>
      </c>
      <c r="Y5">
        <v>54</v>
      </c>
      <c r="Z5" s="2">
        <f>AVERAGE(Sheet1__7[[#This Row],[00:00:00]:[23:00:00]])</f>
        <v>57.625</v>
      </c>
      <c r="AA5" t="str" cm="1">
        <f t="array" ref="AA5">_xlfn.IFS(Sheet1__7[[#This Row],[AVERAGE AQI]]&lt;50,"GOOD",Sheet1__7[[#This Row],[AVERAGE AQI]]&lt;=100,"MODERATE",Sheet1__7[[#This Row],[AVERAGE AQI]]&lt;=150,"BAD",Sheet1__7[[#This Row],[AVERAGE AQI]]&lt;=200,"VERY BAD")</f>
        <v>MODERATE</v>
      </c>
    </row>
    <row r="6" spans="1:30" x14ac:dyDescent="0.3">
      <c r="A6" s="1">
        <v>45813</v>
      </c>
      <c r="B6">
        <v>54</v>
      </c>
      <c r="C6">
        <v>54</v>
      </c>
      <c r="D6">
        <v>55</v>
      </c>
      <c r="E6">
        <v>56</v>
      </c>
      <c r="G6">
        <v>58</v>
      </c>
      <c r="H6">
        <v>58</v>
      </c>
      <c r="I6">
        <v>64</v>
      </c>
      <c r="J6">
        <v>66</v>
      </c>
      <c r="K6">
        <v>68</v>
      </c>
      <c r="L6">
        <v>69</v>
      </c>
      <c r="M6">
        <v>73</v>
      </c>
      <c r="N6">
        <v>75</v>
      </c>
      <c r="O6">
        <v>76</v>
      </c>
      <c r="Q6">
        <v>77</v>
      </c>
      <c r="R6">
        <v>79</v>
      </c>
      <c r="S6">
        <v>80</v>
      </c>
      <c r="T6">
        <v>81</v>
      </c>
      <c r="U6">
        <v>83</v>
      </c>
      <c r="V6">
        <v>84</v>
      </c>
      <c r="W6">
        <v>85</v>
      </c>
      <c r="X6">
        <v>87</v>
      </c>
      <c r="Y6">
        <v>86</v>
      </c>
      <c r="Z6" s="2">
        <f>AVERAGE(Sheet1__7[[#This Row],[00:00:00]:[23:00:00]])</f>
        <v>71.272727272727266</v>
      </c>
      <c r="AA6" t="str" cm="1">
        <f t="array" ref="AA6">_xlfn.IFS(Sheet1__7[[#This Row],[AVERAGE AQI]]&lt;50,"GOOD",Sheet1__7[[#This Row],[AVERAGE AQI]]&lt;=100,"MODERATE",Sheet1__7[[#This Row],[AVERAGE AQI]]&lt;=150,"BAD",Sheet1__7[[#This Row],[AVERAGE AQI]]&lt;=200,"VERY BAD")</f>
        <v>MODERATE</v>
      </c>
    </row>
    <row r="7" spans="1:30" x14ac:dyDescent="0.3">
      <c r="A7" s="1">
        <v>45814</v>
      </c>
      <c r="B7">
        <v>87</v>
      </c>
      <c r="C7">
        <v>88</v>
      </c>
      <c r="D7">
        <v>90</v>
      </c>
      <c r="E7">
        <v>90</v>
      </c>
      <c r="F7">
        <v>92</v>
      </c>
      <c r="G7">
        <v>93</v>
      </c>
      <c r="H7">
        <v>94</v>
      </c>
      <c r="I7">
        <v>95</v>
      </c>
      <c r="J7">
        <v>96</v>
      </c>
      <c r="K7">
        <v>97</v>
      </c>
      <c r="L7">
        <v>97</v>
      </c>
      <c r="M7">
        <v>97</v>
      </c>
      <c r="N7">
        <v>97</v>
      </c>
      <c r="O7">
        <v>96</v>
      </c>
      <c r="P7">
        <v>95</v>
      </c>
      <c r="Q7">
        <v>95</v>
      </c>
      <c r="R7">
        <v>94</v>
      </c>
      <c r="S7">
        <v>93</v>
      </c>
      <c r="T7">
        <v>92</v>
      </c>
      <c r="U7">
        <v>91</v>
      </c>
      <c r="V7">
        <v>90</v>
      </c>
      <c r="W7">
        <v>89</v>
      </c>
      <c r="X7">
        <v>88</v>
      </c>
      <c r="Y7">
        <v>87</v>
      </c>
      <c r="Z7" s="2">
        <f>AVERAGE(Sheet1__7[[#This Row],[00:00:00]:[23:00:00]])</f>
        <v>92.625</v>
      </c>
      <c r="AA7" t="str" cm="1">
        <f t="array" ref="AA7">_xlfn.IFS(Sheet1__7[[#This Row],[AVERAGE AQI]]&lt;50,"GOOD",Sheet1__7[[#This Row],[AVERAGE AQI]]&lt;=100,"MODERATE",Sheet1__7[[#This Row],[AVERAGE AQI]]&lt;=150,"BAD",Sheet1__7[[#This Row],[AVERAGE AQI]]&lt;=200,"VERY BAD")</f>
        <v>MODERATE</v>
      </c>
    </row>
    <row r="8" spans="1:30" x14ac:dyDescent="0.3">
      <c r="A8" s="1">
        <v>45815</v>
      </c>
      <c r="B8">
        <v>86</v>
      </c>
      <c r="C8">
        <v>84</v>
      </c>
      <c r="D8">
        <v>84</v>
      </c>
      <c r="E8">
        <v>82</v>
      </c>
      <c r="F8">
        <v>81</v>
      </c>
      <c r="G8">
        <v>79</v>
      </c>
      <c r="H8">
        <v>76</v>
      </c>
      <c r="I8">
        <v>75</v>
      </c>
      <c r="J8">
        <v>73</v>
      </c>
      <c r="K8">
        <v>71</v>
      </c>
      <c r="L8">
        <v>69</v>
      </c>
      <c r="M8">
        <v>76</v>
      </c>
      <c r="N8">
        <v>75</v>
      </c>
      <c r="O8">
        <v>71</v>
      </c>
      <c r="P8">
        <v>64</v>
      </c>
      <c r="Q8">
        <v>64</v>
      </c>
      <c r="R8">
        <v>63</v>
      </c>
      <c r="S8">
        <v>64</v>
      </c>
      <c r="T8">
        <v>64</v>
      </c>
      <c r="U8">
        <v>63</v>
      </c>
      <c r="V8">
        <v>62</v>
      </c>
      <c r="W8">
        <v>60</v>
      </c>
      <c r="X8">
        <v>59</v>
      </c>
      <c r="Y8">
        <v>59</v>
      </c>
      <c r="Z8" s="2">
        <f>AVERAGE(Sheet1__7[[#This Row],[00:00:00]:[23:00:00]])</f>
        <v>71</v>
      </c>
      <c r="AA8" t="str" cm="1">
        <f t="array" ref="AA8">_xlfn.IFS(Sheet1__7[[#This Row],[AVERAGE AQI]]&lt;50,"GOOD",Sheet1__7[[#This Row],[AVERAGE AQI]]&lt;=100,"MODERATE",Sheet1__7[[#This Row],[AVERAGE AQI]]&lt;=150,"BAD",Sheet1__7[[#This Row],[AVERAGE AQI]]&lt;=200,"VERY BAD")</f>
        <v>MODERATE</v>
      </c>
    </row>
    <row r="9" spans="1:30" x14ac:dyDescent="0.3">
      <c r="A9" s="1">
        <v>45816</v>
      </c>
      <c r="B9">
        <v>59</v>
      </c>
      <c r="C9">
        <v>60</v>
      </c>
      <c r="D9">
        <v>61</v>
      </c>
      <c r="E9">
        <v>62</v>
      </c>
      <c r="F9">
        <v>64</v>
      </c>
      <c r="G9">
        <v>65</v>
      </c>
      <c r="H9">
        <v>65</v>
      </c>
      <c r="I9">
        <v>65</v>
      </c>
      <c r="J9">
        <v>65</v>
      </c>
      <c r="K9">
        <v>64</v>
      </c>
      <c r="L9">
        <v>64</v>
      </c>
      <c r="M9">
        <v>64</v>
      </c>
      <c r="N9">
        <v>64</v>
      </c>
      <c r="O9">
        <v>64</v>
      </c>
      <c r="P9">
        <v>65</v>
      </c>
      <c r="Q9">
        <v>65</v>
      </c>
      <c r="R9">
        <v>65</v>
      </c>
      <c r="S9">
        <v>66</v>
      </c>
      <c r="U9">
        <v>67</v>
      </c>
      <c r="V9">
        <v>68</v>
      </c>
      <c r="W9">
        <v>69</v>
      </c>
      <c r="X9">
        <v>70</v>
      </c>
      <c r="Y9">
        <v>71</v>
      </c>
      <c r="Z9" s="2">
        <f>AVERAGE(Sheet1__7[[#This Row],[00:00:00]:[23:00:00]])</f>
        <v>64.869565217391298</v>
      </c>
      <c r="AA9" t="str" cm="1">
        <f t="array" ref="AA9">_xlfn.IFS(Sheet1__7[[#This Row],[AVERAGE AQI]]&lt;50,"GOOD",Sheet1__7[[#This Row],[AVERAGE AQI]]&lt;=100,"MODERATE",Sheet1__7[[#This Row],[AVERAGE AQI]]&lt;=150,"BAD",Sheet1__7[[#This Row],[AVERAGE AQI]]&lt;=200,"VERY BAD")</f>
        <v>MODERATE</v>
      </c>
    </row>
    <row r="10" spans="1:30" x14ac:dyDescent="0.3">
      <c r="A10" s="1">
        <v>45817</v>
      </c>
      <c r="B10">
        <v>71</v>
      </c>
      <c r="C10">
        <v>70</v>
      </c>
      <c r="D10">
        <v>70</v>
      </c>
      <c r="E10">
        <v>69</v>
      </c>
      <c r="F10">
        <v>69</v>
      </c>
      <c r="G10">
        <v>69</v>
      </c>
      <c r="H10">
        <v>69</v>
      </c>
      <c r="I10">
        <v>69</v>
      </c>
      <c r="J10">
        <v>69</v>
      </c>
      <c r="K10">
        <v>69</v>
      </c>
      <c r="L10">
        <v>69</v>
      </c>
      <c r="M10">
        <v>69</v>
      </c>
      <c r="N10">
        <v>69</v>
      </c>
      <c r="O10">
        <v>70</v>
      </c>
      <c r="P10">
        <v>70</v>
      </c>
      <c r="Q10">
        <v>71</v>
      </c>
      <c r="R10">
        <v>69</v>
      </c>
      <c r="S10">
        <v>69</v>
      </c>
      <c r="T10">
        <v>69</v>
      </c>
      <c r="U10">
        <v>69</v>
      </c>
      <c r="V10">
        <v>69</v>
      </c>
      <c r="W10">
        <v>69</v>
      </c>
      <c r="X10">
        <v>69</v>
      </c>
      <c r="Y10">
        <v>69</v>
      </c>
      <c r="Z10" s="2">
        <f>AVERAGE(Sheet1__7[[#This Row],[00:00:00]:[23:00:00]])</f>
        <v>69.333333333333329</v>
      </c>
      <c r="AA10" t="str" cm="1">
        <f t="array" ref="AA10">_xlfn.IFS(Sheet1__7[[#This Row],[AVERAGE AQI]]&lt;50,"GOOD",Sheet1__7[[#This Row],[AVERAGE AQI]]&lt;=100,"MODERATE",Sheet1__7[[#This Row],[AVERAGE AQI]]&lt;=150,"BAD",Sheet1__7[[#This Row],[AVERAGE AQI]]&lt;=200,"VERY BAD")</f>
        <v>MODERATE</v>
      </c>
    </row>
    <row r="11" spans="1:30" x14ac:dyDescent="0.3">
      <c r="A11" s="1">
        <v>45818</v>
      </c>
      <c r="B11">
        <v>69</v>
      </c>
      <c r="C11">
        <v>69</v>
      </c>
      <c r="D11">
        <v>68</v>
      </c>
      <c r="E11">
        <v>68</v>
      </c>
      <c r="F11">
        <v>70</v>
      </c>
      <c r="G11">
        <v>69</v>
      </c>
      <c r="H11">
        <v>69</v>
      </c>
      <c r="I11">
        <v>67</v>
      </c>
      <c r="J11">
        <v>66</v>
      </c>
      <c r="K11">
        <v>66</v>
      </c>
      <c r="L11">
        <v>66</v>
      </c>
      <c r="M11">
        <v>65</v>
      </c>
      <c r="N11">
        <v>65</v>
      </c>
      <c r="O11">
        <v>64</v>
      </c>
      <c r="P11">
        <v>64</v>
      </c>
      <c r="Q11">
        <v>63</v>
      </c>
      <c r="R11">
        <v>63</v>
      </c>
      <c r="S11">
        <v>64</v>
      </c>
      <c r="T11">
        <v>63</v>
      </c>
      <c r="U11">
        <v>63</v>
      </c>
      <c r="V11">
        <v>62</v>
      </c>
      <c r="W11">
        <v>60</v>
      </c>
      <c r="X11">
        <v>60</v>
      </c>
      <c r="Y11">
        <v>59</v>
      </c>
      <c r="Z11" s="2">
        <f>AVERAGE(Sheet1__7[[#This Row],[00:00:00]:[23:00:00]])</f>
        <v>65.083333333333329</v>
      </c>
      <c r="AA11" t="str" cm="1">
        <f t="array" ref="AA11">_xlfn.IFS(Sheet1__7[[#This Row],[AVERAGE AQI]]&lt;50,"GOOD",Sheet1__7[[#This Row],[AVERAGE AQI]]&lt;=100,"MODERATE",Sheet1__7[[#This Row],[AVERAGE AQI]]&lt;=150,"BAD",Sheet1__7[[#This Row],[AVERAGE AQI]]&lt;=200,"VERY BAD")</f>
        <v>MODERATE</v>
      </c>
    </row>
    <row r="12" spans="1:30" x14ac:dyDescent="0.3">
      <c r="A12" s="1">
        <v>45819</v>
      </c>
      <c r="B12">
        <v>58</v>
      </c>
      <c r="C12">
        <v>58</v>
      </c>
      <c r="D12">
        <v>57</v>
      </c>
      <c r="E12">
        <v>57</v>
      </c>
      <c r="F12">
        <v>57</v>
      </c>
      <c r="G12">
        <v>56</v>
      </c>
      <c r="H12">
        <v>56</v>
      </c>
      <c r="I12">
        <v>56</v>
      </c>
      <c r="J12">
        <v>55</v>
      </c>
      <c r="K12">
        <v>55</v>
      </c>
      <c r="L12">
        <v>54</v>
      </c>
      <c r="M12">
        <v>53</v>
      </c>
      <c r="N12">
        <v>53</v>
      </c>
      <c r="O12">
        <v>52</v>
      </c>
      <c r="P12">
        <v>52</v>
      </c>
      <c r="Q12">
        <v>52</v>
      </c>
      <c r="R12">
        <v>53</v>
      </c>
      <c r="S12">
        <v>52</v>
      </c>
      <c r="T12">
        <v>52</v>
      </c>
      <c r="U12">
        <v>52</v>
      </c>
      <c r="V12">
        <v>52</v>
      </c>
      <c r="W12">
        <v>51</v>
      </c>
      <c r="X12">
        <v>50</v>
      </c>
      <c r="Y12">
        <v>50</v>
      </c>
      <c r="Z12" s="2">
        <f>AVERAGE(Sheet1__7[[#This Row],[00:00:00]:[23:00:00]])</f>
        <v>53.875</v>
      </c>
      <c r="AA12" t="str" cm="1">
        <f t="array" ref="AA12">_xlfn.IFS(Sheet1__7[[#This Row],[AVERAGE AQI]]&lt;50,"GOOD",Sheet1__7[[#This Row],[AVERAGE AQI]]&lt;=100,"MODERATE",Sheet1__7[[#This Row],[AVERAGE AQI]]&lt;=150,"BAD",Sheet1__7[[#This Row],[AVERAGE AQI]]&lt;=200,"VERY BAD")</f>
        <v>MODERATE</v>
      </c>
    </row>
    <row r="13" spans="1:30" x14ac:dyDescent="0.3">
      <c r="A13" s="1">
        <v>45820</v>
      </c>
      <c r="B13">
        <v>48</v>
      </c>
      <c r="C13">
        <v>48</v>
      </c>
      <c r="D13">
        <v>48</v>
      </c>
      <c r="E13">
        <v>50</v>
      </c>
      <c r="F13">
        <v>50</v>
      </c>
      <c r="G13">
        <v>50</v>
      </c>
      <c r="H13">
        <v>50</v>
      </c>
      <c r="I13">
        <v>50</v>
      </c>
      <c r="J13">
        <v>50</v>
      </c>
      <c r="K13">
        <v>50</v>
      </c>
      <c r="L13">
        <v>49</v>
      </c>
      <c r="M13">
        <v>50</v>
      </c>
      <c r="N13">
        <v>50</v>
      </c>
      <c r="O13">
        <v>50</v>
      </c>
      <c r="P13">
        <v>50</v>
      </c>
      <c r="Q13">
        <v>50</v>
      </c>
      <c r="R13">
        <v>50</v>
      </c>
      <c r="S13">
        <v>50</v>
      </c>
      <c r="T13">
        <v>50</v>
      </c>
      <c r="U13">
        <v>50</v>
      </c>
      <c r="V13">
        <v>50</v>
      </c>
      <c r="W13">
        <v>50</v>
      </c>
      <c r="X13">
        <v>51</v>
      </c>
      <c r="Y13">
        <v>51</v>
      </c>
      <c r="Z13" s="2">
        <f>AVERAGE(Sheet1__7[[#This Row],[00:00:00]:[23:00:00]])</f>
        <v>49.791666666666664</v>
      </c>
      <c r="AA13" t="str" cm="1">
        <f t="array" ref="AA13">_xlfn.IFS(Sheet1__7[[#This Row],[AVERAGE AQI]]&lt;50,"GOOD",Sheet1__7[[#This Row],[AVERAGE AQI]]&lt;=100,"MODERATE",Sheet1__7[[#This Row],[AVERAGE AQI]]&lt;=150,"BAD",Sheet1__7[[#This Row],[AVERAGE AQI]]&lt;=200,"VERY BAD")</f>
        <v>GOOD</v>
      </c>
    </row>
    <row r="14" spans="1:30" x14ac:dyDescent="0.3">
      <c r="A14" s="1">
        <v>45821</v>
      </c>
      <c r="B14">
        <v>52</v>
      </c>
      <c r="C14">
        <v>50</v>
      </c>
      <c r="D14">
        <v>50</v>
      </c>
      <c r="E14">
        <v>50</v>
      </c>
      <c r="F14">
        <v>49</v>
      </c>
      <c r="G14">
        <v>49</v>
      </c>
      <c r="H14">
        <v>49</v>
      </c>
      <c r="I14">
        <v>49</v>
      </c>
      <c r="J14">
        <v>48</v>
      </c>
      <c r="K14">
        <v>49</v>
      </c>
      <c r="L14">
        <v>50</v>
      </c>
      <c r="M14">
        <v>50</v>
      </c>
      <c r="N14">
        <v>50</v>
      </c>
      <c r="O14">
        <v>51</v>
      </c>
      <c r="P14">
        <v>51</v>
      </c>
      <c r="Q14">
        <v>51</v>
      </c>
      <c r="R14">
        <v>51</v>
      </c>
      <c r="S14">
        <v>50</v>
      </c>
      <c r="T14">
        <v>50</v>
      </c>
      <c r="U14">
        <v>51</v>
      </c>
      <c r="V14">
        <v>50</v>
      </c>
      <c r="W14">
        <v>49</v>
      </c>
      <c r="X14">
        <v>48</v>
      </c>
      <c r="Y14">
        <v>47</v>
      </c>
      <c r="Z14" s="2">
        <f>AVERAGE(Sheet1__7[[#This Row],[00:00:00]:[23:00:00]])</f>
        <v>49.75</v>
      </c>
      <c r="AA14" t="str" cm="1">
        <f t="array" ref="AA14">_xlfn.IFS(Sheet1__7[[#This Row],[AVERAGE AQI]]&lt;50,"GOOD",Sheet1__7[[#This Row],[AVERAGE AQI]]&lt;=100,"MODERATE",Sheet1__7[[#This Row],[AVERAGE AQI]]&lt;=150,"BAD",Sheet1__7[[#This Row],[AVERAGE AQI]]&lt;=200,"VERY BAD")</f>
        <v>GOOD</v>
      </c>
    </row>
    <row r="15" spans="1:30" x14ac:dyDescent="0.3">
      <c r="A15" s="1">
        <v>45822</v>
      </c>
      <c r="B15">
        <v>47</v>
      </c>
      <c r="C15">
        <v>47</v>
      </c>
      <c r="D15">
        <v>47</v>
      </c>
      <c r="E15">
        <v>47</v>
      </c>
      <c r="F15">
        <v>48</v>
      </c>
      <c r="G15">
        <v>50</v>
      </c>
      <c r="H15">
        <v>50</v>
      </c>
      <c r="I15">
        <v>51</v>
      </c>
      <c r="J15">
        <v>51</v>
      </c>
      <c r="K15">
        <v>52</v>
      </c>
      <c r="L15">
        <v>53</v>
      </c>
      <c r="M15">
        <v>53</v>
      </c>
      <c r="N15">
        <v>53</v>
      </c>
      <c r="O15">
        <v>52</v>
      </c>
      <c r="P15">
        <v>52</v>
      </c>
      <c r="Q15">
        <v>53</v>
      </c>
      <c r="R15">
        <v>54</v>
      </c>
      <c r="S15">
        <v>54</v>
      </c>
      <c r="T15">
        <v>54</v>
      </c>
      <c r="U15">
        <v>55</v>
      </c>
      <c r="V15">
        <v>56</v>
      </c>
      <c r="W15">
        <v>56</v>
      </c>
      <c r="X15">
        <v>56</v>
      </c>
      <c r="Y15">
        <v>56</v>
      </c>
      <c r="Z15" s="2">
        <f>AVERAGE(Sheet1__7[[#This Row],[00:00:00]:[23:00:00]])</f>
        <v>51.958333333333336</v>
      </c>
      <c r="AA15" t="str" cm="1">
        <f t="array" ref="AA15">_xlfn.IFS(Sheet1__7[[#This Row],[AVERAGE AQI]]&lt;50,"GOOD",Sheet1__7[[#This Row],[AVERAGE AQI]]&lt;=100,"MODERATE",Sheet1__7[[#This Row],[AVERAGE AQI]]&lt;=150,"BAD",Sheet1__7[[#This Row],[AVERAGE AQI]]&lt;=200,"VERY BAD")</f>
        <v>MODERATE</v>
      </c>
    </row>
    <row r="16" spans="1:30" x14ac:dyDescent="0.3">
      <c r="A16" s="1">
        <v>45823</v>
      </c>
      <c r="B16">
        <v>55</v>
      </c>
      <c r="C16">
        <v>55</v>
      </c>
      <c r="D16">
        <v>55</v>
      </c>
      <c r="E16">
        <v>55</v>
      </c>
      <c r="F16">
        <v>55</v>
      </c>
      <c r="G16">
        <v>55</v>
      </c>
      <c r="H16">
        <v>55</v>
      </c>
      <c r="I16">
        <v>55</v>
      </c>
      <c r="J16">
        <v>54</v>
      </c>
      <c r="K16">
        <v>54</v>
      </c>
      <c r="L16">
        <v>52</v>
      </c>
      <c r="M16">
        <v>52</v>
      </c>
      <c r="N16">
        <v>52</v>
      </c>
      <c r="O16">
        <v>52</v>
      </c>
      <c r="P16">
        <v>53</v>
      </c>
      <c r="Q16">
        <v>53</v>
      </c>
      <c r="R16">
        <v>52</v>
      </c>
      <c r="S16">
        <v>51</v>
      </c>
      <c r="T16">
        <v>50</v>
      </c>
      <c r="U16">
        <v>49</v>
      </c>
      <c r="V16">
        <v>50</v>
      </c>
      <c r="W16">
        <v>50</v>
      </c>
      <c r="X16">
        <v>51</v>
      </c>
      <c r="Y16">
        <v>50</v>
      </c>
      <c r="Z16" s="2">
        <f>AVERAGE(Sheet1__7[[#This Row],[00:00:00]:[23:00:00]])</f>
        <v>52.708333333333336</v>
      </c>
      <c r="AA16" t="str" cm="1">
        <f t="array" ref="AA16">_xlfn.IFS(Sheet1__7[[#This Row],[AVERAGE AQI]]&lt;50,"GOOD",Sheet1__7[[#This Row],[AVERAGE AQI]]&lt;=100,"MODERATE",Sheet1__7[[#This Row],[AVERAGE AQI]]&lt;=150,"BAD",Sheet1__7[[#This Row],[AVERAGE AQI]]&lt;=200,"VERY BAD")</f>
        <v>MODERATE</v>
      </c>
    </row>
    <row r="17" spans="1:27" x14ac:dyDescent="0.3">
      <c r="A17" s="1">
        <v>45824</v>
      </c>
      <c r="B17">
        <v>49</v>
      </c>
      <c r="C17">
        <v>49</v>
      </c>
      <c r="D17">
        <v>48</v>
      </c>
      <c r="E17">
        <v>48</v>
      </c>
      <c r="F17">
        <v>48</v>
      </c>
      <c r="G17">
        <v>50</v>
      </c>
      <c r="H17">
        <v>48</v>
      </c>
      <c r="I17">
        <v>47</v>
      </c>
      <c r="J17">
        <v>47</v>
      </c>
      <c r="K17">
        <v>46</v>
      </c>
      <c r="L17">
        <v>44</v>
      </c>
      <c r="M17">
        <v>44</v>
      </c>
      <c r="N17">
        <v>44</v>
      </c>
      <c r="O17">
        <v>45</v>
      </c>
      <c r="P17">
        <v>44</v>
      </c>
      <c r="Q17">
        <v>43</v>
      </c>
      <c r="R17">
        <v>42</v>
      </c>
      <c r="S17">
        <v>42</v>
      </c>
      <c r="T17">
        <v>41</v>
      </c>
      <c r="U17">
        <v>41</v>
      </c>
      <c r="V17">
        <v>38</v>
      </c>
      <c r="W17">
        <v>38</v>
      </c>
      <c r="X17">
        <v>38</v>
      </c>
      <c r="Y17">
        <v>38</v>
      </c>
      <c r="Z17" s="2">
        <f>AVERAGE(Sheet1__7[[#This Row],[00:00:00]:[23:00:00]])</f>
        <v>44.25</v>
      </c>
      <c r="AA17" t="str" cm="1">
        <f t="array" ref="AA17">_xlfn.IFS(Sheet1__7[[#This Row],[AVERAGE AQI]]&lt;50,"GOOD",Sheet1__7[[#This Row],[AVERAGE AQI]]&lt;=100,"MODERATE",Sheet1__7[[#This Row],[AVERAGE AQI]]&lt;=150,"BAD",Sheet1__7[[#This Row],[AVERAGE AQI]]&lt;=200,"VERY BAD")</f>
        <v>GOOD</v>
      </c>
    </row>
    <row r="18" spans="1:27" x14ac:dyDescent="0.3">
      <c r="A18" s="1">
        <v>45825</v>
      </c>
      <c r="B18">
        <v>38</v>
      </c>
      <c r="C18">
        <v>37</v>
      </c>
      <c r="D18">
        <v>38</v>
      </c>
      <c r="E18">
        <v>38</v>
      </c>
      <c r="F18">
        <v>39</v>
      </c>
      <c r="G18">
        <v>40</v>
      </c>
      <c r="H18">
        <v>40</v>
      </c>
      <c r="I18">
        <v>41</v>
      </c>
      <c r="J18">
        <v>41</v>
      </c>
      <c r="K18">
        <v>42</v>
      </c>
      <c r="L18">
        <v>43</v>
      </c>
      <c r="M18">
        <v>43</v>
      </c>
      <c r="N18">
        <v>44</v>
      </c>
      <c r="O18">
        <v>46</v>
      </c>
      <c r="P18">
        <v>47</v>
      </c>
      <c r="Q18">
        <v>50</v>
      </c>
      <c r="R18">
        <v>52</v>
      </c>
      <c r="S18">
        <v>53</v>
      </c>
      <c r="T18">
        <v>56</v>
      </c>
      <c r="U18">
        <v>57</v>
      </c>
      <c r="V18">
        <v>59</v>
      </c>
      <c r="W18">
        <v>61</v>
      </c>
      <c r="X18">
        <v>63</v>
      </c>
      <c r="Y18">
        <v>64</v>
      </c>
      <c r="Z18" s="2">
        <f>AVERAGE(Sheet1__7[[#This Row],[00:00:00]:[23:00:00]])</f>
        <v>47.166666666666664</v>
      </c>
      <c r="AA18" t="str" cm="1">
        <f t="array" ref="AA18">_xlfn.IFS(Sheet1__7[[#This Row],[AVERAGE AQI]]&lt;50,"GOOD",Sheet1__7[[#This Row],[AVERAGE AQI]]&lt;=100,"MODERATE",Sheet1__7[[#This Row],[AVERAGE AQI]]&lt;=150,"BAD",Sheet1__7[[#This Row],[AVERAGE AQI]]&lt;=200,"VERY BAD")</f>
        <v>GOOD</v>
      </c>
    </row>
    <row r="19" spans="1:27" x14ac:dyDescent="0.3">
      <c r="A19" s="1">
        <v>45826</v>
      </c>
      <c r="B19">
        <v>62</v>
      </c>
      <c r="C19">
        <v>62</v>
      </c>
      <c r="D19">
        <v>62</v>
      </c>
      <c r="E19">
        <v>62</v>
      </c>
      <c r="F19">
        <v>62</v>
      </c>
      <c r="G19">
        <v>61</v>
      </c>
      <c r="H19">
        <v>60</v>
      </c>
      <c r="I19">
        <v>62</v>
      </c>
      <c r="J19">
        <v>61</v>
      </c>
      <c r="K19">
        <v>57</v>
      </c>
      <c r="L19">
        <v>57</v>
      </c>
      <c r="M19">
        <v>56</v>
      </c>
      <c r="N19">
        <v>55</v>
      </c>
      <c r="O19">
        <v>55</v>
      </c>
      <c r="P19">
        <v>53</v>
      </c>
      <c r="Q19">
        <v>52</v>
      </c>
      <c r="R19">
        <v>50</v>
      </c>
      <c r="S19">
        <v>49</v>
      </c>
      <c r="T19">
        <v>48</v>
      </c>
      <c r="U19">
        <v>47</v>
      </c>
      <c r="V19">
        <v>47</v>
      </c>
      <c r="W19">
        <v>45</v>
      </c>
      <c r="X19">
        <v>45</v>
      </c>
      <c r="Y19">
        <v>43</v>
      </c>
      <c r="Z19" s="2">
        <f>AVERAGE(Sheet1__7[[#This Row],[00:00:00]:[23:00:00]])</f>
        <v>54.708333333333336</v>
      </c>
      <c r="AA19" t="str" cm="1">
        <f t="array" ref="AA19">_xlfn.IFS(Sheet1__7[[#This Row],[AVERAGE AQI]]&lt;50,"GOOD",Sheet1__7[[#This Row],[AVERAGE AQI]]&lt;=100,"MODERATE",Sheet1__7[[#This Row],[AVERAGE AQI]]&lt;=150,"BAD",Sheet1__7[[#This Row],[AVERAGE AQI]]&lt;=200,"VERY BAD")</f>
        <v>MODERATE</v>
      </c>
    </row>
    <row r="20" spans="1:27" x14ac:dyDescent="0.3">
      <c r="A20" s="1">
        <v>45827</v>
      </c>
      <c r="B20">
        <v>43</v>
      </c>
      <c r="C20">
        <v>43</v>
      </c>
      <c r="D20">
        <v>44</v>
      </c>
      <c r="E20">
        <v>43</v>
      </c>
      <c r="F20">
        <v>44</v>
      </c>
      <c r="G20">
        <v>43</v>
      </c>
      <c r="H20">
        <v>43</v>
      </c>
      <c r="I20">
        <v>43</v>
      </c>
      <c r="J20">
        <v>43</v>
      </c>
      <c r="K20">
        <v>43</v>
      </c>
      <c r="L20">
        <v>43</v>
      </c>
      <c r="M20">
        <v>43</v>
      </c>
      <c r="N20">
        <v>43</v>
      </c>
      <c r="O20">
        <v>43</v>
      </c>
      <c r="P20">
        <v>42</v>
      </c>
      <c r="Q20">
        <v>42</v>
      </c>
      <c r="R20">
        <v>41</v>
      </c>
      <c r="S20">
        <v>42</v>
      </c>
      <c r="T20">
        <v>42</v>
      </c>
      <c r="U20">
        <v>43</v>
      </c>
      <c r="V20">
        <v>44</v>
      </c>
      <c r="W20">
        <v>43</v>
      </c>
      <c r="X20">
        <v>44</v>
      </c>
      <c r="Y20">
        <v>45</v>
      </c>
      <c r="Z20" s="2">
        <f>AVERAGE(Sheet1__7[[#This Row],[00:00:00]:[23:00:00]])</f>
        <v>43</v>
      </c>
      <c r="AA20" t="str" cm="1">
        <f t="array" ref="AA20">_xlfn.IFS(Sheet1__7[[#This Row],[AVERAGE AQI]]&lt;50,"GOOD",Sheet1__7[[#This Row],[AVERAGE AQI]]&lt;=100,"MODERATE",Sheet1__7[[#This Row],[AVERAGE AQI]]&lt;=150,"BAD",Sheet1__7[[#This Row],[AVERAGE AQI]]&lt;=200,"VERY BAD")</f>
        <v>GOOD</v>
      </c>
    </row>
    <row r="21" spans="1:27" x14ac:dyDescent="0.3">
      <c r="A21" s="1">
        <v>45828</v>
      </c>
      <c r="B21">
        <v>45</v>
      </c>
      <c r="C21">
        <v>45</v>
      </c>
      <c r="D21">
        <v>45</v>
      </c>
      <c r="E21">
        <v>45</v>
      </c>
      <c r="F21">
        <v>46</v>
      </c>
      <c r="G21">
        <v>46</v>
      </c>
      <c r="H21">
        <v>50</v>
      </c>
      <c r="I21">
        <v>50</v>
      </c>
      <c r="J21">
        <v>51</v>
      </c>
      <c r="K21">
        <v>52</v>
      </c>
      <c r="L21">
        <v>52</v>
      </c>
      <c r="M21">
        <v>51</v>
      </c>
      <c r="N21">
        <v>51</v>
      </c>
      <c r="O21">
        <v>51</v>
      </c>
      <c r="P21">
        <v>51</v>
      </c>
      <c r="Q21">
        <v>51</v>
      </c>
      <c r="R21">
        <v>51</v>
      </c>
      <c r="S21">
        <v>63</v>
      </c>
      <c r="T21">
        <v>55</v>
      </c>
      <c r="U21">
        <v>54</v>
      </c>
      <c r="V21">
        <v>53</v>
      </c>
      <c r="W21">
        <v>53</v>
      </c>
      <c r="X21">
        <v>53</v>
      </c>
      <c r="Y21">
        <v>53</v>
      </c>
      <c r="Z21" s="2">
        <f>AVERAGE(Sheet1__7[[#This Row],[00:00:00]:[23:00:00]])</f>
        <v>50.708333333333336</v>
      </c>
      <c r="AA21" t="str" cm="1">
        <f t="array" ref="AA21">_xlfn.IFS(Sheet1__7[[#This Row],[AVERAGE AQI]]&lt;50,"GOOD",Sheet1__7[[#This Row],[AVERAGE AQI]]&lt;=100,"MODERATE",Sheet1__7[[#This Row],[AVERAGE AQI]]&lt;=150,"BAD",Sheet1__7[[#This Row],[AVERAGE AQI]]&lt;=200,"VERY BAD")</f>
        <v>MODERATE</v>
      </c>
    </row>
    <row r="22" spans="1:27" x14ac:dyDescent="0.3">
      <c r="A22" s="1">
        <v>45829</v>
      </c>
      <c r="B22">
        <v>53</v>
      </c>
      <c r="C22">
        <v>53</v>
      </c>
      <c r="D22">
        <v>52</v>
      </c>
      <c r="E22">
        <v>53</v>
      </c>
      <c r="F22">
        <v>54</v>
      </c>
      <c r="G22">
        <v>54</v>
      </c>
      <c r="H22">
        <v>54</v>
      </c>
      <c r="I22">
        <v>54</v>
      </c>
      <c r="J22">
        <v>54</v>
      </c>
      <c r="K22">
        <v>54</v>
      </c>
      <c r="L22">
        <v>54</v>
      </c>
      <c r="P22">
        <v>61</v>
      </c>
      <c r="Q22">
        <v>56</v>
      </c>
      <c r="R22">
        <v>57</v>
      </c>
      <c r="S22">
        <v>57</v>
      </c>
      <c r="T22">
        <v>59</v>
      </c>
      <c r="U22">
        <v>59</v>
      </c>
      <c r="V22">
        <v>59</v>
      </c>
      <c r="W22">
        <v>59</v>
      </c>
      <c r="X22">
        <v>59</v>
      </c>
      <c r="Y22">
        <v>59</v>
      </c>
      <c r="Z22" s="2">
        <f>AVERAGE(Sheet1__7[[#This Row],[00:00:00]:[23:00:00]])</f>
        <v>55.904761904761905</v>
      </c>
      <c r="AA22" t="str" cm="1">
        <f t="array" ref="AA22">_xlfn.IFS(Sheet1__7[[#This Row],[AVERAGE AQI]]&lt;50,"GOOD",Sheet1__7[[#This Row],[AVERAGE AQI]]&lt;=100,"MODERATE",Sheet1__7[[#This Row],[AVERAGE AQI]]&lt;=150,"BAD",Sheet1__7[[#This Row],[AVERAGE AQI]]&lt;=200,"VERY BAD")</f>
        <v>MODERATE</v>
      </c>
    </row>
    <row r="23" spans="1:27" x14ac:dyDescent="0.3">
      <c r="A23" s="1">
        <v>45830</v>
      </c>
      <c r="B23">
        <v>59</v>
      </c>
      <c r="C23">
        <v>59</v>
      </c>
      <c r="D23">
        <v>59</v>
      </c>
      <c r="E23">
        <v>57</v>
      </c>
      <c r="F23">
        <v>58</v>
      </c>
      <c r="G23">
        <v>58</v>
      </c>
      <c r="H23">
        <v>58</v>
      </c>
      <c r="I23">
        <v>61</v>
      </c>
      <c r="J23">
        <v>56</v>
      </c>
      <c r="K23">
        <v>56</v>
      </c>
      <c r="L23">
        <v>56</v>
      </c>
      <c r="M23">
        <v>56</v>
      </c>
      <c r="N23">
        <v>55</v>
      </c>
      <c r="O23">
        <v>55</v>
      </c>
      <c r="P23">
        <v>55</v>
      </c>
      <c r="Q23">
        <v>54</v>
      </c>
      <c r="R23">
        <v>56</v>
      </c>
      <c r="S23">
        <v>56</v>
      </c>
      <c r="T23">
        <v>56</v>
      </c>
      <c r="U23">
        <v>55</v>
      </c>
      <c r="V23">
        <v>55</v>
      </c>
      <c r="W23">
        <v>55</v>
      </c>
      <c r="X23">
        <v>55</v>
      </c>
      <c r="Y23">
        <v>54</v>
      </c>
      <c r="Z23" s="2">
        <f>AVERAGE(Sheet1__7[[#This Row],[00:00:00]:[23:00:00]])</f>
        <v>56.416666666666664</v>
      </c>
      <c r="AA23" t="str" cm="1">
        <f t="array" ref="AA23">_xlfn.IFS(Sheet1__7[[#This Row],[AVERAGE AQI]]&lt;50,"GOOD",Sheet1__7[[#This Row],[AVERAGE AQI]]&lt;=100,"MODERATE",Sheet1__7[[#This Row],[AVERAGE AQI]]&lt;=150,"BAD",Sheet1__7[[#This Row],[AVERAGE AQI]]&lt;=200,"VERY BAD")</f>
        <v>MODERATE</v>
      </c>
    </row>
    <row r="24" spans="1:27" x14ac:dyDescent="0.3">
      <c r="A24" s="1">
        <v>45831</v>
      </c>
      <c r="B24">
        <v>55</v>
      </c>
      <c r="C24">
        <v>55</v>
      </c>
      <c r="D24">
        <v>55</v>
      </c>
      <c r="E24">
        <v>55</v>
      </c>
      <c r="F24">
        <v>55</v>
      </c>
      <c r="G24">
        <v>55</v>
      </c>
      <c r="H24">
        <v>55</v>
      </c>
      <c r="I24">
        <v>55</v>
      </c>
      <c r="J24">
        <v>55</v>
      </c>
      <c r="K24">
        <v>55</v>
      </c>
      <c r="L24">
        <v>55</v>
      </c>
      <c r="M24">
        <v>56</v>
      </c>
      <c r="N24">
        <v>56</v>
      </c>
      <c r="O24">
        <v>56</v>
      </c>
      <c r="P24">
        <v>57</v>
      </c>
      <c r="Q24">
        <v>57</v>
      </c>
      <c r="R24">
        <v>58</v>
      </c>
      <c r="S24">
        <v>58</v>
      </c>
      <c r="T24">
        <v>58</v>
      </c>
      <c r="U24">
        <v>59</v>
      </c>
      <c r="V24">
        <v>60</v>
      </c>
      <c r="W24">
        <v>60</v>
      </c>
      <c r="X24">
        <v>59</v>
      </c>
      <c r="Y24">
        <v>59</v>
      </c>
      <c r="Z24" s="2">
        <f>AVERAGE(Sheet1__7[[#This Row],[00:00:00]:[23:00:00]])</f>
        <v>56.583333333333336</v>
      </c>
      <c r="AA24" t="str" cm="1">
        <f t="array" ref="AA24">_xlfn.IFS(Sheet1__7[[#This Row],[AVERAGE AQI]]&lt;50,"GOOD",Sheet1__7[[#This Row],[AVERAGE AQI]]&lt;=100,"MODERATE",Sheet1__7[[#This Row],[AVERAGE AQI]]&lt;=150,"BAD",Sheet1__7[[#This Row],[AVERAGE AQI]]&lt;=200,"VERY BAD")</f>
        <v>MODERATE</v>
      </c>
    </row>
    <row r="25" spans="1:27" x14ac:dyDescent="0.3">
      <c r="A25" s="1">
        <v>45832</v>
      </c>
      <c r="B25">
        <v>58</v>
      </c>
      <c r="C25">
        <v>57</v>
      </c>
      <c r="D25">
        <v>57</v>
      </c>
      <c r="E25">
        <v>57</v>
      </c>
      <c r="F25">
        <v>57</v>
      </c>
      <c r="G25">
        <v>56</v>
      </c>
      <c r="H25">
        <v>55</v>
      </c>
      <c r="I25">
        <v>54</v>
      </c>
      <c r="J25">
        <v>54</v>
      </c>
      <c r="K25">
        <v>52</v>
      </c>
      <c r="L25">
        <v>52</v>
      </c>
      <c r="M25">
        <v>52</v>
      </c>
      <c r="N25">
        <v>52</v>
      </c>
      <c r="O25">
        <v>52</v>
      </c>
      <c r="P25">
        <v>52</v>
      </c>
      <c r="Q25">
        <v>52</v>
      </c>
      <c r="R25">
        <v>52</v>
      </c>
      <c r="S25">
        <v>53</v>
      </c>
      <c r="T25">
        <v>53</v>
      </c>
      <c r="U25">
        <v>53</v>
      </c>
      <c r="V25">
        <v>53</v>
      </c>
      <c r="W25">
        <v>53</v>
      </c>
      <c r="X25">
        <v>54</v>
      </c>
      <c r="Y25">
        <v>55</v>
      </c>
      <c r="Z25" s="2">
        <f>AVERAGE(Sheet1__7[[#This Row],[00:00:00]:[23:00:00]])</f>
        <v>53.958333333333336</v>
      </c>
      <c r="AA25" t="str" cm="1">
        <f t="array" ref="AA25">_xlfn.IFS(Sheet1__7[[#This Row],[AVERAGE AQI]]&lt;50,"GOOD",Sheet1__7[[#This Row],[AVERAGE AQI]]&lt;=100,"MODERATE",Sheet1__7[[#This Row],[AVERAGE AQI]]&lt;=150,"BAD",Sheet1__7[[#This Row],[AVERAGE AQI]]&lt;=200,"VERY BAD")</f>
        <v>MODERATE</v>
      </c>
    </row>
    <row r="26" spans="1:27" x14ac:dyDescent="0.3">
      <c r="A26" s="1">
        <v>45833</v>
      </c>
      <c r="B26">
        <v>56</v>
      </c>
      <c r="C26">
        <v>57</v>
      </c>
      <c r="D26">
        <v>58</v>
      </c>
      <c r="E26">
        <v>59</v>
      </c>
      <c r="F26">
        <v>60</v>
      </c>
      <c r="G26">
        <v>60</v>
      </c>
      <c r="H26">
        <v>61</v>
      </c>
      <c r="I26">
        <v>62</v>
      </c>
      <c r="J26">
        <v>66</v>
      </c>
      <c r="K26">
        <v>62</v>
      </c>
      <c r="L26">
        <v>63</v>
      </c>
      <c r="M26">
        <v>63</v>
      </c>
      <c r="N26">
        <v>63</v>
      </c>
      <c r="O26">
        <v>63</v>
      </c>
      <c r="P26">
        <v>63</v>
      </c>
      <c r="Q26">
        <v>63</v>
      </c>
      <c r="R26">
        <v>63</v>
      </c>
      <c r="S26">
        <v>63</v>
      </c>
      <c r="T26">
        <v>63</v>
      </c>
      <c r="U26">
        <v>63</v>
      </c>
      <c r="V26">
        <v>63</v>
      </c>
      <c r="W26">
        <v>63</v>
      </c>
      <c r="X26">
        <v>63</v>
      </c>
      <c r="Y26">
        <v>63</v>
      </c>
      <c r="Z26" s="2">
        <f>AVERAGE(Sheet1__7[[#This Row],[00:00:00]:[23:00:00]])</f>
        <v>61.791666666666664</v>
      </c>
      <c r="AA26" t="str" cm="1">
        <f t="array" ref="AA26">_xlfn.IFS(Sheet1__7[[#This Row],[AVERAGE AQI]]&lt;50,"GOOD",Sheet1__7[[#This Row],[AVERAGE AQI]]&lt;=100,"MODERATE",Sheet1__7[[#This Row],[AVERAGE AQI]]&lt;=150,"BAD",Sheet1__7[[#This Row],[AVERAGE AQI]]&lt;=200,"VERY BAD")</f>
        <v>MODERATE</v>
      </c>
    </row>
    <row r="27" spans="1:27" x14ac:dyDescent="0.3">
      <c r="A27" s="1">
        <v>45834</v>
      </c>
      <c r="B27">
        <v>63</v>
      </c>
      <c r="C27">
        <v>63</v>
      </c>
      <c r="D27">
        <v>63</v>
      </c>
      <c r="E27">
        <v>62</v>
      </c>
      <c r="F27">
        <v>63</v>
      </c>
      <c r="G27">
        <v>63</v>
      </c>
      <c r="H27">
        <v>63</v>
      </c>
      <c r="I27">
        <v>63</v>
      </c>
      <c r="J27">
        <v>64</v>
      </c>
      <c r="K27">
        <v>63</v>
      </c>
      <c r="L27">
        <v>63</v>
      </c>
      <c r="M27">
        <v>65</v>
      </c>
      <c r="N27">
        <v>65</v>
      </c>
      <c r="O27">
        <v>64</v>
      </c>
      <c r="P27">
        <v>64</v>
      </c>
      <c r="Q27">
        <v>64</v>
      </c>
      <c r="R27">
        <v>63</v>
      </c>
      <c r="S27">
        <v>62</v>
      </c>
      <c r="U27">
        <v>61</v>
      </c>
      <c r="V27">
        <v>61</v>
      </c>
      <c r="W27">
        <v>61</v>
      </c>
      <c r="X27">
        <v>61</v>
      </c>
      <c r="Y27">
        <v>61</v>
      </c>
      <c r="Z27" s="2">
        <f>AVERAGE(Sheet1__7[[#This Row],[00:00:00]:[23:00:00]])</f>
        <v>62.826086956521742</v>
      </c>
      <c r="AA27" t="str" cm="1">
        <f t="array" ref="AA27">_xlfn.IFS(Sheet1__7[[#This Row],[AVERAGE AQI]]&lt;50,"GOOD",Sheet1__7[[#This Row],[AVERAGE AQI]]&lt;=100,"MODERATE",Sheet1__7[[#This Row],[AVERAGE AQI]]&lt;=150,"BAD",Sheet1__7[[#This Row],[AVERAGE AQI]]&lt;=200,"VERY BAD")</f>
        <v>MODERATE</v>
      </c>
    </row>
    <row r="28" spans="1:27" x14ac:dyDescent="0.3">
      <c r="A28" s="1">
        <v>45835</v>
      </c>
      <c r="B28">
        <v>61</v>
      </c>
      <c r="C28">
        <v>61</v>
      </c>
      <c r="D28">
        <v>62</v>
      </c>
      <c r="E28">
        <v>61</v>
      </c>
      <c r="F28">
        <v>62</v>
      </c>
      <c r="G28">
        <v>61</v>
      </c>
      <c r="H28">
        <v>61</v>
      </c>
      <c r="I28">
        <v>61</v>
      </c>
      <c r="J28">
        <v>61</v>
      </c>
      <c r="K28">
        <v>60</v>
      </c>
      <c r="L28">
        <v>60</v>
      </c>
      <c r="M28">
        <v>60</v>
      </c>
      <c r="N28">
        <v>61</v>
      </c>
      <c r="O28">
        <v>61</v>
      </c>
      <c r="P28">
        <v>67</v>
      </c>
      <c r="Q28">
        <v>67</v>
      </c>
      <c r="R28">
        <v>60</v>
      </c>
      <c r="S28">
        <v>61</v>
      </c>
      <c r="T28">
        <v>62</v>
      </c>
      <c r="U28">
        <v>62</v>
      </c>
      <c r="V28">
        <v>62</v>
      </c>
      <c r="W28">
        <v>62</v>
      </c>
      <c r="X28">
        <v>62</v>
      </c>
      <c r="Y28">
        <v>62</v>
      </c>
      <c r="Z28" s="2">
        <f>AVERAGE(Sheet1__7[[#This Row],[00:00:00]:[23:00:00]])</f>
        <v>61.666666666666664</v>
      </c>
      <c r="AA28" t="str" cm="1">
        <f t="array" ref="AA28">_xlfn.IFS(Sheet1__7[[#This Row],[AVERAGE AQI]]&lt;50,"GOOD",Sheet1__7[[#This Row],[AVERAGE AQI]]&lt;=100,"MODERATE",Sheet1__7[[#This Row],[AVERAGE AQI]]&lt;=150,"BAD",Sheet1__7[[#This Row],[AVERAGE AQI]]&lt;=200,"VERY BAD")</f>
        <v>MODERATE</v>
      </c>
    </row>
    <row r="29" spans="1:27" x14ac:dyDescent="0.3">
      <c r="A29" s="1">
        <v>45836</v>
      </c>
      <c r="B29">
        <v>61</v>
      </c>
      <c r="C29">
        <v>62</v>
      </c>
      <c r="D29">
        <v>62</v>
      </c>
      <c r="E29">
        <v>62</v>
      </c>
      <c r="F29">
        <v>62</v>
      </c>
      <c r="G29">
        <v>63</v>
      </c>
      <c r="H29">
        <v>63</v>
      </c>
      <c r="I29">
        <v>64</v>
      </c>
      <c r="J29">
        <v>65</v>
      </c>
      <c r="K29">
        <v>65</v>
      </c>
      <c r="L29">
        <v>63</v>
      </c>
      <c r="M29">
        <v>64</v>
      </c>
      <c r="N29">
        <v>64</v>
      </c>
      <c r="O29">
        <v>63</v>
      </c>
      <c r="P29">
        <v>64</v>
      </c>
      <c r="Q29">
        <v>62</v>
      </c>
      <c r="R29">
        <v>63</v>
      </c>
      <c r="S29">
        <v>63</v>
      </c>
      <c r="T29">
        <v>63</v>
      </c>
      <c r="U29">
        <v>62</v>
      </c>
      <c r="V29">
        <v>62</v>
      </c>
      <c r="W29">
        <v>62</v>
      </c>
      <c r="X29">
        <v>62</v>
      </c>
      <c r="Y29">
        <v>62</v>
      </c>
      <c r="Z29" s="2">
        <f>AVERAGE(Sheet1__7[[#This Row],[00:00:00]:[23:00:00]])</f>
        <v>62.833333333333336</v>
      </c>
      <c r="AA29" t="str" cm="1">
        <f t="array" ref="AA29">_xlfn.IFS(Sheet1__7[[#This Row],[AVERAGE AQI]]&lt;50,"GOOD",Sheet1__7[[#This Row],[AVERAGE AQI]]&lt;=100,"MODERATE",Sheet1__7[[#This Row],[AVERAGE AQI]]&lt;=150,"BAD",Sheet1__7[[#This Row],[AVERAGE AQI]]&lt;=200,"VERY BAD")</f>
        <v>MODERATE</v>
      </c>
    </row>
    <row r="30" spans="1:27" x14ac:dyDescent="0.3">
      <c r="A30" s="1">
        <v>45837</v>
      </c>
      <c r="B30">
        <v>61</v>
      </c>
      <c r="C30">
        <v>61</v>
      </c>
      <c r="D30">
        <v>60</v>
      </c>
      <c r="E30">
        <v>61</v>
      </c>
      <c r="F30">
        <v>60</v>
      </c>
      <c r="G30">
        <v>60</v>
      </c>
      <c r="H30">
        <v>58</v>
      </c>
      <c r="I30">
        <v>58</v>
      </c>
      <c r="J30">
        <v>58</v>
      </c>
      <c r="K30">
        <v>57</v>
      </c>
      <c r="L30">
        <v>57</v>
      </c>
      <c r="M30">
        <v>57</v>
      </c>
      <c r="N30">
        <v>56</v>
      </c>
      <c r="O30">
        <v>56</v>
      </c>
      <c r="P30">
        <v>55</v>
      </c>
      <c r="Q30">
        <v>55</v>
      </c>
      <c r="R30">
        <v>54</v>
      </c>
      <c r="S30">
        <v>54</v>
      </c>
      <c r="T30">
        <v>53</v>
      </c>
      <c r="U30">
        <v>54</v>
      </c>
      <c r="V30">
        <v>54</v>
      </c>
      <c r="W30">
        <v>54</v>
      </c>
      <c r="X30">
        <v>54</v>
      </c>
      <c r="Y30">
        <v>52</v>
      </c>
      <c r="Z30" s="2">
        <f>AVERAGE(Sheet1__7[[#This Row],[00:00:00]:[23:00:00]])</f>
        <v>56.625</v>
      </c>
      <c r="AA30" t="str" cm="1">
        <f t="array" ref="AA30">_xlfn.IFS(Sheet1__7[[#This Row],[AVERAGE AQI]]&lt;50,"GOOD",Sheet1__7[[#This Row],[AVERAGE AQI]]&lt;=100,"MODERATE",Sheet1__7[[#This Row],[AVERAGE AQI]]&lt;=150,"BAD",Sheet1__7[[#This Row],[AVERAGE AQI]]&lt;=200,"VERY BAD")</f>
        <v>MODERATE</v>
      </c>
    </row>
    <row r="31" spans="1:27" x14ac:dyDescent="0.3">
      <c r="A31" s="1">
        <v>45838</v>
      </c>
      <c r="B31">
        <v>52</v>
      </c>
      <c r="C31">
        <v>52</v>
      </c>
      <c r="D31">
        <v>52</v>
      </c>
      <c r="E31">
        <v>52</v>
      </c>
      <c r="F31">
        <v>52</v>
      </c>
      <c r="G31">
        <v>52</v>
      </c>
      <c r="H31">
        <v>52</v>
      </c>
      <c r="I31">
        <v>52</v>
      </c>
      <c r="J31">
        <v>52</v>
      </c>
      <c r="K31">
        <v>52</v>
      </c>
      <c r="L31">
        <v>54</v>
      </c>
      <c r="M31">
        <v>54</v>
      </c>
      <c r="N31">
        <v>54</v>
      </c>
      <c r="O31">
        <v>58</v>
      </c>
      <c r="P31">
        <v>58</v>
      </c>
      <c r="Q31">
        <v>52</v>
      </c>
      <c r="R31">
        <v>52</v>
      </c>
      <c r="S31">
        <v>52</v>
      </c>
      <c r="T31">
        <v>52</v>
      </c>
      <c r="U31">
        <v>55</v>
      </c>
      <c r="V31">
        <v>52</v>
      </c>
      <c r="W31">
        <v>52</v>
      </c>
      <c r="X31">
        <v>52</v>
      </c>
      <c r="Y31">
        <v>52</v>
      </c>
      <c r="Z31" s="2">
        <f>AVERAGE(Sheet1__7[[#This Row],[00:00:00]:[23:00:00]])</f>
        <v>52.875</v>
      </c>
      <c r="AA31" t="str" cm="1">
        <f t="array" ref="AA31">_xlfn.IFS(Sheet1__7[[#This Row],[AVERAGE AQI]]&lt;50,"GOOD",Sheet1__7[[#This Row],[AVERAGE AQI]]&lt;=100,"MODERATE",Sheet1__7[[#This Row],[AVERAGE AQI]]&lt;=150,"BAD",Sheet1__7[[#This Row],[AVERAGE AQI]]&lt;=200,"VERY BAD")</f>
        <v>MODERATE</v>
      </c>
    </row>
    <row r="32" spans="1:27" x14ac:dyDescent="0.3">
      <c r="Z32" s="2">
        <f>SUBTOTAL(101,Sheet1__7[AVERAGE AQI])</f>
        <v>58.836842806951502</v>
      </c>
    </row>
  </sheetData>
  <conditionalFormatting sqref="AA1:AA1048576">
    <cfRule type="containsText" dxfId="20" priority="1" operator="containsText" text="GOOD">
      <formula>NOT(ISERROR(SEARCH("GOOD",AA1)))</formula>
    </cfRule>
    <cfRule type="containsText" dxfId="19" priority="2" operator="containsText" text="MODERATE">
      <formula>NOT(ISERROR(SEARCH("MODERATE",AA1)))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CFF20-964F-445D-8454-C14D89DD947C}">
  <dimension ref="A1:AD33"/>
  <sheetViews>
    <sheetView topLeftCell="P1" workbookViewId="0">
      <selection activeCell="Z2" sqref="Z2"/>
    </sheetView>
  </sheetViews>
  <sheetFormatPr defaultRowHeight="14.4" x14ac:dyDescent="0.3"/>
  <cols>
    <col min="1" max="25" width="10.33203125" bestFit="1" customWidth="1"/>
    <col min="26" max="26" width="11.21875" bestFit="1" customWidth="1"/>
    <col min="27" max="27" width="18.3320312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28</v>
      </c>
      <c r="AA1" t="s">
        <v>26</v>
      </c>
      <c r="AC1" t="s">
        <v>27</v>
      </c>
      <c r="AD1" s="2">
        <f>AVERAGE(Sheet1__8[AVERAGE AQI])</f>
        <v>51.089118747078075</v>
      </c>
    </row>
    <row r="2" spans="1:30" x14ac:dyDescent="0.3">
      <c r="A2" s="1">
        <v>45839</v>
      </c>
      <c r="B2">
        <v>52</v>
      </c>
      <c r="C2">
        <v>51</v>
      </c>
      <c r="D2">
        <v>53</v>
      </c>
      <c r="E2">
        <v>53</v>
      </c>
      <c r="F2">
        <v>53</v>
      </c>
      <c r="G2">
        <v>54</v>
      </c>
      <c r="H2">
        <v>52</v>
      </c>
      <c r="I2">
        <v>53</v>
      </c>
      <c r="J2">
        <v>53</v>
      </c>
      <c r="K2">
        <v>52</v>
      </c>
      <c r="L2">
        <v>53</v>
      </c>
      <c r="M2">
        <v>53</v>
      </c>
      <c r="O2">
        <v>53</v>
      </c>
      <c r="P2">
        <v>53</v>
      </c>
      <c r="Q2">
        <v>52</v>
      </c>
      <c r="R2">
        <v>53</v>
      </c>
      <c r="S2">
        <v>53</v>
      </c>
      <c r="T2">
        <v>53</v>
      </c>
      <c r="U2">
        <v>53</v>
      </c>
      <c r="V2">
        <v>53</v>
      </c>
      <c r="W2">
        <v>53</v>
      </c>
      <c r="X2">
        <v>53</v>
      </c>
      <c r="Y2">
        <v>53</v>
      </c>
      <c r="Z2" s="2">
        <f>AVERAGE(Sheet1__8[[#This Row],[00:00:00]:[23:00:00]])</f>
        <v>52.782608695652172</v>
      </c>
      <c r="AA2" t="str" cm="1">
        <f t="array" ref="AA2">_xlfn.IFS(Sheet1__8[[#This Row],[AVERAGE AQI]]&lt;50,"GOOD",Sheet1__8[[#This Row],[AVERAGE AQI]]&lt;=100,"MODERATE",Sheet1__8[[#This Row],[AVERAGE AQI]]&lt;=150,"BAD",Sheet1__8[[#This Row],[AVERAGE AQI]]&lt;=200,"VERY BAD")</f>
        <v>MODERATE</v>
      </c>
    </row>
    <row r="3" spans="1:30" x14ac:dyDescent="0.3">
      <c r="A3" s="1">
        <v>45840</v>
      </c>
      <c r="B3">
        <v>53</v>
      </c>
      <c r="C3">
        <v>53</v>
      </c>
      <c r="D3">
        <v>52</v>
      </c>
      <c r="E3">
        <v>52</v>
      </c>
      <c r="F3">
        <v>52</v>
      </c>
      <c r="G3">
        <v>52</v>
      </c>
      <c r="H3">
        <v>52</v>
      </c>
      <c r="I3">
        <v>53</v>
      </c>
      <c r="J3">
        <v>53</v>
      </c>
      <c r="K3">
        <v>53</v>
      </c>
      <c r="L3">
        <v>53</v>
      </c>
      <c r="M3">
        <v>53</v>
      </c>
      <c r="N3">
        <v>51</v>
      </c>
      <c r="O3">
        <v>50</v>
      </c>
      <c r="P3">
        <v>50</v>
      </c>
      <c r="Q3">
        <v>52</v>
      </c>
      <c r="R3">
        <v>52</v>
      </c>
      <c r="S3">
        <v>51</v>
      </c>
      <c r="T3">
        <v>51</v>
      </c>
      <c r="U3">
        <v>50</v>
      </c>
      <c r="V3">
        <v>50</v>
      </c>
      <c r="W3">
        <v>49</v>
      </c>
      <c r="X3">
        <v>48</v>
      </c>
      <c r="Y3">
        <v>48</v>
      </c>
      <c r="Z3" s="2">
        <f>AVERAGE(Sheet1__8[[#This Row],[00:00:00]:[23:00:00]])</f>
        <v>51.375</v>
      </c>
      <c r="AA3" t="str" cm="1">
        <f t="array" ref="AA3">_xlfn.IFS(Sheet1__8[[#This Row],[AVERAGE AQI]]&lt;50,"GOOD",Sheet1__8[[#This Row],[AVERAGE AQI]]&lt;=100,"MODERATE",Sheet1__8[[#This Row],[AVERAGE AQI]]&lt;=150,"BAD",Sheet1__8[[#This Row],[AVERAGE AQI]]&lt;=200,"VERY BAD")</f>
        <v>MODERATE</v>
      </c>
    </row>
    <row r="4" spans="1:30" x14ac:dyDescent="0.3">
      <c r="A4" s="1">
        <v>45841</v>
      </c>
      <c r="B4">
        <v>47</v>
      </c>
      <c r="C4">
        <v>43</v>
      </c>
      <c r="D4">
        <v>42</v>
      </c>
      <c r="E4">
        <v>46</v>
      </c>
      <c r="F4">
        <v>45</v>
      </c>
      <c r="G4">
        <v>45</v>
      </c>
      <c r="H4">
        <v>44</v>
      </c>
      <c r="I4">
        <v>44</v>
      </c>
      <c r="J4">
        <v>43</v>
      </c>
      <c r="K4">
        <v>43</v>
      </c>
      <c r="L4">
        <v>43</v>
      </c>
      <c r="M4">
        <v>42</v>
      </c>
      <c r="N4">
        <v>43</v>
      </c>
      <c r="O4">
        <v>43</v>
      </c>
      <c r="P4">
        <v>43</v>
      </c>
      <c r="Q4">
        <v>40</v>
      </c>
      <c r="R4">
        <v>40</v>
      </c>
      <c r="S4">
        <v>43</v>
      </c>
      <c r="T4">
        <v>43</v>
      </c>
      <c r="U4">
        <v>43</v>
      </c>
      <c r="V4">
        <v>44</v>
      </c>
      <c r="W4">
        <v>44</v>
      </c>
      <c r="X4">
        <v>45</v>
      </c>
      <c r="Y4">
        <v>45</v>
      </c>
      <c r="Z4" s="2">
        <f>AVERAGE(Sheet1__8[[#This Row],[00:00:00]:[23:00:00]])</f>
        <v>43.458333333333336</v>
      </c>
      <c r="AA4" t="str" cm="1">
        <f t="array" ref="AA4">_xlfn.IFS(Sheet1__8[[#This Row],[AVERAGE AQI]]&lt;50,"GOOD",Sheet1__8[[#This Row],[AVERAGE AQI]]&lt;=100,"MODERATE",Sheet1__8[[#This Row],[AVERAGE AQI]]&lt;=150,"BAD",Sheet1__8[[#This Row],[AVERAGE AQI]]&lt;=200,"VERY BAD")</f>
        <v>GOOD</v>
      </c>
    </row>
    <row r="5" spans="1:30" x14ac:dyDescent="0.3">
      <c r="A5" s="1">
        <v>45842</v>
      </c>
      <c r="B5">
        <v>46</v>
      </c>
      <c r="C5">
        <v>46</v>
      </c>
      <c r="D5">
        <v>44</v>
      </c>
      <c r="E5">
        <v>45</v>
      </c>
      <c r="F5">
        <v>45</v>
      </c>
      <c r="G5">
        <v>46</v>
      </c>
      <c r="H5">
        <v>46</v>
      </c>
      <c r="I5">
        <v>46</v>
      </c>
      <c r="J5">
        <v>46</v>
      </c>
      <c r="K5">
        <v>47</v>
      </c>
      <c r="L5">
        <v>47</v>
      </c>
      <c r="M5">
        <v>47</v>
      </c>
      <c r="N5">
        <v>47</v>
      </c>
      <c r="O5">
        <v>45</v>
      </c>
      <c r="P5">
        <v>47</v>
      </c>
      <c r="Q5">
        <v>47</v>
      </c>
      <c r="R5">
        <v>48</v>
      </c>
      <c r="S5">
        <v>48</v>
      </c>
      <c r="T5">
        <v>48</v>
      </c>
      <c r="U5">
        <v>48</v>
      </c>
      <c r="V5">
        <v>49</v>
      </c>
      <c r="W5">
        <v>49</v>
      </c>
      <c r="X5">
        <v>49</v>
      </c>
      <c r="Y5">
        <v>49</v>
      </c>
      <c r="Z5" s="2">
        <f>AVERAGE(Sheet1__8[[#This Row],[00:00:00]:[23:00:00]])</f>
        <v>46.875</v>
      </c>
      <c r="AA5" t="str" cm="1">
        <f t="array" ref="AA5">_xlfn.IFS(Sheet1__8[[#This Row],[AVERAGE AQI]]&lt;50,"GOOD",Sheet1__8[[#This Row],[AVERAGE AQI]]&lt;=100,"MODERATE",Sheet1__8[[#This Row],[AVERAGE AQI]]&lt;=150,"BAD",Sheet1__8[[#This Row],[AVERAGE AQI]]&lt;=200,"VERY BAD")</f>
        <v>GOOD</v>
      </c>
    </row>
    <row r="6" spans="1:30" x14ac:dyDescent="0.3">
      <c r="A6" s="1">
        <v>45843</v>
      </c>
      <c r="B6">
        <v>49</v>
      </c>
      <c r="C6">
        <v>48</v>
      </c>
      <c r="D6">
        <v>49</v>
      </c>
      <c r="E6">
        <v>49</v>
      </c>
      <c r="F6">
        <v>52</v>
      </c>
      <c r="G6">
        <v>51</v>
      </c>
      <c r="H6">
        <v>51</v>
      </c>
      <c r="I6">
        <v>50</v>
      </c>
      <c r="J6">
        <v>50</v>
      </c>
      <c r="K6">
        <v>50</v>
      </c>
      <c r="L6">
        <v>50</v>
      </c>
      <c r="M6">
        <v>50</v>
      </c>
      <c r="N6">
        <v>50</v>
      </c>
      <c r="O6">
        <v>50</v>
      </c>
      <c r="P6">
        <v>50</v>
      </c>
      <c r="Q6">
        <v>50</v>
      </c>
      <c r="R6">
        <v>50</v>
      </c>
      <c r="S6">
        <v>50</v>
      </c>
      <c r="T6">
        <v>50</v>
      </c>
      <c r="U6">
        <v>50</v>
      </c>
      <c r="V6">
        <v>50</v>
      </c>
      <c r="W6">
        <v>50</v>
      </c>
      <c r="X6">
        <v>50</v>
      </c>
      <c r="Y6">
        <v>50</v>
      </c>
      <c r="Z6" s="2">
        <f>AVERAGE(Sheet1__8[[#This Row],[00:00:00]:[23:00:00]])</f>
        <v>49.958333333333336</v>
      </c>
      <c r="AA6" t="str" cm="1">
        <f t="array" ref="AA6">_xlfn.IFS(Sheet1__8[[#This Row],[AVERAGE AQI]]&lt;50,"GOOD",Sheet1__8[[#This Row],[AVERAGE AQI]]&lt;=100,"MODERATE",Sheet1__8[[#This Row],[AVERAGE AQI]]&lt;=150,"BAD",Sheet1__8[[#This Row],[AVERAGE AQI]]&lt;=200,"VERY BAD")</f>
        <v>GOOD</v>
      </c>
    </row>
    <row r="7" spans="1:30" x14ac:dyDescent="0.3">
      <c r="A7" s="1">
        <v>45844</v>
      </c>
      <c r="B7">
        <v>50</v>
      </c>
      <c r="C7">
        <v>51</v>
      </c>
      <c r="D7">
        <v>51</v>
      </c>
      <c r="E7">
        <v>51</v>
      </c>
      <c r="F7">
        <v>52</v>
      </c>
      <c r="G7">
        <v>53</v>
      </c>
      <c r="H7">
        <v>52</v>
      </c>
      <c r="I7">
        <v>51</v>
      </c>
      <c r="J7">
        <v>51</v>
      </c>
      <c r="K7">
        <v>51</v>
      </c>
      <c r="L7">
        <v>51</v>
      </c>
      <c r="M7">
        <v>51</v>
      </c>
      <c r="N7">
        <v>51</v>
      </c>
      <c r="O7">
        <v>51</v>
      </c>
      <c r="P7">
        <v>51</v>
      </c>
      <c r="Q7">
        <v>52</v>
      </c>
      <c r="R7">
        <v>52</v>
      </c>
      <c r="S7">
        <v>52</v>
      </c>
      <c r="T7">
        <v>52</v>
      </c>
      <c r="U7">
        <v>52</v>
      </c>
      <c r="V7">
        <v>52</v>
      </c>
      <c r="W7">
        <v>53</v>
      </c>
      <c r="X7">
        <v>53</v>
      </c>
      <c r="Y7">
        <v>53</v>
      </c>
      <c r="Z7" s="2">
        <f>AVERAGE(Sheet1__8[[#This Row],[00:00:00]:[23:00:00]])</f>
        <v>51.625</v>
      </c>
      <c r="AA7" t="str" cm="1">
        <f t="array" ref="AA7">_xlfn.IFS(Sheet1__8[[#This Row],[AVERAGE AQI]]&lt;50,"GOOD",Sheet1__8[[#This Row],[AVERAGE AQI]]&lt;=100,"MODERATE",Sheet1__8[[#This Row],[AVERAGE AQI]]&lt;=150,"BAD",Sheet1__8[[#This Row],[AVERAGE AQI]]&lt;=200,"VERY BAD")</f>
        <v>MODERATE</v>
      </c>
    </row>
    <row r="8" spans="1:30" x14ac:dyDescent="0.3">
      <c r="A8" s="1">
        <v>45845</v>
      </c>
      <c r="B8">
        <v>53</v>
      </c>
      <c r="C8">
        <v>53</v>
      </c>
      <c r="D8">
        <v>53</v>
      </c>
      <c r="E8">
        <v>54</v>
      </c>
      <c r="F8">
        <v>53</v>
      </c>
      <c r="G8">
        <v>53</v>
      </c>
      <c r="H8">
        <v>54</v>
      </c>
      <c r="I8">
        <v>54</v>
      </c>
      <c r="J8">
        <v>54</v>
      </c>
      <c r="K8">
        <v>54</v>
      </c>
      <c r="L8">
        <v>54</v>
      </c>
      <c r="M8">
        <v>54</v>
      </c>
      <c r="N8">
        <v>54</v>
      </c>
      <c r="O8">
        <v>54</v>
      </c>
      <c r="P8">
        <v>54</v>
      </c>
      <c r="Q8">
        <v>54</v>
      </c>
      <c r="R8">
        <v>54</v>
      </c>
      <c r="S8">
        <v>56</v>
      </c>
      <c r="T8">
        <v>56</v>
      </c>
      <c r="U8">
        <v>55</v>
      </c>
      <c r="V8">
        <v>56</v>
      </c>
      <c r="W8">
        <v>56</v>
      </c>
      <c r="X8">
        <v>56</v>
      </c>
      <c r="Y8">
        <v>55</v>
      </c>
      <c r="Z8" s="2">
        <f>AVERAGE(Sheet1__8[[#This Row],[00:00:00]:[23:00:00]])</f>
        <v>54.291666666666664</v>
      </c>
      <c r="AA8" t="str" cm="1">
        <f t="array" ref="AA8">_xlfn.IFS(Sheet1__8[[#This Row],[AVERAGE AQI]]&lt;50,"GOOD",Sheet1__8[[#This Row],[AVERAGE AQI]]&lt;=100,"MODERATE",Sheet1__8[[#This Row],[AVERAGE AQI]]&lt;=150,"BAD",Sheet1__8[[#This Row],[AVERAGE AQI]]&lt;=200,"VERY BAD")</f>
        <v>MODERATE</v>
      </c>
    </row>
    <row r="9" spans="1:30" x14ac:dyDescent="0.3">
      <c r="A9" s="1">
        <v>45846</v>
      </c>
      <c r="B9">
        <v>56</v>
      </c>
      <c r="C9">
        <v>56</v>
      </c>
      <c r="D9">
        <v>55</v>
      </c>
      <c r="E9">
        <v>56</v>
      </c>
      <c r="F9">
        <v>56</v>
      </c>
      <c r="G9">
        <v>55</v>
      </c>
      <c r="H9">
        <v>55</v>
      </c>
      <c r="I9">
        <v>55</v>
      </c>
      <c r="J9">
        <v>55</v>
      </c>
      <c r="K9">
        <v>56</v>
      </c>
      <c r="L9">
        <v>57</v>
      </c>
      <c r="M9">
        <v>57</v>
      </c>
      <c r="N9">
        <v>56</v>
      </c>
      <c r="O9">
        <v>55</v>
      </c>
      <c r="P9">
        <v>55</v>
      </c>
      <c r="Q9">
        <v>56</v>
      </c>
      <c r="R9">
        <v>56</v>
      </c>
      <c r="S9">
        <v>56</v>
      </c>
      <c r="T9">
        <v>56</v>
      </c>
      <c r="U9">
        <v>57</v>
      </c>
      <c r="V9">
        <v>57</v>
      </c>
      <c r="W9">
        <v>57</v>
      </c>
      <c r="X9">
        <v>57</v>
      </c>
      <c r="Y9">
        <v>57</v>
      </c>
      <c r="Z9" s="2">
        <f>AVERAGE(Sheet1__8[[#This Row],[00:00:00]:[23:00:00]])</f>
        <v>56</v>
      </c>
      <c r="AA9" t="str" cm="1">
        <f t="array" ref="AA9">_xlfn.IFS(Sheet1__8[[#This Row],[AVERAGE AQI]]&lt;50,"GOOD",Sheet1__8[[#This Row],[AVERAGE AQI]]&lt;=100,"MODERATE",Sheet1__8[[#This Row],[AVERAGE AQI]]&lt;=150,"BAD",Sheet1__8[[#This Row],[AVERAGE AQI]]&lt;=200,"VERY BAD")</f>
        <v>MODERATE</v>
      </c>
    </row>
    <row r="10" spans="1:30" x14ac:dyDescent="0.3">
      <c r="A10" s="1">
        <v>45847</v>
      </c>
      <c r="B10">
        <v>57</v>
      </c>
      <c r="C10">
        <v>57</v>
      </c>
      <c r="D10">
        <v>57</v>
      </c>
      <c r="E10">
        <v>57</v>
      </c>
      <c r="F10">
        <v>58</v>
      </c>
      <c r="G10">
        <v>58</v>
      </c>
      <c r="H10">
        <v>57</v>
      </c>
      <c r="I10">
        <v>59</v>
      </c>
      <c r="J10">
        <v>58</v>
      </c>
      <c r="K10">
        <v>58</v>
      </c>
      <c r="L10">
        <v>58</v>
      </c>
      <c r="M10">
        <v>58</v>
      </c>
      <c r="N10">
        <v>58</v>
      </c>
      <c r="O10">
        <v>58</v>
      </c>
      <c r="P10">
        <v>58</v>
      </c>
      <c r="Q10">
        <v>57</v>
      </c>
      <c r="R10">
        <v>57</v>
      </c>
      <c r="S10">
        <v>58</v>
      </c>
      <c r="T10">
        <v>59</v>
      </c>
      <c r="U10">
        <v>59</v>
      </c>
      <c r="V10">
        <v>59</v>
      </c>
      <c r="W10">
        <v>59</v>
      </c>
      <c r="X10">
        <v>59</v>
      </c>
      <c r="Y10">
        <v>60</v>
      </c>
      <c r="Z10" s="2">
        <f>AVERAGE(Sheet1__8[[#This Row],[00:00:00]:[23:00:00]])</f>
        <v>58.041666666666664</v>
      </c>
      <c r="AA10" t="str" cm="1">
        <f t="array" ref="AA10">_xlfn.IFS(Sheet1__8[[#This Row],[AVERAGE AQI]]&lt;50,"GOOD",Sheet1__8[[#This Row],[AVERAGE AQI]]&lt;=100,"MODERATE",Sheet1__8[[#This Row],[AVERAGE AQI]]&lt;=150,"BAD",Sheet1__8[[#This Row],[AVERAGE AQI]]&lt;=200,"VERY BAD")</f>
        <v>MODERATE</v>
      </c>
    </row>
    <row r="11" spans="1:30" x14ac:dyDescent="0.3">
      <c r="A11" s="1">
        <v>45848</v>
      </c>
      <c r="B11">
        <v>60</v>
      </c>
      <c r="C11">
        <v>60</v>
      </c>
      <c r="D11">
        <v>59</v>
      </c>
      <c r="E11">
        <v>59</v>
      </c>
      <c r="F11">
        <v>60</v>
      </c>
      <c r="G11">
        <v>59</v>
      </c>
      <c r="H11">
        <v>60</v>
      </c>
      <c r="I11">
        <v>60</v>
      </c>
      <c r="J11">
        <v>60</v>
      </c>
      <c r="K11">
        <v>60</v>
      </c>
      <c r="L11">
        <v>60</v>
      </c>
      <c r="M11">
        <v>60</v>
      </c>
      <c r="N11">
        <v>60</v>
      </c>
      <c r="O11">
        <v>61</v>
      </c>
      <c r="P11">
        <v>62</v>
      </c>
      <c r="Q11">
        <v>61</v>
      </c>
      <c r="R11">
        <v>61</v>
      </c>
      <c r="S11">
        <v>61</v>
      </c>
      <c r="T11">
        <v>61</v>
      </c>
      <c r="U11">
        <v>62</v>
      </c>
      <c r="V11">
        <v>61</v>
      </c>
      <c r="W11">
        <v>61</v>
      </c>
      <c r="X11">
        <v>59</v>
      </c>
      <c r="Y11">
        <v>59</v>
      </c>
      <c r="Z11" s="2">
        <f>AVERAGE(Sheet1__8[[#This Row],[00:00:00]:[23:00:00]])</f>
        <v>60.25</v>
      </c>
      <c r="AA11" t="str" cm="1">
        <f t="array" ref="AA11">_xlfn.IFS(Sheet1__8[[#This Row],[AVERAGE AQI]]&lt;50,"GOOD",Sheet1__8[[#This Row],[AVERAGE AQI]]&lt;=100,"MODERATE",Sheet1__8[[#This Row],[AVERAGE AQI]]&lt;=150,"BAD",Sheet1__8[[#This Row],[AVERAGE AQI]]&lt;=200,"VERY BAD")</f>
        <v>MODERATE</v>
      </c>
    </row>
    <row r="12" spans="1:30" x14ac:dyDescent="0.3">
      <c r="A12" s="1">
        <v>45849</v>
      </c>
      <c r="B12">
        <v>59</v>
      </c>
      <c r="C12">
        <v>59</v>
      </c>
      <c r="D12">
        <v>57</v>
      </c>
      <c r="E12">
        <v>59</v>
      </c>
      <c r="F12">
        <v>59</v>
      </c>
      <c r="G12">
        <v>59</v>
      </c>
      <c r="H12">
        <v>60</v>
      </c>
      <c r="I12">
        <v>59</v>
      </c>
      <c r="J12">
        <v>59</v>
      </c>
      <c r="K12">
        <v>59</v>
      </c>
      <c r="L12">
        <v>59</v>
      </c>
      <c r="M12">
        <v>58</v>
      </c>
      <c r="N12">
        <v>57</v>
      </c>
      <c r="O12">
        <v>57</v>
      </c>
      <c r="P12">
        <v>56</v>
      </c>
      <c r="Q12">
        <v>56</v>
      </c>
      <c r="R12">
        <v>56</v>
      </c>
      <c r="S12">
        <v>57</v>
      </c>
      <c r="T12">
        <v>57</v>
      </c>
      <c r="U12">
        <v>57</v>
      </c>
      <c r="V12">
        <v>57</v>
      </c>
      <c r="W12">
        <v>57</v>
      </c>
      <c r="X12">
        <v>57</v>
      </c>
      <c r="Y12">
        <v>56</v>
      </c>
      <c r="Z12" s="2">
        <f>AVERAGE(Sheet1__8[[#This Row],[00:00:00]:[23:00:00]])</f>
        <v>57.75</v>
      </c>
      <c r="AA12" t="str" cm="1">
        <f t="array" ref="AA12">_xlfn.IFS(Sheet1__8[[#This Row],[AVERAGE AQI]]&lt;50,"GOOD",Sheet1__8[[#This Row],[AVERAGE AQI]]&lt;=100,"MODERATE",Sheet1__8[[#This Row],[AVERAGE AQI]]&lt;=150,"BAD",Sheet1__8[[#This Row],[AVERAGE AQI]]&lt;=200,"VERY BAD")</f>
        <v>MODERATE</v>
      </c>
    </row>
    <row r="13" spans="1:30" x14ac:dyDescent="0.3">
      <c r="A13" s="1">
        <v>45850</v>
      </c>
      <c r="B13">
        <v>55</v>
      </c>
      <c r="C13">
        <v>57</v>
      </c>
      <c r="D13">
        <v>57</v>
      </c>
      <c r="E13">
        <v>56</v>
      </c>
      <c r="F13">
        <v>56</v>
      </c>
      <c r="G13">
        <v>56</v>
      </c>
      <c r="H13">
        <v>56</v>
      </c>
      <c r="I13">
        <v>55</v>
      </c>
      <c r="J13">
        <v>55</v>
      </c>
      <c r="K13">
        <v>54</v>
      </c>
      <c r="L13">
        <v>53</v>
      </c>
      <c r="M13">
        <v>53</v>
      </c>
      <c r="N13">
        <v>53</v>
      </c>
      <c r="O13">
        <v>52</v>
      </c>
      <c r="P13">
        <v>51</v>
      </c>
      <c r="Q13">
        <v>51</v>
      </c>
      <c r="R13">
        <v>50</v>
      </c>
      <c r="S13">
        <v>51</v>
      </c>
      <c r="T13">
        <v>49</v>
      </c>
      <c r="U13">
        <v>49</v>
      </c>
      <c r="V13">
        <v>49</v>
      </c>
      <c r="W13">
        <v>49</v>
      </c>
      <c r="X13">
        <v>49</v>
      </c>
      <c r="Y13">
        <v>49</v>
      </c>
      <c r="Z13" s="2">
        <f>AVERAGE(Sheet1__8[[#This Row],[00:00:00]:[23:00:00]])</f>
        <v>52.708333333333336</v>
      </c>
      <c r="AA13" t="str" cm="1">
        <f t="array" ref="AA13">_xlfn.IFS(Sheet1__8[[#This Row],[AVERAGE AQI]]&lt;50,"GOOD",Sheet1__8[[#This Row],[AVERAGE AQI]]&lt;=100,"MODERATE",Sheet1__8[[#This Row],[AVERAGE AQI]]&lt;=150,"BAD",Sheet1__8[[#This Row],[AVERAGE AQI]]&lt;=200,"VERY BAD")</f>
        <v>MODERATE</v>
      </c>
    </row>
    <row r="14" spans="1:30" x14ac:dyDescent="0.3">
      <c r="A14" s="1">
        <v>45851</v>
      </c>
      <c r="B14">
        <v>49</v>
      </c>
      <c r="C14">
        <v>49</v>
      </c>
      <c r="D14">
        <v>49</v>
      </c>
      <c r="E14">
        <v>49</v>
      </c>
      <c r="F14">
        <v>49</v>
      </c>
      <c r="G14">
        <v>51</v>
      </c>
      <c r="H14">
        <v>51</v>
      </c>
      <c r="I14">
        <v>51</v>
      </c>
      <c r="J14">
        <v>51</v>
      </c>
      <c r="K14">
        <v>51</v>
      </c>
      <c r="L14">
        <v>51</v>
      </c>
      <c r="M14">
        <v>51</v>
      </c>
      <c r="N14">
        <v>50</v>
      </c>
      <c r="O14">
        <v>50</v>
      </c>
      <c r="P14">
        <v>49</v>
      </c>
      <c r="Q14">
        <v>49</v>
      </c>
      <c r="R14">
        <v>47</v>
      </c>
      <c r="S14">
        <v>46</v>
      </c>
      <c r="T14">
        <v>48</v>
      </c>
      <c r="U14">
        <v>48</v>
      </c>
      <c r="V14">
        <v>46</v>
      </c>
      <c r="W14">
        <v>46</v>
      </c>
      <c r="X14">
        <v>46</v>
      </c>
      <c r="Y14">
        <v>47</v>
      </c>
      <c r="Z14" s="2">
        <f>AVERAGE(Sheet1__8[[#This Row],[00:00:00]:[23:00:00]])</f>
        <v>48.916666666666664</v>
      </c>
      <c r="AA14" t="str" cm="1">
        <f t="array" ref="AA14">_xlfn.IFS(Sheet1__8[[#This Row],[AVERAGE AQI]]&lt;50,"GOOD",Sheet1__8[[#This Row],[AVERAGE AQI]]&lt;=100,"MODERATE",Sheet1__8[[#This Row],[AVERAGE AQI]]&lt;=150,"BAD",Sheet1__8[[#This Row],[AVERAGE AQI]]&lt;=200,"VERY BAD")</f>
        <v>GOOD</v>
      </c>
    </row>
    <row r="15" spans="1:30" x14ac:dyDescent="0.3">
      <c r="A15" s="1">
        <v>45852</v>
      </c>
      <c r="B15">
        <v>46</v>
      </c>
      <c r="C15">
        <v>46</v>
      </c>
      <c r="D15">
        <v>43</v>
      </c>
      <c r="E15">
        <v>43</v>
      </c>
      <c r="F15">
        <v>43</v>
      </c>
      <c r="G15">
        <v>44</v>
      </c>
      <c r="H15">
        <v>44</v>
      </c>
      <c r="I15">
        <v>43</v>
      </c>
      <c r="J15">
        <v>42</v>
      </c>
      <c r="K15">
        <v>42</v>
      </c>
      <c r="L15">
        <v>42</v>
      </c>
      <c r="M15">
        <v>41</v>
      </c>
      <c r="N15">
        <v>42</v>
      </c>
      <c r="O15">
        <v>41</v>
      </c>
      <c r="P15">
        <v>41</v>
      </c>
      <c r="Q15">
        <v>40</v>
      </c>
      <c r="R15">
        <v>40</v>
      </c>
      <c r="S15">
        <v>37</v>
      </c>
      <c r="T15">
        <v>37</v>
      </c>
      <c r="U15">
        <v>36</v>
      </c>
      <c r="V15">
        <v>36</v>
      </c>
      <c r="W15">
        <v>35</v>
      </c>
      <c r="X15">
        <v>35</v>
      </c>
      <c r="Y15">
        <v>34</v>
      </c>
      <c r="Z15" s="2">
        <f>AVERAGE(Sheet1__8[[#This Row],[00:00:00]:[23:00:00]])</f>
        <v>40.541666666666664</v>
      </c>
      <c r="AA15" t="str" cm="1">
        <f t="array" ref="AA15">_xlfn.IFS(Sheet1__8[[#This Row],[AVERAGE AQI]]&lt;50,"GOOD",Sheet1__8[[#This Row],[AVERAGE AQI]]&lt;=100,"MODERATE",Sheet1__8[[#This Row],[AVERAGE AQI]]&lt;=150,"BAD",Sheet1__8[[#This Row],[AVERAGE AQI]]&lt;=200,"VERY BAD")</f>
        <v>GOOD</v>
      </c>
    </row>
    <row r="16" spans="1:30" x14ac:dyDescent="0.3">
      <c r="A16" s="1">
        <v>45853</v>
      </c>
      <c r="B16">
        <v>34</v>
      </c>
      <c r="C16">
        <v>34</v>
      </c>
      <c r="D16">
        <v>35</v>
      </c>
      <c r="E16">
        <v>35</v>
      </c>
      <c r="F16">
        <v>35</v>
      </c>
      <c r="G16">
        <v>35</v>
      </c>
      <c r="H16">
        <v>35</v>
      </c>
      <c r="I16">
        <v>35</v>
      </c>
      <c r="J16">
        <v>35</v>
      </c>
      <c r="K16">
        <v>36</v>
      </c>
      <c r="L16">
        <v>36</v>
      </c>
      <c r="M16">
        <v>36</v>
      </c>
      <c r="N16">
        <v>47</v>
      </c>
      <c r="O16">
        <v>48</v>
      </c>
      <c r="P16">
        <v>38</v>
      </c>
      <c r="Q16">
        <v>38</v>
      </c>
      <c r="R16">
        <v>39</v>
      </c>
      <c r="S16">
        <v>41</v>
      </c>
      <c r="T16">
        <v>42</v>
      </c>
      <c r="U16">
        <v>43</v>
      </c>
      <c r="V16">
        <v>44</v>
      </c>
      <c r="W16">
        <v>44</v>
      </c>
      <c r="X16">
        <v>45</v>
      </c>
      <c r="Y16">
        <v>46</v>
      </c>
      <c r="Z16" s="2">
        <f>AVERAGE(Sheet1__8[[#This Row],[00:00:00]:[23:00:00]])</f>
        <v>39</v>
      </c>
      <c r="AA16" t="str" cm="1">
        <f t="array" ref="AA16">_xlfn.IFS(Sheet1__8[[#This Row],[AVERAGE AQI]]&lt;50,"GOOD",Sheet1__8[[#This Row],[AVERAGE AQI]]&lt;=100,"MODERATE",Sheet1__8[[#This Row],[AVERAGE AQI]]&lt;=150,"BAD",Sheet1__8[[#This Row],[AVERAGE AQI]]&lt;=200,"VERY BAD")</f>
        <v>GOOD</v>
      </c>
    </row>
    <row r="17" spans="1:27" x14ac:dyDescent="0.3">
      <c r="A17" s="1">
        <v>45854</v>
      </c>
      <c r="B17">
        <v>46</v>
      </c>
      <c r="C17">
        <v>47</v>
      </c>
      <c r="D17">
        <v>47</v>
      </c>
      <c r="E17">
        <v>48</v>
      </c>
      <c r="F17">
        <v>48</v>
      </c>
      <c r="G17">
        <v>49</v>
      </c>
      <c r="H17">
        <v>49</v>
      </c>
      <c r="I17">
        <v>49</v>
      </c>
      <c r="J17">
        <v>49</v>
      </c>
      <c r="K17">
        <v>48</v>
      </c>
      <c r="L17">
        <v>48</v>
      </c>
      <c r="M17">
        <v>49</v>
      </c>
      <c r="N17">
        <v>49</v>
      </c>
      <c r="O17">
        <v>50</v>
      </c>
      <c r="P17">
        <v>51</v>
      </c>
      <c r="Q17">
        <v>51</v>
      </c>
      <c r="R17">
        <v>51</v>
      </c>
      <c r="S17">
        <v>50</v>
      </c>
      <c r="T17">
        <v>51</v>
      </c>
      <c r="U17">
        <v>52</v>
      </c>
      <c r="V17">
        <v>53</v>
      </c>
      <c r="W17">
        <v>53</v>
      </c>
      <c r="X17">
        <v>54</v>
      </c>
      <c r="Y17">
        <v>54</v>
      </c>
      <c r="Z17" s="2">
        <f>AVERAGE(Sheet1__8[[#This Row],[00:00:00]:[23:00:00]])</f>
        <v>49.833333333333336</v>
      </c>
      <c r="AA17" t="str" cm="1">
        <f t="array" ref="AA17">_xlfn.IFS(Sheet1__8[[#This Row],[AVERAGE AQI]]&lt;50,"GOOD",Sheet1__8[[#This Row],[AVERAGE AQI]]&lt;=100,"MODERATE",Sheet1__8[[#This Row],[AVERAGE AQI]]&lt;=150,"BAD",Sheet1__8[[#This Row],[AVERAGE AQI]]&lt;=200,"VERY BAD")</f>
        <v>GOOD</v>
      </c>
    </row>
    <row r="18" spans="1:27" x14ac:dyDescent="0.3">
      <c r="A18" s="1">
        <v>45855</v>
      </c>
      <c r="B18">
        <v>55</v>
      </c>
      <c r="C18">
        <v>55</v>
      </c>
      <c r="D18">
        <v>56</v>
      </c>
      <c r="E18">
        <v>57</v>
      </c>
      <c r="F18">
        <v>57</v>
      </c>
      <c r="G18">
        <v>59</v>
      </c>
      <c r="H18">
        <v>60</v>
      </c>
      <c r="I18">
        <v>60</v>
      </c>
      <c r="J18">
        <v>60</v>
      </c>
      <c r="K18">
        <v>61</v>
      </c>
      <c r="L18">
        <v>61</v>
      </c>
      <c r="M18">
        <v>61</v>
      </c>
      <c r="N18">
        <v>61</v>
      </c>
      <c r="O18">
        <v>61</v>
      </c>
      <c r="P18">
        <v>61</v>
      </c>
      <c r="Q18">
        <v>61</v>
      </c>
      <c r="R18">
        <v>61</v>
      </c>
      <c r="S18">
        <v>61</v>
      </c>
      <c r="T18">
        <v>61</v>
      </c>
      <c r="U18">
        <v>60</v>
      </c>
      <c r="V18">
        <v>60</v>
      </c>
      <c r="W18">
        <v>61</v>
      </c>
      <c r="X18">
        <v>61</v>
      </c>
      <c r="Y18">
        <v>62</v>
      </c>
      <c r="Z18" s="2">
        <f>AVERAGE(Sheet1__8[[#This Row],[00:00:00]:[23:00:00]])</f>
        <v>59.708333333333336</v>
      </c>
      <c r="AA18" t="str" cm="1">
        <f t="array" ref="AA18">_xlfn.IFS(Sheet1__8[[#This Row],[AVERAGE AQI]]&lt;50,"GOOD",Sheet1__8[[#This Row],[AVERAGE AQI]]&lt;=100,"MODERATE",Sheet1__8[[#This Row],[AVERAGE AQI]]&lt;=150,"BAD",Sheet1__8[[#This Row],[AVERAGE AQI]]&lt;=200,"VERY BAD")</f>
        <v>MODERATE</v>
      </c>
    </row>
    <row r="19" spans="1:27" x14ac:dyDescent="0.3">
      <c r="A19" s="1">
        <v>45856</v>
      </c>
      <c r="B19">
        <v>61</v>
      </c>
      <c r="C19">
        <v>61</v>
      </c>
      <c r="D19">
        <v>60</v>
      </c>
      <c r="E19">
        <v>61</v>
      </c>
      <c r="F19">
        <v>61</v>
      </c>
      <c r="G19">
        <v>61</v>
      </c>
      <c r="H19">
        <v>63</v>
      </c>
      <c r="I19">
        <v>63</v>
      </c>
      <c r="J19">
        <v>63</v>
      </c>
      <c r="K19">
        <v>63</v>
      </c>
      <c r="L19">
        <v>63</v>
      </c>
      <c r="M19">
        <v>64</v>
      </c>
      <c r="N19">
        <v>64</v>
      </c>
      <c r="O19">
        <v>65</v>
      </c>
      <c r="P19">
        <v>65</v>
      </c>
      <c r="Q19">
        <v>65</v>
      </c>
      <c r="R19">
        <v>65</v>
      </c>
      <c r="S19">
        <v>65</v>
      </c>
      <c r="T19">
        <v>65</v>
      </c>
      <c r="U19">
        <v>65</v>
      </c>
      <c r="V19">
        <v>66</v>
      </c>
      <c r="W19">
        <v>66</v>
      </c>
      <c r="X19">
        <v>66</v>
      </c>
      <c r="Y19">
        <v>65</v>
      </c>
      <c r="Z19" s="2">
        <f>AVERAGE(Sheet1__8[[#This Row],[00:00:00]:[23:00:00]])</f>
        <v>63.583333333333336</v>
      </c>
      <c r="AA19" t="str" cm="1">
        <f t="array" ref="AA19">_xlfn.IFS(Sheet1__8[[#This Row],[AVERAGE AQI]]&lt;50,"GOOD",Sheet1__8[[#This Row],[AVERAGE AQI]]&lt;=100,"MODERATE",Sheet1__8[[#This Row],[AVERAGE AQI]]&lt;=150,"BAD",Sheet1__8[[#This Row],[AVERAGE AQI]]&lt;=200,"VERY BAD")</f>
        <v>MODERATE</v>
      </c>
    </row>
    <row r="20" spans="1:27" x14ac:dyDescent="0.3">
      <c r="A20" s="1">
        <v>45857</v>
      </c>
      <c r="B20">
        <v>65</v>
      </c>
      <c r="C20">
        <v>65</v>
      </c>
      <c r="D20">
        <v>65</v>
      </c>
      <c r="E20">
        <v>68</v>
      </c>
      <c r="F20">
        <v>68</v>
      </c>
      <c r="G20">
        <v>67</v>
      </c>
      <c r="H20">
        <v>66</v>
      </c>
      <c r="I20">
        <v>64</v>
      </c>
      <c r="J20">
        <v>65</v>
      </c>
      <c r="K20">
        <v>64</v>
      </c>
      <c r="L20">
        <v>64</v>
      </c>
      <c r="M20">
        <v>64</v>
      </c>
      <c r="N20">
        <v>64</v>
      </c>
      <c r="O20">
        <v>63</v>
      </c>
      <c r="P20">
        <v>62</v>
      </c>
      <c r="Q20">
        <v>62</v>
      </c>
      <c r="R20">
        <v>61</v>
      </c>
      <c r="S20">
        <v>60</v>
      </c>
      <c r="T20">
        <v>60</v>
      </c>
      <c r="U20">
        <v>60</v>
      </c>
      <c r="V20">
        <v>60</v>
      </c>
      <c r="W20">
        <v>60</v>
      </c>
      <c r="X20">
        <v>60</v>
      </c>
      <c r="Y20">
        <v>60</v>
      </c>
      <c r="Z20" s="2">
        <f>AVERAGE(Sheet1__8[[#This Row],[00:00:00]:[23:00:00]])</f>
        <v>63.208333333333336</v>
      </c>
      <c r="AA20" t="str" cm="1">
        <f t="array" ref="AA20">_xlfn.IFS(Sheet1__8[[#This Row],[AVERAGE AQI]]&lt;50,"GOOD",Sheet1__8[[#This Row],[AVERAGE AQI]]&lt;=100,"MODERATE",Sheet1__8[[#This Row],[AVERAGE AQI]]&lt;=150,"BAD",Sheet1__8[[#This Row],[AVERAGE AQI]]&lt;=200,"VERY BAD")</f>
        <v>MODERATE</v>
      </c>
    </row>
    <row r="21" spans="1:27" x14ac:dyDescent="0.3">
      <c r="A21" s="1">
        <v>45858</v>
      </c>
      <c r="B21">
        <v>60</v>
      </c>
      <c r="C21">
        <v>59</v>
      </c>
      <c r="D21">
        <v>59</v>
      </c>
      <c r="E21">
        <v>59</v>
      </c>
      <c r="F21">
        <v>58</v>
      </c>
      <c r="G21">
        <v>60</v>
      </c>
      <c r="H21">
        <v>60</v>
      </c>
      <c r="I21">
        <v>60</v>
      </c>
      <c r="J21">
        <v>59</v>
      </c>
      <c r="K21">
        <v>59</v>
      </c>
      <c r="L21">
        <v>58</v>
      </c>
      <c r="M21">
        <v>58</v>
      </c>
      <c r="N21">
        <v>57</v>
      </c>
      <c r="O21">
        <v>57</v>
      </c>
      <c r="P21">
        <v>56</v>
      </c>
      <c r="Q21">
        <v>56</v>
      </c>
      <c r="R21">
        <v>55</v>
      </c>
      <c r="S21">
        <v>54</v>
      </c>
      <c r="T21">
        <v>54</v>
      </c>
      <c r="U21">
        <v>51</v>
      </c>
      <c r="V21">
        <v>50</v>
      </c>
      <c r="W21">
        <v>49</v>
      </c>
      <c r="X21">
        <v>48</v>
      </c>
      <c r="Y21">
        <v>46</v>
      </c>
      <c r="Z21" s="2">
        <f>AVERAGE(Sheet1__8[[#This Row],[00:00:00]:[23:00:00]])</f>
        <v>55.916666666666664</v>
      </c>
      <c r="AA21" t="str" cm="1">
        <f t="array" ref="AA21">_xlfn.IFS(Sheet1__8[[#This Row],[AVERAGE AQI]]&lt;50,"GOOD",Sheet1__8[[#This Row],[AVERAGE AQI]]&lt;=100,"MODERATE",Sheet1__8[[#This Row],[AVERAGE AQI]]&lt;=150,"BAD",Sheet1__8[[#This Row],[AVERAGE AQI]]&lt;=200,"VERY BAD")</f>
        <v>MODERATE</v>
      </c>
    </row>
    <row r="22" spans="1:27" x14ac:dyDescent="0.3">
      <c r="A22" s="1">
        <v>45859</v>
      </c>
      <c r="B22">
        <v>46</v>
      </c>
      <c r="C22">
        <v>45</v>
      </c>
      <c r="D22">
        <v>45</v>
      </c>
      <c r="E22">
        <v>45</v>
      </c>
      <c r="F22">
        <v>45</v>
      </c>
      <c r="G22">
        <v>46</v>
      </c>
      <c r="H22">
        <v>47</v>
      </c>
      <c r="I22">
        <v>48</v>
      </c>
      <c r="J22">
        <v>48</v>
      </c>
      <c r="K22">
        <v>47</v>
      </c>
      <c r="L22">
        <v>48</v>
      </c>
      <c r="M22">
        <v>48</v>
      </c>
      <c r="N22">
        <v>48</v>
      </c>
      <c r="O22">
        <v>48</v>
      </c>
      <c r="P22">
        <v>48</v>
      </c>
      <c r="Q22">
        <v>46</v>
      </c>
      <c r="R22">
        <v>40</v>
      </c>
      <c r="S22">
        <v>40</v>
      </c>
      <c r="T22">
        <v>40</v>
      </c>
      <c r="U22">
        <v>40</v>
      </c>
      <c r="V22">
        <v>40</v>
      </c>
      <c r="W22">
        <v>40</v>
      </c>
      <c r="X22">
        <v>40</v>
      </c>
      <c r="Y22">
        <v>40</v>
      </c>
      <c r="Z22" s="2">
        <f>AVERAGE(Sheet1__8[[#This Row],[00:00:00]:[23:00:00]])</f>
        <v>44.5</v>
      </c>
      <c r="AA22" t="str" cm="1">
        <f t="array" ref="AA22">_xlfn.IFS(Sheet1__8[[#This Row],[AVERAGE AQI]]&lt;50,"GOOD",Sheet1__8[[#This Row],[AVERAGE AQI]]&lt;=100,"MODERATE",Sheet1__8[[#This Row],[AVERAGE AQI]]&lt;=150,"BAD",Sheet1__8[[#This Row],[AVERAGE AQI]]&lt;=200,"VERY BAD")</f>
        <v>GOOD</v>
      </c>
    </row>
    <row r="23" spans="1:27" x14ac:dyDescent="0.3">
      <c r="A23" s="1">
        <v>45860</v>
      </c>
      <c r="B23">
        <v>40</v>
      </c>
      <c r="C23">
        <v>38</v>
      </c>
      <c r="D23">
        <v>37</v>
      </c>
      <c r="E23">
        <v>36</v>
      </c>
      <c r="F23">
        <v>36</v>
      </c>
      <c r="G23">
        <v>36</v>
      </c>
      <c r="H23">
        <v>36</v>
      </c>
      <c r="I23">
        <v>38</v>
      </c>
      <c r="J23">
        <v>38</v>
      </c>
      <c r="K23">
        <v>40</v>
      </c>
      <c r="L23">
        <v>43</v>
      </c>
      <c r="M23">
        <v>39</v>
      </c>
      <c r="N23">
        <v>39</v>
      </c>
      <c r="O23">
        <v>39</v>
      </c>
      <c r="P23">
        <v>39</v>
      </c>
      <c r="Q23">
        <v>40</v>
      </c>
      <c r="R23">
        <v>40</v>
      </c>
      <c r="S23">
        <v>40</v>
      </c>
      <c r="T23">
        <v>40</v>
      </c>
      <c r="U23">
        <v>39</v>
      </c>
      <c r="V23">
        <v>39</v>
      </c>
      <c r="W23">
        <v>41</v>
      </c>
      <c r="X23">
        <v>41</v>
      </c>
      <c r="Y23">
        <v>38</v>
      </c>
      <c r="Z23" s="2">
        <f>AVERAGE(Sheet1__8[[#This Row],[00:00:00]:[23:00:00]])</f>
        <v>38.833333333333336</v>
      </c>
      <c r="AA23" t="str" cm="1">
        <f t="array" ref="AA23">_xlfn.IFS(Sheet1__8[[#This Row],[AVERAGE AQI]]&lt;50,"GOOD",Sheet1__8[[#This Row],[AVERAGE AQI]]&lt;=100,"MODERATE",Sheet1__8[[#This Row],[AVERAGE AQI]]&lt;=150,"BAD",Sheet1__8[[#This Row],[AVERAGE AQI]]&lt;=200,"VERY BAD")</f>
        <v>GOOD</v>
      </c>
    </row>
    <row r="24" spans="1:27" x14ac:dyDescent="0.3">
      <c r="A24" s="1">
        <v>45861</v>
      </c>
      <c r="B24">
        <v>37</v>
      </c>
      <c r="C24">
        <v>37</v>
      </c>
      <c r="D24">
        <v>37</v>
      </c>
      <c r="E24">
        <v>36</v>
      </c>
      <c r="F24">
        <v>35</v>
      </c>
      <c r="G24">
        <v>35</v>
      </c>
      <c r="H24">
        <v>35</v>
      </c>
      <c r="J24">
        <v>35</v>
      </c>
      <c r="K24">
        <v>35</v>
      </c>
      <c r="L24">
        <v>35</v>
      </c>
      <c r="M24">
        <v>35</v>
      </c>
      <c r="N24">
        <v>36</v>
      </c>
      <c r="O24">
        <v>37</v>
      </c>
      <c r="P24">
        <v>38</v>
      </c>
      <c r="Q24">
        <v>38</v>
      </c>
      <c r="R24">
        <v>39</v>
      </c>
      <c r="S24">
        <v>38</v>
      </c>
      <c r="T24">
        <v>38</v>
      </c>
      <c r="U24">
        <v>38</v>
      </c>
      <c r="V24">
        <v>38</v>
      </c>
      <c r="W24">
        <v>38</v>
      </c>
      <c r="X24">
        <v>38</v>
      </c>
      <c r="Y24">
        <v>39</v>
      </c>
      <c r="Z24" s="2">
        <f>AVERAGE(Sheet1__8[[#This Row],[00:00:00]:[23:00:00]])</f>
        <v>36.826086956521742</v>
      </c>
      <c r="AA24" t="str" cm="1">
        <f t="array" ref="AA24">_xlfn.IFS(Sheet1__8[[#This Row],[AVERAGE AQI]]&lt;50,"GOOD",Sheet1__8[[#This Row],[AVERAGE AQI]]&lt;=100,"MODERATE",Sheet1__8[[#This Row],[AVERAGE AQI]]&lt;=150,"BAD",Sheet1__8[[#This Row],[AVERAGE AQI]]&lt;=200,"VERY BAD")</f>
        <v>GOOD</v>
      </c>
    </row>
    <row r="25" spans="1:27" x14ac:dyDescent="0.3">
      <c r="A25" s="1">
        <v>45862</v>
      </c>
      <c r="B25">
        <v>40</v>
      </c>
      <c r="C25">
        <v>41</v>
      </c>
      <c r="D25">
        <v>41</v>
      </c>
      <c r="E25">
        <v>42</v>
      </c>
      <c r="F25">
        <v>43</v>
      </c>
      <c r="G25">
        <v>44</v>
      </c>
      <c r="H25">
        <v>45</v>
      </c>
      <c r="I25">
        <v>44</v>
      </c>
      <c r="J25">
        <v>45</v>
      </c>
      <c r="K25">
        <v>46</v>
      </c>
      <c r="L25">
        <v>46</v>
      </c>
      <c r="M25">
        <v>47</v>
      </c>
      <c r="N25">
        <v>48</v>
      </c>
      <c r="O25">
        <v>49</v>
      </c>
      <c r="P25">
        <v>49</v>
      </c>
      <c r="Q25">
        <v>49</v>
      </c>
      <c r="R25">
        <v>49</v>
      </c>
      <c r="S25">
        <v>49</v>
      </c>
      <c r="T25">
        <v>48</v>
      </c>
      <c r="U25">
        <v>48</v>
      </c>
      <c r="V25">
        <v>47</v>
      </c>
      <c r="W25">
        <v>47</v>
      </c>
      <c r="X25">
        <v>47</v>
      </c>
      <c r="Y25">
        <v>46</v>
      </c>
      <c r="Z25" s="2">
        <f>AVERAGE(Sheet1__8[[#This Row],[00:00:00]:[23:00:00]])</f>
        <v>45.833333333333336</v>
      </c>
      <c r="AA25" t="str" cm="1">
        <f t="array" ref="AA25">_xlfn.IFS(Sheet1__8[[#This Row],[AVERAGE AQI]]&lt;50,"GOOD",Sheet1__8[[#This Row],[AVERAGE AQI]]&lt;=100,"MODERATE",Sheet1__8[[#This Row],[AVERAGE AQI]]&lt;=150,"BAD",Sheet1__8[[#This Row],[AVERAGE AQI]]&lt;=200,"VERY BAD")</f>
        <v>GOOD</v>
      </c>
    </row>
    <row r="26" spans="1:27" x14ac:dyDescent="0.3">
      <c r="A26" s="1">
        <v>45863</v>
      </c>
      <c r="B26">
        <v>46</v>
      </c>
      <c r="C26">
        <v>45</v>
      </c>
      <c r="D26">
        <v>44</v>
      </c>
      <c r="E26">
        <v>43</v>
      </c>
      <c r="F26">
        <v>43</v>
      </c>
      <c r="G26">
        <v>42</v>
      </c>
      <c r="H26">
        <v>42</v>
      </c>
      <c r="I26">
        <v>42</v>
      </c>
      <c r="J26">
        <v>42</v>
      </c>
      <c r="K26">
        <v>42</v>
      </c>
      <c r="L26">
        <v>42</v>
      </c>
      <c r="M26">
        <v>42</v>
      </c>
      <c r="N26">
        <v>41</v>
      </c>
      <c r="O26">
        <v>41</v>
      </c>
      <c r="P26">
        <v>41</v>
      </c>
      <c r="Q26">
        <v>41</v>
      </c>
      <c r="R26">
        <v>41</v>
      </c>
      <c r="S26">
        <v>40</v>
      </c>
      <c r="T26">
        <v>40</v>
      </c>
      <c r="U26">
        <v>40</v>
      </c>
      <c r="V26">
        <v>41</v>
      </c>
      <c r="W26">
        <v>42</v>
      </c>
      <c r="X26">
        <v>42</v>
      </c>
      <c r="Y26">
        <v>42</v>
      </c>
      <c r="Z26" s="2">
        <f>AVERAGE(Sheet1__8[[#This Row],[00:00:00]:[23:00:00]])</f>
        <v>41.958333333333336</v>
      </c>
      <c r="AA26" t="str" cm="1">
        <f t="array" ref="AA26">_xlfn.IFS(Sheet1__8[[#This Row],[AVERAGE AQI]]&lt;50,"GOOD",Sheet1__8[[#This Row],[AVERAGE AQI]]&lt;=100,"MODERATE",Sheet1__8[[#This Row],[AVERAGE AQI]]&lt;=150,"BAD",Sheet1__8[[#This Row],[AVERAGE AQI]]&lt;=200,"VERY BAD")</f>
        <v>GOOD</v>
      </c>
    </row>
    <row r="27" spans="1:27" x14ac:dyDescent="0.3">
      <c r="A27" s="1">
        <v>45864</v>
      </c>
      <c r="B27">
        <v>41</v>
      </c>
      <c r="C27">
        <v>41</v>
      </c>
      <c r="D27">
        <v>41</v>
      </c>
      <c r="E27">
        <v>41</v>
      </c>
      <c r="F27">
        <v>41</v>
      </c>
      <c r="G27">
        <v>41</v>
      </c>
      <c r="H27">
        <v>41</v>
      </c>
      <c r="I27">
        <v>41</v>
      </c>
      <c r="J27">
        <v>41</v>
      </c>
      <c r="K27">
        <v>41</v>
      </c>
      <c r="L27">
        <v>47</v>
      </c>
      <c r="M27">
        <v>47</v>
      </c>
      <c r="N27">
        <v>48</v>
      </c>
      <c r="O27">
        <v>42</v>
      </c>
      <c r="P27">
        <v>43</v>
      </c>
      <c r="Q27">
        <v>43</v>
      </c>
      <c r="R27">
        <v>44</v>
      </c>
      <c r="S27">
        <v>44</v>
      </c>
      <c r="T27">
        <v>44</v>
      </c>
      <c r="U27">
        <v>45</v>
      </c>
      <c r="V27">
        <v>45</v>
      </c>
      <c r="W27">
        <v>45</v>
      </c>
      <c r="X27">
        <v>45</v>
      </c>
      <c r="Y27">
        <v>46</v>
      </c>
      <c r="Z27" s="2">
        <f>AVERAGE(Sheet1__8[[#This Row],[00:00:00]:[23:00:00]])</f>
        <v>43.25</v>
      </c>
      <c r="AA27" t="str" cm="1">
        <f t="array" ref="AA27">_xlfn.IFS(Sheet1__8[[#This Row],[AVERAGE AQI]]&lt;50,"GOOD",Sheet1__8[[#This Row],[AVERAGE AQI]]&lt;=100,"MODERATE",Sheet1__8[[#This Row],[AVERAGE AQI]]&lt;=150,"BAD",Sheet1__8[[#This Row],[AVERAGE AQI]]&lt;=200,"VERY BAD")</f>
        <v>GOOD</v>
      </c>
    </row>
    <row r="28" spans="1:27" x14ac:dyDescent="0.3">
      <c r="A28" s="1">
        <v>45865</v>
      </c>
      <c r="B28">
        <v>46</v>
      </c>
      <c r="C28">
        <v>47</v>
      </c>
      <c r="D28">
        <v>48</v>
      </c>
      <c r="E28">
        <v>49</v>
      </c>
      <c r="F28">
        <v>50</v>
      </c>
      <c r="G28">
        <v>51</v>
      </c>
      <c r="H28">
        <v>52</v>
      </c>
      <c r="I28">
        <v>52</v>
      </c>
      <c r="J28">
        <v>53</v>
      </c>
      <c r="K28">
        <v>53</v>
      </c>
      <c r="L28">
        <v>53</v>
      </c>
      <c r="M28">
        <v>54</v>
      </c>
      <c r="N28">
        <v>54</v>
      </c>
      <c r="O28">
        <v>54</v>
      </c>
      <c r="P28">
        <v>53</v>
      </c>
      <c r="Q28">
        <v>53</v>
      </c>
      <c r="R28">
        <v>53</v>
      </c>
      <c r="S28">
        <v>53</v>
      </c>
      <c r="T28">
        <v>53</v>
      </c>
      <c r="U28">
        <v>52</v>
      </c>
      <c r="V28">
        <v>52</v>
      </c>
      <c r="X28">
        <v>52</v>
      </c>
      <c r="Y28">
        <v>52</v>
      </c>
      <c r="Z28" s="2">
        <f>AVERAGE(Sheet1__8[[#This Row],[00:00:00]:[23:00:00]])</f>
        <v>51.695652173913047</v>
      </c>
      <c r="AA28" t="str" cm="1">
        <f t="array" ref="AA28">_xlfn.IFS(Sheet1__8[[#This Row],[AVERAGE AQI]]&lt;50,"GOOD",Sheet1__8[[#This Row],[AVERAGE AQI]]&lt;=100,"MODERATE",Sheet1__8[[#This Row],[AVERAGE AQI]]&lt;=150,"BAD",Sheet1__8[[#This Row],[AVERAGE AQI]]&lt;=200,"VERY BAD")</f>
        <v>MODERATE</v>
      </c>
    </row>
    <row r="29" spans="1:27" x14ac:dyDescent="0.3">
      <c r="A29" s="1">
        <v>45866</v>
      </c>
      <c r="B29">
        <v>52</v>
      </c>
      <c r="C29">
        <v>52</v>
      </c>
      <c r="D29">
        <v>52</v>
      </c>
      <c r="E29">
        <v>52</v>
      </c>
      <c r="F29">
        <v>51</v>
      </c>
      <c r="G29">
        <v>51</v>
      </c>
      <c r="H29">
        <v>50</v>
      </c>
      <c r="I29">
        <v>49</v>
      </c>
      <c r="J29">
        <v>49</v>
      </c>
      <c r="K29">
        <v>50</v>
      </c>
      <c r="L29">
        <v>49</v>
      </c>
      <c r="M29">
        <v>50</v>
      </c>
      <c r="N29">
        <v>50</v>
      </c>
      <c r="O29">
        <v>50</v>
      </c>
      <c r="P29">
        <v>50</v>
      </c>
      <c r="Q29">
        <v>51</v>
      </c>
      <c r="R29">
        <v>51</v>
      </c>
      <c r="S29">
        <v>51</v>
      </c>
      <c r="T29">
        <v>51</v>
      </c>
      <c r="U29">
        <v>51</v>
      </c>
      <c r="V29">
        <v>52</v>
      </c>
      <c r="W29">
        <v>53</v>
      </c>
      <c r="X29">
        <v>53</v>
      </c>
      <c r="Y29">
        <v>53</v>
      </c>
      <c r="Z29" s="2">
        <f>AVERAGE(Sheet1__8[[#This Row],[00:00:00]:[23:00:00]])</f>
        <v>50.958333333333336</v>
      </c>
      <c r="AA29" t="str" cm="1">
        <f t="array" ref="AA29">_xlfn.IFS(Sheet1__8[[#This Row],[AVERAGE AQI]]&lt;50,"GOOD",Sheet1__8[[#This Row],[AVERAGE AQI]]&lt;=100,"MODERATE",Sheet1__8[[#This Row],[AVERAGE AQI]]&lt;=150,"BAD",Sheet1__8[[#This Row],[AVERAGE AQI]]&lt;=200,"VERY BAD")</f>
        <v>MODERATE</v>
      </c>
    </row>
    <row r="30" spans="1:27" x14ac:dyDescent="0.3">
      <c r="A30" s="1">
        <v>45867</v>
      </c>
      <c r="B30">
        <v>54</v>
      </c>
      <c r="C30">
        <v>55</v>
      </c>
      <c r="D30">
        <v>56</v>
      </c>
      <c r="E30">
        <v>56</v>
      </c>
      <c r="F30">
        <v>56</v>
      </c>
      <c r="G30">
        <v>57</v>
      </c>
      <c r="H30">
        <v>56</v>
      </c>
      <c r="I30">
        <v>57</v>
      </c>
      <c r="J30">
        <v>56</v>
      </c>
      <c r="K30">
        <v>55</v>
      </c>
      <c r="L30">
        <v>55</v>
      </c>
      <c r="M30">
        <v>56</v>
      </c>
      <c r="N30">
        <v>56</v>
      </c>
      <c r="O30">
        <v>56</v>
      </c>
      <c r="P30">
        <v>56</v>
      </c>
      <c r="Q30">
        <v>56</v>
      </c>
      <c r="R30">
        <v>55</v>
      </c>
      <c r="S30">
        <v>55</v>
      </c>
      <c r="T30">
        <v>54</v>
      </c>
      <c r="U30">
        <v>55</v>
      </c>
      <c r="V30">
        <v>55</v>
      </c>
      <c r="W30">
        <v>55</v>
      </c>
      <c r="X30">
        <v>54</v>
      </c>
      <c r="Y30">
        <v>54</v>
      </c>
      <c r="Z30" s="2">
        <f>AVERAGE(Sheet1__8[[#This Row],[00:00:00]:[23:00:00]])</f>
        <v>55.416666666666664</v>
      </c>
      <c r="AA30" t="str" cm="1">
        <f t="array" ref="AA30">_xlfn.IFS(Sheet1__8[[#This Row],[AVERAGE AQI]]&lt;50,"GOOD",Sheet1__8[[#This Row],[AVERAGE AQI]]&lt;=100,"MODERATE",Sheet1__8[[#This Row],[AVERAGE AQI]]&lt;=150,"BAD",Sheet1__8[[#This Row],[AVERAGE AQI]]&lt;=200,"VERY BAD")</f>
        <v>MODERATE</v>
      </c>
    </row>
    <row r="31" spans="1:27" x14ac:dyDescent="0.3">
      <c r="A31" s="1">
        <v>45868</v>
      </c>
      <c r="B31">
        <v>54</v>
      </c>
      <c r="C31">
        <v>55</v>
      </c>
      <c r="D31">
        <v>55</v>
      </c>
      <c r="E31">
        <v>55</v>
      </c>
      <c r="F31">
        <v>55</v>
      </c>
      <c r="G31">
        <v>55</v>
      </c>
      <c r="H31">
        <v>53</v>
      </c>
      <c r="I31">
        <v>54</v>
      </c>
      <c r="J31">
        <v>55</v>
      </c>
      <c r="K31">
        <v>55</v>
      </c>
      <c r="L31">
        <v>56</v>
      </c>
      <c r="M31">
        <v>57</v>
      </c>
      <c r="N31">
        <v>57</v>
      </c>
      <c r="O31">
        <v>58</v>
      </c>
      <c r="P31">
        <v>58</v>
      </c>
      <c r="Q31">
        <v>59</v>
      </c>
      <c r="R31">
        <v>59</v>
      </c>
      <c r="S31">
        <v>59</v>
      </c>
      <c r="T31">
        <v>59</v>
      </c>
      <c r="U31">
        <v>60</v>
      </c>
      <c r="V31">
        <v>60</v>
      </c>
      <c r="W31">
        <v>60</v>
      </c>
      <c r="X31">
        <v>62</v>
      </c>
      <c r="Y31">
        <v>62</v>
      </c>
      <c r="Z31" s="2">
        <f>AVERAGE(Sheet1__8[[#This Row],[00:00:00]:[23:00:00]])</f>
        <v>57.166666666666664</v>
      </c>
      <c r="AA31" t="str" cm="1">
        <f t="array" ref="AA31">_xlfn.IFS(Sheet1__8[[#This Row],[AVERAGE AQI]]&lt;50,"GOOD",Sheet1__8[[#This Row],[AVERAGE AQI]]&lt;=100,"MODERATE",Sheet1__8[[#This Row],[AVERAGE AQI]]&lt;=150,"BAD",Sheet1__8[[#This Row],[AVERAGE AQI]]&lt;=200,"VERY BAD")</f>
        <v>MODERATE</v>
      </c>
    </row>
    <row r="32" spans="1:27" x14ac:dyDescent="0.3">
      <c r="A32" s="1">
        <v>45869</v>
      </c>
      <c r="B32">
        <v>62</v>
      </c>
      <c r="C32">
        <v>62</v>
      </c>
      <c r="D32">
        <v>60</v>
      </c>
      <c r="E32">
        <v>61</v>
      </c>
      <c r="F32">
        <v>61</v>
      </c>
      <c r="G32">
        <v>61</v>
      </c>
      <c r="H32">
        <v>61</v>
      </c>
      <c r="I32">
        <v>61</v>
      </c>
      <c r="J32">
        <v>61</v>
      </c>
      <c r="K32">
        <v>61</v>
      </c>
      <c r="L32">
        <v>61</v>
      </c>
      <c r="M32">
        <v>60</v>
      </c>
      <c r="N32">
        <v>61</v>
      </c>
      <c r="O32">
        <v>61</v>
      </c>
      <c r="P32">
        <v>61</v>
      </c>
      <c r="Q32">
        <v>61</v>
      </c>
      <c r="R32">
        <v>61</v>
      </c>
      <c r="S32">
        <v>63</v>
      </c>
      <c r="T32">
        <v>63</v>
      </c>
      <c r="U32">
        <v>63</v>
      </c>
      <c r="V32">
        <v>63</v>
      </c>
      <c r="W32">
        <v>62</v>
      </c>
      <c r="X32">
        <v>62</v>
      </c>
      <c r="Y32">
        <v>63</v>
      </c>
      <c r="Z32" s="2">
        <f>AVERAGE(Sheet1__8[[#This Row],[00:00:00]:[23:00:00]])</f>
        <v>61.5</v>
      </c>
      <c r="AA32" t="str" cm="1">
        <f t="array" ref="AA32">_xlfn.IFS(Sheet1__8[[#This Row],[AVERAGE AQI]]&lt;50,"GOOD",Sheet1__8[[#This Row],[AVERAGE AQI]]&lt;=100,"MODERATE",Sheet1__8[[#This Row],[AVERAGE AQI]]&lt;=150,"BAD",Sheet1__8[[#This Row],[AVERAGE AQI]]&lt;=200,"VERY BAD")</f>
        <v>MODERATE</v>
      </c>
    </row>
    <row r="33" spans="26:26" x14ac:dyDescent="0.3">
      <c r="Z33" s="2">
        <f>SUBTOTAL(101,Sheet1__8[AVERAGE AQI])</f>
        <v>51.089118747078075</v>
      </c>
    </row>
  </sheetData>
  <conditionalFormatting sqref="AA1:AA1048576">
    <cfRule type="containsText" dxfId="18" priority="1" operator="containsText" text="MODERATE">
      <formula>NOT(ISERROR(SEARCH("MODERATE",AA1)))</formula>
    </cfRule>
    <cfRule type="containsText" dxfId="17" priority="2" operator="containsText" text="GOOD">
      <formula>NOT(ISERROR(SEARCH("GOOD",AA1)))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8CFBD-17AC-4964-A6A0-0454C21048BA}">
  <dimension ref="A1:AD33"/>
  <sheetViews>
    <sheetView topLeftCell="P1" workbookViewId="0">
      <selection activeCell="Z2" sqref="Z2"/>
    </sheetView>
  </sheetViews>
  <sheetFormatPr defaultRowHeight="14.4" x14ac:dyDescent="0.3"/>
  <cols>
    <col min="1" max="25" width="10.33203125" bestFit="1" customWidth="1"/>
    <col min="26" max="26" width="11.21875" bestFit="1" customWidth="1"/>
    <col min="27" max="27" width="18.4414062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28</v>
      </c>
      <c r="AA1" t="s">
        <v>26</v>
      </c>
      <c r="AC1" t="s">
        <v>27</v>
      </c>
      <c r="AD1" s="2">
        <f>AVERAGE(Sheet1__9[AVERAGE AQI])</f>
        <v>47.823669726720219</v>
      </c>
    </row>
    <row r="2" spans="1:30" x14ac:dyDescent="0.3">
      <c r="A2" s="1">
        <v>45870</v>
      </c>
      <c r="B2">
        <v>63</v>
      </c>
      <c r="C2">
        <v>63</v>
      </c>
      <c r="D2">
        <v>62</v>
      </c>
      <c r="E2">
        <v>61</v>
      </c>
      <c r="F2">
        <v>61</v>
      </c>
      <c r="G2">
        <v>61</v>
      </c>
      <c r="H2">
        <v>61</v>
      </c>
      <c r="I2">
        <v>62</v>
      </c>
      <c r="J2">
        <v>62</v>
      </c>
      <c r="K2">
        <v>62</v>
      </c>
      <c r="L2">
        <v>62</v>
      </c>
      <c r="M2">
        <v>62</v>
      </c>
      <c r="N2">
        <v>62</v>
      </c>
      <c r="O2">
        <v>61</v>
      </c>
      <c r="P2">
        <v>61</v>
      </c>
      <c r="Q2">
        <v>61</v>
      </c>
      <c r="R2">
        <v>61</v>
      </c>
      <c r="S2">
        <v>61</v>
      </c>
      <c r="T2">
        <v>61</v>
      </c>
      <c r="U2">
        <v>61</v>
      </c>
      <c r="V2">
        <v>62</v>
      </c>
      <c r="W2">
        <v>62</v>
      </c>
      <c r="X2">
        <v>62</v>
      </c>
      <c r="Y2">
        <v>63</v>
      </c>
      <c r="Z2" s="2">
        <f>AVERAGE(Sheet1__9[[#This Row],[00:00:00]:[23:00:00]])</f>
        <v>61.666666666666664</v>
      </c>
      <c r="AA2" t="str" cm="1">
        <f t="array" ref="AA2">_xlfn.IFS(Sheet1__9[[#This Row],[AVERAGE AQI]]&lt;50,"GOOD",Sheet1__9[[#This Row],[AVERAGE AQI]]&lt;=100,"MODERATE",Sheet1__9[[#This Row],[AVERAGE AQI]]&lt;=150,"BAD",Sheet1__9[[#This Row],[AVERAGE AQI]]&lt;=200,"VERY BAD")</f>
        <v>MODERATE</v>
      </c>
    </row>
    <row r="3" spans="1:30" x14ac:dyDescent="0.3">
      <c r="A3" s="1">
        <v>45871</v>
      </c>
      <c r="B3">
        <v>63</v>
      </c>
      <c r="C3">
        <v>63</v>
      </c>
      <c r="D3">
        <v>63</v>
      </c>
      <c r="E3">
        <v>63</v>
      </c>
      <c r="F3">
        <v>62</v>
      </c>
      <c r="G3">
        <v>63</v>
      </c>
      <c r="H3">
        <v>62</v>
      </c>
      <c r="I3">
        <v>62</v>
      </c>
      <c r="J3">
        <v>61</v>
      </c>
      <c r="K3">
        <v>60</v>
      </c>
      <c r="L3">
        <v>59</v>
      </c>
      <c r="M3">
        <v>58</v>
      </c>
      <c r="N3">
        <v>57</v>
      </c>
      <c r="O3">
        <v>57</v>
      </c>
      <c r="P3">
        <v>57</v>
      </c>
      <c r="Q3">
        <v>68</v>
      </c>
      <c r="R3">
        <v>64</v>
      </c>
      <c r="S3">
        <v>64</v>
      </c>
      <c r="T3">
        <v>56</v>
      </c>
      <c r="U3">
        <v>56</v>
      </c>
      <c r="V3">
        <v>55</v>
      </c>
      <c r="W3">
        <v>55</v>
      </c>
      <c r="X3">
        <v>55</v>
      </c>
      <c r="Y3">
        <v>54</v>
      </c>
      <c r="Z3" s="2">
        <f>AVERAGE(Sheet1__9[[#This Row],[00:00:00]:[23:00:00]])</f>
        <v>59.875</v>
      </c>
      <c r="AA3" t="str" cm="1">
        <f t="array" ref="AA3">_xlfn.IFS(Sheet1__9[[#This Row],[AVERAGE AQI]]&lt;50,"GOOD",Sheet1__9[[#This Row],[AVERAGE AQI]]&lt;=100,"MODERATE",Sheet1__9[[#This Row],[AVERAGE AQI]]&lt;=150,"BAD",Sheet1__9[[#This Row],[AVERAGE AQI]]&lt;=200,"VERY BAD")</f>
        <v>MODERATE</v>
      </c>
    </row>
    <row r="4" spans="1:30" x14ac:dyDescent="0.3">
      <c r="A4" s="1">
        <v>45872</v>
      </c>
      <c r="B4">
        <v>52</v>
      </c>
      <c r="C4">
        <v>51</v>
      </c>
      <c r="D4">
        <v>51</v>
      </c>
      <c r="E4">
        <v>52</v>
      </c>
      <c r="F4">
        <v>52</v>
      </c>
      <c r="G4">
        <v>52</v>
      </c>
      <c r="H4">
        <v>52</v>
      </c>
      <c r="I4">
        <v>54</v>
      </c>
      <c r="J4">
        <v>53</v>
      </c>
      <c r="K4">
        <v>53</v>
      </c>
      <c r="L4">
        <v>52</v>
      </c>
      <c r="M4">
        <v>53</v>
      </c>
      <c r="N4">
        <v>53</v>
      </c>
      <c r="O4">
        <v>53</v>
      </c>
      <c r="P4">
        <v>53</v>
      </c>
      <c r="Q4">
        <v>53</v>
      </c>
      <c r="R4">
        <v>53</v>
      </c>
      <c r="S4">
        <v>53</v>
      </c>
      <c r="T4">
        <v>54</v>
      </c>
      <c r="U4">
        <v>54</v>
      </c>
      <c r="V4">
        <v>54</v>
      </c>
      <c r="W4">
        <v>53</v>
      </c>
      <c r="X4">
        <v>53</v>
      </c>
      <c r="Y4">
        <v>52</v>
      </c>
      <c r="Z4" s="2">
        <f>AVERAGE(Sheet1__9[[#This Row],[00:00:00]:[23:00:00]])</f>
        <v>52.708333333333336</v>
      </c>
      <c r="AA4" t="str" cm="1">
        <f t="array" ref="AA4">_xlfn.IFS(Sheet1__9[[#This Row],[AVERAGE AQI]]&lt;50,"GOOD",Sheet1__9[[#This Row],[AVERAGE AQI]]&lt;=100,"MODERATE",Sheet1__9[[#This Row],[AVERAGE AQI]]&lt;=150,"BAD",Sheet1__9[[#This Row],[AVERAGE AQI]]&lt;=200,"VERY BAD")</f>
        <v>MODERATE</v>
      </c>
    </row>
    <row r="5" spans="1:30" x14ac:dyDescent="0.3">
      <c r="A5" s="1">
        <v>45873</v>
      </c>
      <c r="B5">
        <v>52</v>
      </c>
      <c r="C5">
        <v>52</v>
      </c>
      <c r="D5">
        <v>52</v>
      </c>
      <c r="E5">
        <v>52</v>
      </c>
      <c r="F5">
        <v>51</v>
      </c>
      <c r="G5">
        <v>52</v>
      </c>
      <c r="H5">
        <v>52</v>
      </c>
      <c r="I5">
        <v>52</v>
      </c>
      <c r="J5">
        <v>52</v>
      </c>
      <c r="K5">
        <v>53</v>
      </c>
      <c r="L5">
        <v>54</v>
      </c>
      <c r="M5">
        <v>54</v>
      </c>
      <c r="N5">
        <v>54</v>
      </c>
      <c r="O5">
        <v>54</v>
      </c>
      <c r="P5">
        <v>55</v>
      </c>
      <c r="Q5">
        <v>55</v>
      </c>
      <c r="R5">
        <v>55</v>
      </c>
      <c r="S5">
        <v>53</v>
      </c>
      <c r="T5">
        <v>54</v>
      </c>
      <c r="U5">
        <v>54</v>
      </c>
      <c r="V5">
        <v>54</v>
      </c>
      <c r="W5">
        <v>55</v>
      </c>
      <c r="X5">
        <v>55</v>
      </c>
      <c r="Y5">
        <v>55</v>
      </c>
      <c r="Z5" s="2">
        <f>AVERAGE(Sheet1__9[[#This Row],[00:00:00]:[23:00:00]])</f>
        <v>53.375</v>
      </c>
      <c r="AA5" t="str" cm="1">
        <f t="array" ref="AA5">_xlfn.IFS(Sheet1__9[[#This Row],[AVERAGE AQI]]&lt;50,"GOOD",Sheet1__9[[#This Row],[AVERAGE AQI]]&lt;=100,"MODERATE",Sheet1__9[[#This Row],[AVERAGE AQI]]&lt;=150,"BAD",Sheet1__9[[#This Row],[AVERAGE AQI]]&lt;=200,"VERY BAD")</f>
        <v>MODERATE</v>
      </c>
    </row>
    <row r="6" spans="1:30" x14ac:dyDescent="0.3">
      <c r="A6" s="1">
        <v>45874</v>
      </c>
      <c r="B6">
        <v>55</v>
      </c>
      <c r="C6">
        <v>56</v>
      </c>
      <c r="D6">
        <v>57</v>
      </c>
      <c r="E6">
        <v>56</v>
      </c>
      <c r="F6">
        <v>56</v>
      </c>
      <c r="G6">
        <v>56</v>
      </c>
      <c r="H6">
        <v>56</v>
      </c>
      <c r="I6">
        <v>55</v>
      </c>
      <c r="J6">
        <v>55</v>
      </c>
      <c r="K6">
        <v>55</v>
      </c>
      <c r="L6">
        <v>55</v>
      </c>
      <c r="M6">
        <v>55</v>
      </c>
      <c r="N6">
        <v>55</v>
      </c>
      <c r="O6">
        <v>55</v>
      </c>
      <c r="P6">
        <v>55</v>
      </c>
      <c r="Q6">
        <v>55</v>
      </c>
      <c r="R6">
        <v>55</v>
      </c>
      <c r="S6">
        <v>56</v>
      </c>
      <c r="T6">
        <v>56</v>
      </c>
      <c r="U6">
        <v>56</v>
      </c>
      <c r="V6">
        <v>56</v>
      </c>
      <c r="W6">
        <v>55</v>
      </c>
      <c r="X6">
        <v>54</v>
      </c>
      <c r="Y6">
        <v>54</v>
      </c>
      <c r="Z6" s="2">
        <f>AVERAGE(Sheet1__9[[#This Row],[00:00:00]:[23:00:00]])</f>
        <v>55.375</v>
      </c>
      <c r="AA6" t="str" cm="1">
        <f t="array" ref="AA6">_xlfn.IFS(Sheet1__9[[#This Row],[AVERAGE AQI]]&lt;50,"GOOD",Sheet1__9[[#This Row],[AVERAGE AQI]]&lt;=100,"MODERATE",Sheet1__9[[#This Row],[AVERAGE AQI]]&lt;=150,"BAD",Sheet1__9[[#This Row],[AVERAGE AQI]]&lt;=200,"VERY BAD")</f>
        <v>MODERATE</v>
      </c>
    </row>
    <row r="7" spans="1:30" x14ac:dyDescent="0.3">
      <c r="A7" s="1">
        <v>45875</v>
      </c>
      <c r="B7">
        <v>54</v>
      </c>
      <c r="C7">
        <v>53</v>
      </c>
      <c r="D7">
        <v>53</v>
      </c>
      <c r="E7">
        <v>54</v>
      </c>
      <c r="F7">
        <v>54</v>
      </c>
      <c r="G7">
        <v>54</v>
      </c>
      <c r="H7">
        <v>55</v>
      </c>
      <c r="I7">
        <v>55</v>
      </c>
      <c r="J7">
        <v>55</v>
      </c>
      <c r="K7">
        <v>57</v>
      </c>
      <c r="L7">
        <v>57</v>
      </c>
      <c r="M7">
        <v>58</v>
      </c>
      <c r="N7">
        <v>58</v>
      </c>
      <c r="O7">
        <v>57</v>
      </c>
      <c r="P7">
        <v>57</v>
      </c>
      <c r="Q7">
        <v>58</v>
      </c>
      <c r="R7">
        <v>58</v>
      </c>
      <c r="S7">
        <v>58</v>
      </c>
      <c r="T7">
        <v>58</v>
      </c>
      <c r="U7">
        <v>58</v>
      </c>
      <c r="V7">
        <v>59</v>
      </c>
      <c r="W7">
        <v>59</v>
      </c>
      <c r="X7">
        <v>60</v>
      </c>
      <c r="Y7">
        <v>60</v>
      </c>
      <c r="Z7" s="2">
        <f>AVERAGE(Sheet1__9[[#This Row],[00:00:00]:[23:00:00]])</f>
        <v>56.625</v>
      </c>
      <c r="AA7" t="str" cm="1">
        <f t="array" ref="AA7">_xlfn.IFS(Sheet1__9[[#This Row],[AVERAGE AQI]]&lt;50,"GOOD",Sheet1__9[[#This Row],[AVERAGE AQI]]&lt;=100,"MODERATE",Sheet1__9[[#This Row],[AVERAGE AQI]]&lt;=150,"BAD",Sheet1__9[[#This Row],[AVERAGE AQI]]&lt;=200,"VERY BAD")</f>
        <v>MODERATE</v>
      </c>
    </row>
    <row r="8" spans="1:30" x14ac:dyDescent="0.3">
      <c r="A8" s="1">
        <v>45876</v>
      </c>
      <c r="B8">
        <v>61</v>
      </c>
      <c r="C8">
        <v>61</v>
      </c>
      <c r="D8">
        <v>62</v>
      </c>
      <c r="F8">
        <v>62</v>
      </c>
      <c r="G8">
        <v>62</v>
      </c>
      <c r="H8">
        <v>63</v>
      </c>
      <c r="I8">
        <v>63</v>
      </c>
      <c r="J8">
        <v>63</v>
      </c>
      <c r="K8">
        <v>61</v>
      </c>
      <c r="L8">
        <v>60</v>
      </c>
      <c r="M8">
        <v>59</v>
      </c>
      <c r="N8">
        <v>58</v>
      </c>
      <c r="P8">
        <v>55</v>
      </c>
      <c r="Q8">
        <v>55</v>
      </c>
      <c r="R8">
        <v>60</v>
      </c>
      <c r="S8">
        <v>54</v>
      </c>
      <c r="T8">
        <v>53</v>
      </c>
      <c r="U8">
        <v>53</v>
      </c>
      <c r="V8">
        <v>52</v>
      </c>
      <c r="W8">
        <v>52</v>
      </c>
      <c r="X8">
        <v>51</v>
      </c>
      <c r="Y8">
        <v>51</v>
      </c>
      <c r="Z8" s="2">
        <f>AVERAGE(Sheet1__9[[#This Row],[00:00:00]:[23:00:00]])</f>
        <v>57.772727272727273</v>
      </c>
      <c r="AA8" t="str" cm="1">
        <f t="array" ref="AA8">_xlfn.IFS(Sheet1__9[[#This Row],[AVERAGE AQI]]&lt;50,"GOOD",Sheet1__9[[#This Row],[AVERAGE AQI]]&lt;=100,"MODERATE",Sheet1__9[[#This Row],[AVERAGE AQI]]&lt;=150,"BAD",Sheet1__9[[#This Row],[AVERAGE AQI]]&lt;=200,"VERY BAD")</f>
        <v>MODERATE</v>
      </c>
    </row>
    <row r="9" spans="1:30" x14ac:dyDescent="0.3">
      <c r="A9" s="1">
        <v>45877</v>
      </c>
      <c r="B9">
        <v>50</v>
      </c>
      <c r="C9">
        <v>50</v>
      </c>
      <c r="D9">
        <v>50</v>
      </c>
      <c r="E9">
        <v>50</v>
      </c>
      <c r="F9">
        <v>50</v>
      </c>
      <c r="G9">
        <v>51</v>
      </c>
      <c r="H9">
        <v>51</v>
      </c>
      <c r="I9">
        <v>51</v>
      </c>
      <c r="J9">
        <v>51</v>
      </c>
      <c r="K9">
        <v>51</v>
      </c>
      <c r="L9">
        <v>51</v>
      </c>
      <c r="M9">
        <v>52</v>
      </c>
      <c r="N9">
        <v>52</v>
      </c>
      <c r="O9">
        <v>53</v>
      </c>
      <c r="P9">
        <v>52</v>
      </c>
      <c r="Q9">
        <v>53</v>
      </c>
      <c r="R9">
        <v>53</v>
      </c>
      <c r="S9">
        <v>53</v>
      </c>
      <c r="T9">
        <v>54</v>
      </c>
      <c r="U9">
        <v>54</v>
      </c>
      <c r="V9">
        <v>55</v>
      </c>
      <c r="W9">
        <v>55</v>
      </c>
      <c r="X9">
        <v>55</v>
      </c>
      <c r="Y9">
        <v>56</v>
      </c>
      <c r="Z9" s="2">
        <f>AVERAGE(Sheet1__9[[#This Row],[00:00:00]:[23:00:00]])</f>
        <v>52.208333333333336</v>
      </c>
      <c r="AA9" t="str" cm="1">
        <f t="array" ref="AA9">_xlfn.IFS(Sheet1__9[[#This Row],[AVERAGE AQI]]&lt;50,"GOOD",Sheet1__9[[#This Row],[AVERAGE AQI]]&lt;=100,"MODERATE",Sheet1__9[[#This Row],[AVERAGE AQI]]&lt;=150,"BAD",Sheet1__9[[#This Row],[AVERAGE AQI]]&lt;=200,"VERY BAD")</f>
        <v>MODERATE</v>
      </c>
    </row>
    <row r="10" spans="1:30" x14ac:dyDescent="0.3">
      <c r="A10" s="1">
        <v>45878</v>
      </c>
      <c r="B10">
        <v>56</v>
      </c>
      <c r="C10">
        <v>56</v>
      </c>
      <c r="D10">
        <v>55</v>
      </c>
      <c r="E10">
        <v>55</v>
      </c>
      <c r="F10">
        <v>55</v>
      </c>
      <c r="G10">
        <v>55</v>
      </c>
      <c r="H10">
        <v>55</v>
      </c>
      <c r="I10">
        <v>55</v>
      </c>
      <c r="J10">
        <v>55</v>
      </c>
      <c r="K10">
        <v>53</v>
      </c>
      <c r="L10">
        <v>54</v>
      </c>
      <c r="M10">
        <v>54</v>
      </c>
      <c r="N10">
        <v>54</v>
      </c>
      <c r="O10">
        <v>54</v>
      </c>
      <c r="P10">
        <v>55</v>
      </c>
      <c r="Q10">
        <v>55</v>
      </c>
      <c r="R10">
        <v>55</v>
      </c>
      <c r="S10">
        <v>56</v>
      </c>
      <c r="T10">
        <v>56</v>
      </c>
      <c r="U10">
        <v>56</v>
      </c>
      <c r="V10">
        <v>56</v>
      </c>
      <c r="W10">
        <v>56</v>
      </c>
      <c r="X10">
        <v>57</v>
      </c>
      <c r="Y10">
        <v>57</v>
      </c>
      <c r="Z10" s="2">
        <f>AVERAGE(Sheet1__9[[#This Row],[00:00:00]:[23:00:00]])</f>
        <v>55.208333333333336</v>
      </c>
      <c r="AA10" t="str" cm="1">
        <f t="array" ref="AA10">_xlfn.IFS(Sheet1__9[[#This Row],[AVERAGE AQI]]&lt;50,"GOOD",Sheet1__9[[#This Row],[AVERAGE AQI]]&lt;=100,"MODERATE",Sheet1__9[[#This Row],[AVERAGE AQI]]&lt;=150,"BAD",Sheet1__9[[#This Row],[AVERAGE AQI]]&lt;=200,"VERY BAD")</f>
        <v>MODERATE</v>
      </c>
    </row>
    <row r="11" spans="1:30" x14ac:dyDescent="0.3">
      <c r="A11" s="1">
        <v>45879</v>
      </c>
      <c r="B11">
        <v>57</v>
      </c>
      <c r="C11">
        <v>58</v>
      </c>
      <c r="D11">
        <v>58</v>
      </c>
      <c r="E11">
        <v>57</v>
      </c>
      <c r="F11">
        <v>56</v>
      </c>
      <c r="G11">
        <v>55</v>
      </c>
      <c r="H11">
        <v>55</v>
      </c>
      <c r="I11">
        <v>55</v>
      </c>
      <c r="J11">
        <v>55</v>
      </c>
      <c r="K11">
        <v>55</v>
      </c>
      <c r="L11">
        <v>54</v>
      </c>
      <c r="M11">
        <v>54</v>
      </c>
      <c r="N11">
        <v>54</v>
      </c>
      <c r="O11">
        <v>54</v>
      </c>
      <c r="P11">
        <v>55</v>
      </c>
      <c r="Q11">
        <v>54</v>
      </c>
      <c r="R11">
        <v>54</v>
      </c>
      <c r="S11">
        <v>53</v>
      </c>
      <c r="T11">
        <v>52</v>
      </c>
      <c r="U11">
        <v>51</v>
      </c>
      <c r="V11">
        <v>51</v>
      </c>
      <c r="W11">
        <v>50</v>
      </c>
      <c r="X11">
        <v>49</v>
      </c>
      <c r="Y11">
        <v>49</v>
      </c>
      <c r="Z11" s="2">
        <f>AVERAGE(Sheet1__9[[#This Row],[00:00:00]:[23:00:00]])</f>
        <v>53.958333333333336</v>
      </c>
      <c r="AA11" t="str" cm="1">
        <f t="array" ref="AA11">_xlfn.IFS(Sheet1__9[[#This Row],[AVERAGE AQI]]&lt;50,"GOOD",Sheet1__9[[#This Row],[AVERAGE AQI]]&lt;=100,"MODERATE",Sheet1__9[[#This Row],[AVERAGE AQI]]&lt;=150,"BAD",Sheet1__9[[#This Row],[AVERAGE AQI]]&lt;=200,"VERY BAD")</f>
        <v>MODERATE</v>
      </c>
    </row>
    <row r="12" spans="1:30" x14ac:dyDescent="0.3">
      <c r="A12" s="1">
        <v>45880</v>
      </c>
      <c r="B12">
        <v>49</v>
      </c>
      <c r="C12">
        <v>49</v>
      </c>
      <c r="D12">
        <v>49</v>
      </c>
      <c r="E12">
        <v>49</v>
      </c>
      <c r="F12">
        <v>49</v>
      </c>
      <c r="G12">
        <v>50</v>
      </c>
      <c r="H12">
        <v>50</v>
      </c>
      <c r="I12">
        <v>50</v>
      </c>
      <c r="J12">
        <v>49</v>
      </c>
      <c r="K12">
        <v>49</v>
      </c>
      <c r="L12">
        <v>49</v>
      </c>
      <c r="M12">
        <v>49</v>
      </c>
      <c r="N12">
        <v>49</v>
      </c>
      <c r="O12">
        <v>49</v>
      </c>
      <c r="P12">
        <v>49</v>
      </c>
      <c r="Q12">
        <v>49</v>
      </c>
      <c r="R12">
        <v>49</v>
      </c>
      <c r="S12">
        <v>50</v>
      </c>
      <c r="T12">
        <v>50</v>
      </c>
      <c r="U12">
        <v>50</v>
      </c>
      <c r="V12">
        <v>50</v>
      </c>
      <c r="W12">
        <v>51</v>
      </c>
      <c r="X12">
        <v>52</v>
      </c>
      <c r="Y12">
        <v>51</v>
      </c>
      <c r="Z12" s="2">
        <f>AVERAGE(Sheet1__9[[#This Row],[00:00:00]:[23:00:00]])</f>
        <v>49.583333333333336</v>
      </c>
      <c r="AA12" t="str" cm="1">
        <f t="array" ref="AA12">_xlfn.IFS(Sheet1__9[[#This Row],[AVERAGE AQI]]&lt;50,"GOOD",Sheet1__9[[#This Row],[AVERAGE AQI]]&lt;=100,"MODERATE",Sheet1__9[[#This Row],[AVERAGE AQI]]&lt;=150,"BAD",Sheet1__9[[#This Row],[AVERAGE AQI]]&lt;=200,"VERY BAD")</f>
        <v>GOOD</v>
      </c>
    </row>
    <row r="13" spans="1:30" x14ac:dyDescent="0.3">
      <c r="A13" s="1">
        <v>45881</v>
      </c>
      <c r="B13">
        <v>51</v>
      </c>
      <c r="C13">
        <v>50</v>
      </c>
      <c r="D13">
        <v>50</v>
      </c>
      <c r="E13">
        <v>51</v>
      </c>
      <c r="F13">
        <v>51</v>
      </c>
      <c r="G13">
        <v>51</v>
      </c>
      <c r="H13">
        <v>51</v>
      </c>
      <c r="I13">
        <v>51</v>
      </c>
      <c r="J13">
        <v>51</v>
      </c>
      <c r="K13">
        <v>50</v>
      </c>
      <c r="L13">
        <v>50</v>
      </c>
      <c r="M13">
        <v>49</v>
      </c>
      <c r="N13">
        <v>49</v>
      </c>
      <c r="O13">
        <v>48</v>
      </c>
      <c r="P13">
        <v>49</v>
      </c>
      <c r="Q13">
        <v>50</v>
      </c>
      <c r="R13">
        <v>51</v>
      </c>
      <c r="S13">
        <v>50</v>
      </c>
      <c r="T13">
        <v>49</v>
      </c>
      <c r="U13">
        <v>49</v>
      </c>
      <c r="V13">
        <v>49</v>
      </c>
      <c r="W13">
        <v>48</v>
      </c>
      <c r="X13">
        <v>48</v>
      </c>
      <c r="Y13">
        <v>48</v>
      </c>
      <c r="Z13" s="2">
        <f>AVERAGE(Sheet1__9[[#This Row],[00:00:00]:[23:00:00]])</f>
        <v>49.75</v>
      </c>
      <c r="AA13" t="str" cm="1">
        <f t="array" ref="AA13">_xlfn.IFS(Sheet1__9[[#This Row],[AVERAGE AQI]]&lt;50,"GOOD",Sheet1__9[[#This Row],[AVERAGE AQI]]&lt;=100,"MODERATE",Sheet1__9[[#This Row],[AVERAGE AQI]]&lt;=150,"BAD",Sheet1__9[[#This Row],[AVERAGE AQI]]&lt;=200,"VERY BAD")</f>
        <v>GOOD</v>
      </c>
    </row>
    <row r="14" spans="1:30" x14ac:dyDescent="0.3">
      <c r="A14" s="1">
        <v>45882</v>
      </c>
      <c r="B14">
        <v>47</v>
      </c>
      <c r="C14">
        <v>47</v>
      </c>
      <c r="D14">
        <v>47</v>
      </c>
      <c r="E14">
        <v>47</v>
      </c>
      <c r="F14">
        <v>47</v>
      </c>
      <c r="G14">
        <v>47</v>
      </c>
      <c r="H14">
        <v>47</v>
      </c>
      <c r="I14">
        <v>47</v>
      </c>
      <c r="J14">
        <v>48</v>
      </c>
      <c r="K14">
        <v>49</v>
      </c>
      <c r="L14">
        <v>49</v>
      </c>
      <c r="M14">
        <v>49</v>
      </c>
      <c r="N14">
        <v>48</v>
      </c>
      <c r="O14">
        <v>49</v>
      </c>
      <c r="P14">
        <v>47</v>
      </c>
      <c r="Q14">
        <v>47</v>
      </c>
      <c r="R14">
        <v>46</v>
      </c>
      <c r="S14">
        <v>45</v>
      </c>
      <c r="T14">
        <v>46</v>
      </c>
      <c r="U14">
        <v>46</v>
      </c>
      <c r="V14">
        <v>47</v>
      </c>
      <c r="W14">
        <v>46</v>
      </c>
      <c r="X14">
        <v>46</v>
      </c>
      <c r="Y14">
        <v>46</v>
      </c>
      <c r="Z14" s="2">
        <f>AVERAGE(Sheet1__9[[#This Row],[00:00:00]:[23:00:00]])</f>
        <v>47.083333333333336</v>
      </c>
      <c r="AA14" t="str" cm="1">
        <f t="array" ref="AA14">_xlfn.IFS(Sheet1__9[[#This Row],[AVERAGE AQI]]&lt;50,"GOOD",Sheet1__9[[#This Row],[AVERAGE AQI]]&lt;=100,"MODERATE",Sheet1__9[[#This Row],[AVERAGE AQI]]&lt;=150,"BAD",Sheet1__9[[#This Row],[AVERAGE AQI]]&lt;=200,"VERY BAD")</f>
        <v>GOOD</v>
      </c>
    </row>
    <row r="15" spans="1:30" x14ac:dyDescent="0.3">
      <c r="A15" s="1">
        <v>45883</v>
      </c>
      <c r="B15">
        <v>45</v>
      </c>
      <c r="C15">
        <v>45</v>
      </c>
      <c r="D15">
        <v>45</v>
      </c>
      <c r="E15">
        <v>45</v>
      </c>
      <c r="F15">
        <v>46</v>
      </c>
      <c r="G15">
        <v>46</v>
      </c>
      <c r="H15">
        <v>45</v>
      </c>
      <c r="I15">
        <v>46</v>
      </c>
      <c r="J15">
        <v>45</v>
      </c>
      <c r="K15">
        <v>45</v>
      </c>
      <c r="L15">
        <v>44</v>
      </c>
      <c r="M15">
        <v>44</v>
      </c>
      <c r="N15">
        <v>43</v>
      </c>
      <c r="O15">
        <v>43</v>
      </c>
      <c r="P15">
        <v>43</v>
      </c>
      <c r="Q15">
        <v>42</v>
      </c>
      <c r="R15">
        <v>40</v>
      </c>
      <c r="S15">
        <v>40</v>
      </c>
      <c r="T15">
        <v>41</v>
      </c>
      <c r="U15">
        <v>41</v>
      </c>
      <c r="V15">
        <v>42</v>
      </c>
      <c r="W15">
        <v>41</v>
      </c>
      <c r="X15">
        <v>41</v>
      </c>
      <c r="Y15">
        <v>39</v>
      </c>
      <c r="Z15" s="2">
        <f>AVERAGE(Sheet1__9[[#This Row],[00:00:00]:[23:00:00]])</f>
        <v>43.208333333333336</v>
      </c>
      <c r="AA15" t="str" cm="1">
        <f t="array" ref="AA15">_xlfn.IFS(Sheet1__9[[#This Row],[AVERAGE AQI]]&lt;50,"GOOD",Sheet1__9[[#This Row],[AVERAGE AQI]]&lt;=100,"MODERATE",Sheet1__9[[#This Row],[AVERAGE AQI]]&lt;=150,"BAD",Sheet1__9[[#This Row],[AVERAGE AQI]]&lt;=200,"VERY BAD")</f>
        <v>GOOD</v>
      </c>
    </row>
    <row r="16" spans="1:30" x14ac:dyDescent="0.3">
      <c r="A16" s="1">
        <v>45884</v>
      </c>
      <c r="B16">
        <v>38</v>
      </c>
      <c r="C16">
        <v>37</v>
      </c>
      <c r="D16">
        <v>37</v>
      </c>
      <c r="E16">
        <v>37</v>
      </c>
      <c r="F16">
        <v>37</v>
      </c>
      <c r="G16">
        <v>36</v>
      </c>
      <c r="H16">
        <v>37</v>
      </c>
      <c r="I16">
        <v>36</v>
      </c>
      <c r="J16">
        <v>36</v>
      </c>
      <c r="K16">
        <v>36</v>
      </c>
      <c r="L16">
        <v>36</v>
      </c>
      <c r="M16">
        <v>35</v>
      </c>
      <c r="N16">
        <v>35</v>
      </c>
      <c r="O16">
        <v>35</v>
      </c>
      <c r="P16">
        <v>35</v>
      </c>
      <c r="Q16">
        <v>35</v>
      </c>
      <c r="R16">
        <v>35</v>
      </c>
      <c r="S16">
        <v>35</v>
      </c>
      <c r="T16">
        <v>35</v>
      </c>
      <c r="U16">
        <v>34</v>
      </c>
      <c r="V16">
        <v>34</v>
      </c>
      <c r="W16">
        <v>34</v>
      </c>
      <c r="X16">
        <v>35</v>
      </c>
      <c r="Y16">
        <v>35</v>
      </c>
      <c r="Z16" s="2">
        <f>AVERAGE(Sheet1__9[[#This Row],[00:00:00]:[23:00:00]])</f>
        <v>35.625</v>
      </c>
      <c r="AA16" t="str" cm="1">
        <f t="array" ref="AA16">_xlfn.IFS(Sheet1__9[[#This Row],[AVERAGE AQI]]&lt;50,"GOOD",Sheet1__9[[#This Row],[AVERAGE AQI]]&lt;=100,"MODERATE",Sheet1__9[[#This Row],[AVERAGE AQI]]&lt;=150,"BAD",Sheet1__9[[#This Row],[AVERAGE AQI]]&lt;=200,"VERY BAD")</f>
        <v>GOOD</v>
      </c>
    </row>
    <row r="17" spans="1:27" x14ac:dyDescent="0.3">
      <c r="A17" s="1">
        <v>45885</v>
      </c>
      <c r="B17">
        <v>35</v>
      </c>
      <c r="C17">
        <v>35</v>
      </c>
      <c r="D17">
        <v>34</v>
      </c>
      <c r="E17">
        <v>34</v>
      </c>
      <c r="F17">
        <v>34</v>
      </c>
      <c r="G17">
        <v>34</v>
      </c>
      <c r="H17">
        <v>34</v>
      </c>
      <c r="I17">
        <v>34</v>
      </c>
      <c r="J17">
        <v>33</v>
      </c>
      <c r="K17">
        <v>33</v>
      </c>
      <c r="L17">
        <v>34</v>
      </c>
      <c r="M17">
        <v>34</v>
      </c>
      <c r="N17">
        <v>35</v>
      </c>
      <c r="O17">
        <v>35</v>
      </c>
      <c r="P17">
        <v>36</v>
      </c>
      <c r="Q17">
        <v>36</v>
      </c>
      <c r="R17">
        <v>37</v>
      </c>
      <c r="S17">
        <v>37</v>
      </c>
      <c r="T17">
        <v>37</v>
      </c>
      <c r="U17">
        <v>37</v>
      </c>
      <c r="V17">
        <v>36</v>
      </c>
      <c r="W17">
        <v>37</v>
      </c>
      <c r="X17">
        <v>37</v>
      </c>
      <c r="Y17">
        <v>36</v>
      </c>
      <c r="Z17" s="2">
        <f>AVERAGE(Sheet1__9[[#This Row],[00:00:00]:[23:00:00]])</f>
        <v>35.166666666666664</v>
      </c>
      <c r="AA17" t="str" cm="1">
        <f t="array" ref="AA17">_xlfn.IFS(Sheet1__9[[#This Row],[AVERAGE AQI]]&lt;50,"GOOD",Sheet1__9[[#This Row],[AVERAGE AQI]]&lt;=100,"MODERATE",Sheet1__9[[#This Row],[AVERAGE AQI]]&lt;=150,"BAD",Sheet1__9[[#This Row],[AVERAGE AQI]]&lt;=200,"VERY BAD")</f>
        <v>GOOD</v>
      </c>
    </row>
    <row r="18" spans="1:27" x14ac:dyDescent="0.3">
      <c r="A18" s="1">
        <v>45886</v>
      </c>
      <c r="B18">
        <v>36</v>
      </c>
      <c r="C18">
        <v>35</v>
      </c>
      <c r="D18">
        <v>35</v>
      </c>
      <c r="E18">
        <v>34</v>
      </c>
      <c r="F18">
        <v>33</v>
      </c>
      <c r="G18">
        <v>33</v>
      </c>
      <c r="H18">
        <v>33</v>
      </c>
      <c r="I18">
        <v>33</v>
      </c>
      <c r="J18">
        <v>33</v>
      </c>
      <c r="K18">
        <v>33</v>
      </c>
      <c r="L18">
        <v>33</v>
      </c>
      <c r="M18">
        <v>34</v>
      </c>
      <c r="N18">
        <v>41</v>
      </c>
      <c r="O18">
        <v>40</v>
      </c>
      <c r="P18">
        <v>36</v>
      </c>
      <c r="Q18">
        <v>42</v>
      </c>
      <c r="R18">
        <v>39</v>
      </c>
      <c r="S18">
        <v>40</v>
      </c>
      <c r="T18">
        <v>40</v>
      </c>
      <c r="U18">
        <v>40</v>
      </c>
      <c r="V18">
        <v>39</v>
      </c>
      <c r="W18">
        <v>38</v>
      </c>
      <c r="X18">
        <v>38</v>
      </c>
      <c r="Y18">
        <v>43</v>
      </c>
      <c r="Z18" s="2">
        <f>AVERAGE(Sheet1__9[[#This Row],[00:00:00]:[23:00:00]])</f>
        <v>36.708333333333336</v>
      </c>
      <c r="AA18" t="str" cm="1">
        <f t="array" ref="AA18">_xlfn.IFS(Sheet1__9[[#This Row],[AVERAGE AQI]]&lt;50,"GOOD",Sheet1__9[[#This Row],[AVERAGE AQI]]&lt;=100,"MODERATE",Sheet1__9[[#This Row],[AVERAGE AQI]]&lt;=150,"BAD",Sheet1__9[[#This Row],[AVERAGE AQI]]&lt;=200,"VERY BAD")</f>
        <v>GOOD</v>
      </c>
    </row>
    <row r="19" spans="1:27" x14ac:dyDescent="0.3">
      <c r="A19" s="1">
        <v>45887</v>
      </c>
      <c r="B19">
        <v>42</v>
      </c>
      <c r="C19">
        <v>42</v>
      </c>
      <c r="D19">
        <v>38</v>
      </c>
      <c r="E19">
        <v>43</v>
      </c>
      <c r="F19">
        <v>43</v>
      </c>
      <c r="G19">
        <v>43</v>
      </c>
      <c r="H19">
        <v>43</v>
      </c>
      <c r="I19">
        <v>42</v>
      </c>
      <c r="J19">
        <v>42</v>
      </c>
      <c r="K19">
        <v>49</v>
      </c>
      <c r="L19">
        <v>43</v>
      </c>
      <c r="M19">
        <v>53</v>
      </c>
      <c r="N19">
        <v>42</v>
      </c>
      <c r="O19">
        <v>42</v>
      </c>
      <c r="P19">
        <v>43</v>
      </c>
      <c r="Q19">
        <v>42</v>
      </c>
      <c r="R19">
        <v>43</v>
      </c>
      <c r="S19">
        <v>43</v>
      </c>
      <c r="T19">
        <v>44</v>
      </c>
      <c r="U19">
        <v>42</v>
      </c>
      <c r="V19">
        <v>37</v>
      </c>
      <c r="W19">
        <v>39</v>
      </c>
      <c r="X19">
        <v>39</v>
      </c>
      <c r="Y19">
        <v>38</v>
      </c>
      <c r="Z19" s="2">
        <f>AVERAGE(Sheet1__9[[#This Row],[00:00:00]:[23:00:00]])</f>
        <v>42.375</v>
      </c>
      <c r="AA19" t="str" cm="1">
        <f t="array" ref="AA19">_xlfn.IFS(Sheet1__9[[#This Row],[AVERAGE AQI]]&lt;50,"GOOD",Sheet1__9[[#This Row],[AVERAGE AQI]]&lt;=100,"MODERATE",Sheet1__9[[#This Row],[AVERAGE AQI]]&lt;=150,"BAD",Sheet1__9[[#This Row],[AVERAGE AQI]]&lt;=200,"VERY BAD")</f>
        <v>GOOD</v>
      </c>
    </row>
    <row r="20" spans="1:27" x14ac:dyDescent="0.3">
      <c r="A20" s="1">
        <v>45888</v>
      </c>
      <c r="B20">
        <v>38</v>
      </c>
      <c r="C20">
        <v>39</v>
      </c>
      <c r="D20">
        <v>37</v>
      </c>
      <c r="E20">
        <v>36</v>
      </c>
      <c r="F20">
        <v>36</v>
      </c>
      <c r="G20">
        <v>36</v>
      </c>
      <c r="H20">
        <v>35</v>
      </c>
      <c r="I20">
        <v>35</v>
      </c>
      <c r="J20">
        <v>35</v>
      </c>
      <c r="K20">
        <v>35</v>
      </c>
      <c r="L20">
        <v>34</v>
      </c>
      <c r="M20">
        <v>34</v>
      </c>
      <c r="N20">
        <v>38</v>
      </c>
      <c r="O20">
        <v>36</v>
      </c>
      <c r="P20">
        <v>36</v>
      </c>
      <c r="Q20">
        <v>37</v>
      </c>
      <c r="R20">
        <v>37</v>
      </c>
      <c r="S20">
        <v>37</v>
      </c>
      <c r="T20">
        <v>40</v>
      </c>
      <c r="U20">
        <v>39</v>
      </c>
      <c r="V20">
        <v>40</v>
      </c>
      <c r="W20">
        <v>40</v>
      </c>
      <c r="X20">
        <v>40</v>
      </c>
      <c r="Y20">
        <v>41</v>
      </c>
      <c r="Z20" s="2">
        <f>AVERAGE(Sheet1__9[[#This Row],[00:00:00]:[23:00:00]])</f>
        <v>37.125</v>
      </c>
      <c r="AA20" t="str" cm="1">
        <f t="array" ref="AA20">_xlfn.IFS(Sheet1__9[[#This Row],[AVERAGE AQI]]&lt;50,"GOOD",Sheet1__9[[#This Row],[AVERAGE AQI]]&lt;=100,"MODERATE",Sheet1__9[[#This Row],[AVERAGE AQI]]&lt;=150,"BAD",Sheet1__9[[#This Row],[AVERAGE AQI]]&lt;=200,"VERY BAD")</f>
        <v>GOOD</v>
      </c>
    </row>
    <row r="21" spans="1:27" x14ac:dyDescent="0.3">
      <c r="A21" s="1">
        <v>45889</v>
      </c>
      <c r="B21">
        <v>41</v>
      </c>
      <c r="C21">
        <v>40</v>
      </c>
      <c r="D21">
        <v>39</v>
      </c>
      <c r="E21">
        <v>39</v>
      </c>
      <c r="F21">
        <v>38</v>
      </c>
      <c r="G21">
        <v>39</v>
      </c>
      <c r="H21">
        <v>40</v>
      </c>
      <c r="I21">
        <v>40</v>
      </c>
      <c r="J21">
        <v>42</v>
      </c>
      <c r="K21">
        <v>43</v>
      </c>
      <c r="L21">
        <v>42</v>
      </c>
      <c r="M21">
        <v>40</v>
      </c>
      <c r="N21">
        <v>40</v>
      </c>
      <c r="O21">
        <v>41</v>
      </c>
      <c r="P21">
        <v>44</v>
      </c>
      <c r="Q21">
        <v>44</v>
      </c>
      <c r="R21">
        <v>45</v>
      </c>
      <c r="S21">
        <v>46</v>
      </c>
      <c r="T21">
        <v>46</v>
      </c>
      <c r="U21">
        <v>48</v>
      </c>
      <c r="V21">
        <v>49</v>
      </c>
      <c r="W21">
        <v>49</v>
      </c>
      <c r="X21">
        <v>50</v>
      </c>
      <c r="Y21">
        <v>50</v>
      </c>
      <c r="Z21" s="2">
        <f>AVERAGE(Sheet1__9[[#This Row],[00:00:00]:[23:00:00]])</f>
        <v>43.125</v>
      </c>
      <c r="AA21" t="str" cm="1">
        <f t="array" ref="AA21">_xlfn.IFS(Sheet1__9[[#This Row],[AVERAGE AQI]]&lt;50,"GOOD",Sheet1__9[[#This Row],[AVERAGE AQI]]&lt;=100,"MODERATE",Sheet1__9[[#This Row],[AVERAGE AQI]]&lt;=150,"BAD",Sheet1__9[[#This Row],[AVERAGE AQI]]&lt;=200,"VERY BAD")</f>
        <v>GOOD</v>
      </c>
    </row>
    <row r="22" spans="1:27" x14ac:dyDescent="0.3">
      <c r="A22" s="1">
        <v>45890</v>
      </c>
      <c r="B22">
        <v>51</v>
      </c>
      <c r="C22">
        <v>50</v>
      </c>
      <c r="D22">
        <v>48</v>
      </c>
      <c r="E22">
        <v>48</v>
      </c>
      <c r="F22">
        <v>48</v>
      </c>
      <c r="G22">
        <v>48</v>
      </c>
      <c r="H22">
        <v>47</v>
      </c>
      <c r="I22">
        <v>47</v>
      </c>
      <c r="J22">
        <v>47</v>
      </c>
      <c r="K22">
        <v>47</v>
      </c>
      <c r="L22">
        <v>48</v>
      </c>
      <c r="M22">
        <v>48</v>
      </c>
      <c r="N22">
        <v>48</v>
      </c>
      <c r="O22">
        <v>48</v>
      </c>
      <c r="P22">
        <v>48</v>
      </c>
      <c r="Q22">
        <v>49</v>
      </c>
      <c r="R22">
        <v>55</v>
      </c>
      <c r="S22">
        <v>47</v>
      </c>
      <c r="T22">
        <v>47</v>
      </c>
      <c r="U22">
        <v>47</v>
      </c>
      <c r="V22">
        <v>47</v>
      </c>
      <c r="W22">
        <v>48</v>
      </c>
      <c r="X22">
        <v>48</v>
      </c>
      <c r="Y22">
        <v>49</v>
      </c>
      <c r="Z22" s="2">
        <f>AVERAGE(Sheet1__9[[#This Row],[00:00:00]:[23:00:00]])</f>
        <v>48.25</v>
      </c>
      <c r="AA22" t="str" cm="1">
        <f t="array" ref="AA22">_xlfn.IFS(Sheet1__9[[#This Row],[AVERAGE AQI]]&lt;50,"GOOD",Sheet1__9[[#This Row],[AVERAGE AQI]]&lt;=100,"MODERATE",Sheet1__9[[#This Row],[AVERAGE AQI]]&lt;=150,"BAD",Sheet1__9[[#This Row],[AVERAGE AQI]]&lt;=200,"VERY BAD")</f>
        <v>GOOD</v>
      </c>
    </row>
    <row r="23" spans="1:27" x14ac:dyDescent="0.3">
      <c r="A23" s="1">
        <v>45891</v>
      </c>
      <c r="B23">
        <v>51</v>
      </c>
      <c r="C23">
        <v>50</v>
      </c>
      <c r="D23">
        <v>50</v>
      </c>
      <c r="E23">
        <v>51</v>
      </c>
      <c r="F23">
        <v>51</v>
      </c>
      <c r="G23">
        <v>52</v>
      </c>
      <c r="H23">
        <v>51</v>
      </c>
      <c r="I23">
        <v>52</v>
      </c>
      <c r="J23">
        <v>51</v>
      </c>
      <c r="K23">
        <v>51</v>
      </c>
      <c r="L23">
        <v>50</v>
      </c>
      <c r="M23">
        <v>50</v>
      </c>
      <c r="N23">
        <v>49</v>
      </c>
      <c r="O23">
        <v>49</v>
      </c>
      <c r="P23">
        <v>49</v>
      </c>
      <c r="Q23">
        <v>48</v>
      </c>
      <c r="R23">
        <v>48</v>
      </c>
      <c r="S23">
        <v>48</v>
      </c>
      <c r="T23">
        <v>48</v>
      </c>
      <c r="U23">
        <v>48</v>
      </c>
      <c r="V23">
        <v>48</v>
      </c>
      <c r="W23">
        <v>48</v>
      </c>
      <c r="X23">
        <v>47</v>
      </c>
      <c r="Y23">
        <v>47</v>
      </c>
      <c r="Z23" s="2">
        <f>AVERAGE(Sheet1__9[[#This Row],[00:00:00]:[23:00:00]])</f>
        <v>49.458333333333336</v>
      </c>
      <c r="AA23" t="str" cm="1">
        <f t="array" ref="AA23">_xlfn.IFS(Sheet1__9[[#This Row],[AVERAGE AQI]]&lt;50,"GOOD",Sheet1__9[[#This Row],[AVERAGE AQI]]&lt;=100,"MODERATE",Sheet1__9[[#This Row],[AVERAGE AQI]]&lt;=150,"BAD",Sheet1__9[[#This Row],[AVERAGE AQI]]&lt;=200,"VERY BAD")</f>
        <v>GOOD</v>
      </c>
    </row>
    <row r="24" spans="1:27" x14ac:dyDescent="0.3">
      <c r="A24" s="1">
        <v>45892</v>
      </c>
      <c r="B24">
        <v>46</v>
      </c>
      <c r="C24">
        <v>45</v>
      </c>
      <c r="D24">
        <v>46</v>
      </c>
      <c r="E24">
        <v>46</v>
      </c>
      <c r="F24">
        <v>46</v>
      </c>
      <c r="G24">
        <v>45</v>
      </c>
      <c r="H24">
        <v>44</v>
      </c>
      <c r="I24">
        <v>43</v>
      </c>
      <c r="J24">
        <v>43</v>
      </c>
      <c r="K24">
        <v>45</v>
      </c>
      <c r="L24">
        <v>44</v>
      </c>
      <c r="M24">
        <v>45</v>
      </c>
      <c r="N24">
        <v>45</v>
      </c>
      <c r="O24">
        <v>45</v>
      </c>
      <c r="P24">
        <v>45</v>
      </c>
      <c r="Q24">
        <v>46</v>
      </c>
      <c r="R24">
        <v>46</v>
      </c>
      <c r="S24">
        <v>46</v>
      </c>
      <c r="T24">
        <v>47</v>
      </c>
      <c r="U24">
        <v>47</v>
      </c>
      <c r="V24">
        <v>48</v>
      </c>
      <c r="W24">
        <v>48</v>
      </c>
      <c r="X24">
        <v>48</v>
      </c>
      <c r="Y24">
        <v>48</v>
      </c>
      <c r="Z24" s="2">
        <f>AVERAGE(Sheet1__9[[#This Row],[00:00:00]:[23:00:00]])</f>
        <v>45.708333333333336</v>
      </c>
      <c r="AA24" t="str" cm="1">
        <f t="array" ref="AA24">_xlfn.IFS(Sheet1__9[[#This Row],[AVERAGE AQI]]&lt;50,"GOOD",Sheet1__9[[#This Row],[AVERAGE AQI]]&lt;=100,"MODERATE",Sheet1__9[[#This Row],[AVERAGE AQI]]&lt;=150,"BAD",Sheet1__9[[#This Row],[AVERAGE AQI]]&lt;=200,"VERY BAD")</f>
        <v>GOOD</v>
      </c>
    </row>
    <row r="25" spans="1:27" x14ac:dyDescent="0.3">
      <c r="A25" s="1">
        <v>45893</v>
      </c>
      <c r="B25">
        <v>49</v>
      </c>
      <c r="C25">
        <v>49</v>
      </c>
      <c r="D25">
        <v>49</v>
      </c>
      <c r="E25">
        <v>48</v>
      </c>
      <c r="F25">
        <v>48</v>
      </c>
      <c r="G25">
        <v>48</v>
      </c>
      <c r="H25">
        <v>48</v>
      </c>
      <c r="I25">
        <v>47</v>
      </c>
      <c r="J25">
        <v>47</v>
      </c>
      <c r="K25">
        <v>47</v>
      </c>
      <c r="L25">
        <v>47</v>
      </c>
      <c r="M25">
        <v>48</v>
      </c>
      <c r="O25">
        <v>47</v>
      </c>
      <c r="P25">
        <v>49</v>
      </c>
      <c r="Q25">
        <v>48</v>
      </c>
      <c r="R25">
        <v>48</v>
      </c>
      <c r="S25">
        <v>48</v>
      </c>
      <c r="T25">
        <v>48</v>
      </c>
      <c r="U25">
        <v>47</v>
      </c>
      <c r="V25">
        <v>48</v>
      </c>
      <c r="W25">
        <v>46</v>
      </c>
      <c r="X25">
        <v>45</v>
      </c>
      <c r="Y25">
        <v>44</v>
      </c>
      <c r="Z25" s="2">
        <f>AVERAGE(Sheet1__9[[#This Row],[00:00:00]:[23:00:00]])</f>
        <v>47.521739130434781</v>
      </c>
      <c r="AA25" t="str" cm="1">
        <f t="array" ref="AA25">_xlfn.IFS(Sheet1__9[[#This Row],[AVERAGE AQI]]&lt;50,"GOOD",Sheet1__9[[#This Row],[AVERAGE AQI]]&lt;=100,"MODERATE",Sheet1__9[[#This Row],[AVERAGE AQI]]&lt;=150,"BAD",Sheet1__9[[#This Row],[AVERAGE AQI]]&lt;=200,"VERY BAD")</f>
        <v>GOOD</v>
      </c>
    </row>
    <row r="26" spans="1:27" x14ac:dyDescent="0.3">
      <c r="A26" s="1">
        <v>45894</v>
      </c>
      <c r="B26">
        <v>44</v>
      </c>
      <c r="C26">
        <v>45</v>
      </c>
      <c r="D26">
        <v>45</v>
      </c>
      <c r="E26">
        <v>44</v>
      </c>
      <c r="F26">
        <v>44</v>
      </c>
      <c r="G26">
        <v>44</v>
      </c>
      <c r="H26">
        <v>44</v>
      </c>
      <c r="I26">
        <v>44</v>
      </c>
      <c r="J26">
        <v>44</v>
      </c>
      <c r="K26">
        <v>43</v>
      </c>
      <c r="L26">
        <v>43</v>
      </c>
      <c r="M26">
        <v>42</v>
      </c>
      <c r="N26">
        <v>42</v>
      </c>
      <c r="O26">
        <v>41</v>
      </c>
      <c r="P26">
        <v>41</v>
      </c>
      <c r="Q26">
        <v>40</v>
      </c>
      <c r="R26">
        <v>40</v>
      </c>
      <c r="S26">
        <v>40</v>
      </c>
      <c r="T26">
        <v>41</v>
      </c>
      <c r="U26">
        <v>41</v>
      </c>
      <c r="V26">
        <v>41</v>
      </c>
      <c r="W26">
        <v>41</v>
      </c>
      <c r="X26">
        <v>41</v>
      </c>
      <c r="Y26">
        <v>40</v>
      </c>
      <c r="Z26" s="2">
        <f>AVERAGE(Sheet1__9[[#This Row],[00:00:00]:[23:00:00]])</f>
        <v>42.291666666666664</v>
      </c>
      <c r="AA26" t="str" cm="1">
        <f t="array" ref="AA26">_xlfn.IFS(Sheet1__9[[#This Row],[AVERAGE AQI]]&lt;50,"GOOD",Sheet1__9[[#This Row],[AVERAGE AQI]]&lt;=100,"MODERATE",Sheet1__9[[#This Row],[AVERAGE AQI]]&lt;=150,"BAD",Sheet1__9[[#This Row],[AVERAGE AQI]]&lt;=200,"VERY BAD")</f>
        <v>GOOD</v>
      </c>
    </row>
    <row r="27" spans="1:27" x14ac:dyDescent="0.3">
      <c r="A27" s="1">
        <v>45895</v>
      </c>
      <c r="B27">
        <v>40</v>
      </c>
      <c r="C27">
        <v>39</v>
      </c>
      <c r="D27">
        <v>39</v>
      </c>
      <c r="E27">
        <v>39</v>
      </c>
      <c r="F27">
        <v>39</v>
      </c>
      <c r="G27">
        <v>39</v>
      </c>
      <c r="H27">
        <v>40</v>
      </c>
      <c r="I27">
        <v>40</v>
      </c>
      <c r="J27">
        <v>40</v>
      </c>
      <c r="K27">
        <v>41</v>
      </c>
      <c r="L27">
        <v>41</v>
      </c>
      <c r="M27">
        <v>41</v>
      </c>
      <c r="N27">
        <v>41</v>
      </c>
      <c r="O27">
        <v>42</v>
      </c>
      <c r="P27">
        <v>42</v>
      </c>
      <c r="Q27">
        <v>42</v>
      </c>
      <c r="R27">
        <v>42</v>
      </c>
      <c r="S27">
        <v>41</v>
      </c>
      <c r="T27">
        <v>41</v>
      </c>
      <c r="U27">
        <v>41</v>
      </c>
      <c r="V27">
        <v>41</v>
      </c>
      <c r="W27">
        <v>42</v>
      </c>
      <c r="X27">
        <v>42</v>
      </c>
      <c r="Y27">
        <v>42</v>
      </c>
      <c r="Z27" s="2">
        <f>AVERAGE(Sheet1__9[[#This Row],[00:00:00]:[23:00:00]])</f>
        <v>40.708333333333336</v>
      </c>
      <c r="AA27" t="str" cm="1">
        <f t="array" ref="AA27">_xlfn.IFS(Sheet1__9[[#This Row],[AVERAGE AQI]]&lt;50,"GOOD",Sheet1__9[[#This Row],[AVERAGE AQI]]&lt;=100,"MODERATE",Sheet1__9[[#This Row],[AVERAGE AQI]]&lt;=150,"BAD",Sheet1__9[[#This Row],[AVERAGE AQI]]&lt;=200,"VERY BAD")</f>
        <v>GOOD</v>
      </c>
    </row>
    <row r="28" spans="1:27" x14ac:dyDescent="0.3">
      <c r="A28" s="1">
        <v>45896</v>
      </c>
      <c r="B28">
        <v>42</v>
      </c>
      <c r="C28">
        <v>43</v>
      </c>
      <c r="D28">
        <v>43</v>
      </c>
      <c r="E28">
        <v>44</v>
      </c>
      <c r="F28">
        <v>43</v>
      </c>
      <c r="G28">
        <v>44</v>
      </c>
      <c r="H28">
        <v>44</v>
      </c>
      <c r="I28">
        <v>45</v>
      </c>
      <c r="J28">
        <v>45</v>
      </c>
      <c r="K28">
        <v>45</v>
      </c>
      <c r="L28">
        <v>44</v>
      </c>
      <c r="M28">
        <v>45</v>
      </c>
      <c r="N28">
        <v>45</v>
      </c>
      <c r="O28">
        <v>45</v>
      </c>
      <c r="P28">
        <v>45</v>
      </c>
      <c r="Q28">
        <v>46</v>
      </c>
      <c r="R28">
        <v>46</v>
      </c>
      <c r="S28">
        <v>46</v>
      </c>
      <c r="T28">
        <v>46</v>
      </c>
      <c r="U28">
        <v>46</v>
      </c>
      <c r="V28">
        <v>45</v>
      </c>
      <c r="W28">
        <v>45</v>
      </c>
      <c r="X28">
        <v>46</v>
      </c>
      <c r="Y28">
        <v>46</v>
      </c>
      <c r="Z28" s="2">
        <f>AVERAGE(Sheet1__9[[#This Row],[00:00:00]:[23:00:00]])</f>
        <v>44.75</v>
      </c>
      <c r="AA28" t="str" cm="1">
        <f t="array" ref="AA28">_xlfn.IFS(Sheet1__9[[#This Row],[AVERAGE AQI]]&lt;50,"GOOD",Sheet1__9[[#This Row],[AVERAGE AQI]]&lt;=100,"MODERATE",Sheet1__9[[#This Row],[AVERAGE AQI]]&lt;=150,"BAD",Sheet1__9[[#This Row],[AVERAGE AQI]]&lt;=200,"VERY BAD")</f>
        <v>GOOD</v>
      </c>
    </row>
    <row r="29" spans="1:27" x14ac:dyDescent="0.3">
      <c r="A29" s="1">
        <v>45897</v>
      </c>
      <c r="B29">
        <v>46</v>
      </c>
      <c r="C29">
        <v>46</v>
      </c>
      <c r="D29">
        <v>46</v>
      </c>
      <c r="F29">
        <v>47</v>
      </c>
      <c r="G29">
        <v>47</v>
      </c>
      <c r="H29">
        <v>47</v>
      </c>
      <c r="I29">
        <v>48</v>
      </c>
      <c r="J29">
        <v>48</v>
      </c>
      <c r="K29">
        <v>49</v>
      </c>
      <c r="L29">
        <v>50</v>
      </c>
      <c r="M29">
        <v>50</v>
      </c>
      <c r="N29">
        <v>50</v>
      </c>
      <c r="O29">
        <v>50</v>
      </c>
      <c r="P29">
        <v>50</v>
      </c>
      <c r="Q29">
        <v>50</v>
      </c>
      <c r="R29">
        <v>51</v>
      </c>
      <c r="S29">
        <v>51</v>
      </c>
      <c r="U29">
        <v>52</v>
      </c>
      <c r="V29">
        <v>53</v>
      </c>
      <c r="W29">
        <v>53</v>
      </c>
      <c r="X29">
        <v>53</v>
      </c>
      <c r="Y29">
        <v>53</v>
      </c>
      <c r="Z29" s="2">
        <f>AVERAGE(Sheet1__9[[#This Row],[00:00:00]:[23:00:00]])</f>
        <v>49.545454545454547</v>
      </c>
      <c r="AA29" t="str" cm="1">
        <f t="array" ref="AA29">_xlfn.IFS(Sheet1__9[[#This Row],[AVERAGE AQI]]&lt;50,"GOOD",Sheet1__9[[#This Row],[AVERAGE AQI]]&lt;=100,"MODERATE",Sheet1__9[[#This Row],[AVERAGE AQI]]&lt;=150,"BAD",Sheet1__9[[#This Row],[AVERAGE AQI]]&lt;=200,"VERY BAD")</f>
        <v>GOOD</v>
      </c>
    </row>
    <row r="30" spans="1:27" x14ac:dyDescent="0.3">
      <c r="A30" s="1">
        <v>45898</v>
      </c>
      <c r="B30">
        <v>53</v>
      </c>
      <c r="C30">
        <v>55</v>
      </c>
      <c r="D30">
        <v>56</v>
      </c>
      <c r="E30">
        <v>56</v>
      </c>
      <c r="F30">
        <v>56</v>
      </c>
      <c r="G30">
        <v>55</v>
      </c>
      <c r="H30">
        <v>53</v>
      </c>
      <c r="I30">
        <v>52</v>
      </c>
      <c r="J30">
        <v>51</v>
      </c>
      <c r="K30">
        <v>50</v>
      </c>
      <c r="L30">
        <v>50</v>
      </c>
      <c r="M30">
        <v>50</v>
      </c>
      <c r="N30">
        <v>50</v>
      </c>
      <c r="O30">
        <v>50</v>
      </c>
      <c r="P30">
        <v>50</v>
      </c>
      <c r="Q30">
        <v>51</v>
      </c>
      <c r="R30">
        <v>51</v>
      </c>
      <c r="S30">
        <v>50</v>
      </c>
      <c r="T30">
        <v>49</v>
      </c>
      <c r="U30">
        <v>48</v>
      </c>
      <c r="V30">
        <v>48</v>
      </c>
      <c r="W30">
        <v>45</v>
      </c>
      <c r="X30">
        <v>45</v>
      </c>
      <c r="Y30">
        <v>44</v>
      </c>
      <c r="Z30" s="2">
        <f>AVERAGE(Sheet1__9[[#This Row],[00:00:00]:[23:00:00]])</f>
        <v>50.75</v>
      </c>
      <c r="AA30" t="str" cm="1">
        <f t="array" ref="AA30">_xlfn.IFS(Sheet1__9[[#This Row],[AVERAGE AQI]]&lt;50,"GOOD",Sheet1__9[[#This Row],[AVERAGE AQI]]&lt;=100,"MODERATE",Sheet1__9[[#This Row],[AVERAGE AQI]]&lt;=150,"BAD",Sheet1__9[[#This Row],[AVERAGE AQI]]&lt;=200,"VERY BAD")</f>
        <v>MODERATE</v>
      </c>
    </row>
    <row r="31" spans="1:27" x14ac:dyDescent="0.3">
      <c r="A31" s="1">
        <v>45899</v>
      </c>
      <c r="B31">
        <v>44</v>
      </c>
      <c r="C31">
        <v>43</v>
      </c>
      <c r="D31">
        <v>43</v>
      </c>
      <c r="E31">
        <v>43</v>
      </c>
      <c r="F31">
        <v>43</v>
      </c>
      <c r="G31">
        <v>43</v>
      </c>
      <c r="H31">
        <v>42</v>
      </c>
      <c r="I31">
        <v>42</v>
      </c>
      <c r="J31">
        <v>41</v>
      </c>
      <c r="K31">
        <v>41</v>
      </c>
      <c r="L31">
        <v>41</v>
      </c>
      <c r="M31">
        <v>41</v>
      </c>
      <c r="N31">
        <v>40</v>
      </c>
      <c r="O31">
        <v>39</v>
      </c>
      <c r="P31">
        <v>39</v>
      </c>
      <c r="Q31">
        <v>39</v>
      </c>
      <c r="R31">
        <v>39</v>
      </c>
      <c r="S31">
        <v>40</v>
      </c>
      <c r="T31">
        <v>40</v>
      </c>
      <c r="U31">
        <v>41</v>
      </c>
      <c r="V31">
        <v>42</v>
      </c>
      <c r="W31">
        <v>42</v>
      </c>
      <c r="X31">
        <v>42</v>
      </c>
      <c r="Y31">
        <v>43</v>
      </c>
      <c r="Z31" s="2">
        <f>AVERAGE(Sheet1__9[[#This Row],[00:00:00]:[23:00:00]])</f>
        <v>41.375</v>
      </c>
      <c r="AA31" t="str" cm="1">
        <f t="array" ref="AA31">_xlfn.IFS(Sheet1__9[[#This Row],[AVERAGE AQI]]&lt;50,"GOOD",Sheet1__9[[#This Row],[AVERAGE AQI]]&lt;=100,"MODERATE",Sheet1__9[[#This Row],[AVERAGE AQI]]&lt;=150,"BAD",Sheet1__9[[#This Row],[AVERAGE AQI]]&lt;=200,"VERY BAD")</f>
        <v>GOOD</v>
      </c>
    </row>
    <row r="32" spans="1:27" x14ac:dyDescent="0.3">
      <c r="A32" s="1">
        <v>45900</v>
      </c>
      <c r="C32">
        <v>43</v>
      </c>
      <c r="D32">
        <v>43</v>
      </c>
      <c r="E32">
        <v>42</v>
      </c>
      <c r="F32">
        <v>42</v>
      </c>
      <c r="G32">
        <v>42</v>
      </c>
      <c r="H32">
        <v>42</v>
      </c>
      <c r="I32">
        <v>42</v>
      </c>
      <c r="J32">
        <v>42</v>
      </c>
      <c r="K32">
        <v>43</v>
      </c>
      <c r="L32">
        <v>43</v>
      </c>
      <c r="M32">
        <v>43</v>
      </c>
      <c r="N32">
        <v>44</v>
      </c>
      <c r="O32">
        <v>44</v>
      </c>
      <c r="P32">
        <v>44</v>
      </c>
      <c r="Q32">
        <v>44</v>
      </c>
      <c r="R32">
        <v>44</v>
      </c>
      <c r="S32">
        <v>45</v>
      </c>
      <c r="T32">
        <v>45</v>
      </c>
      <c r="U32">
        <v>44</v>
      </c>
      <c r="V32">
        <v>45</v>
      </c>
      <c r="W32">
        <v>45</v>
      </c>
      <c r="X32">
        <v>46</v>
      </c>
      <c r="Y32">
        <v>47</v>
      </c>
      <c r="Z32" s="2">
        <f>AVERAGE(Sheet1__9[[#This Row],[00:00:00]:[23:00:00]])</f>
        <v>43.652173913043477</v>
      </c>
      <c r="AA32" t="str" cm="1">
        <f t="array" ref="AA32">_xlfn.IFS(Sheet1__9[[#This Row],[AVERAGE AQI]]&lt;50,"GOOD",Sheet1__9[[#This Row],[AVERAGE AQI]]&lt;=100,"MODERATE",Sheet1__9[[#This Row],[AVERAGE AQI]]&lt;=150,"BAD",Sheet1__9[[#This Row],[AVERAGE AQI]]&lt;=200,"VERY BAD")</f>
        <v>GOOD</v>
      </c>
    </row>
    <row r="33" spans="26:26" x14ac:dyDescent="0.3">
      <c r="Z33" s="2">
        <f>SUBTOTAL(101,Sheet1__9[AVERAGE AQI])</f>
        <v>47.823669726720219</v>
      </c>
    </row>
  </sheetData>
  <conditionalFormatting sqref="AA1:AA1048576">
    <cfRule type="containsText" dxfId="16" priority="1" operator="containsText" text="MODERATE">
      <formula>NOT(ISERROR(SEARCH("MODERATE",AA1)))</formula>
    </cfRule>
    <cfRule type="containsText" dxfId="15" priority="2" operator="containsText" text="GOOD">
      <formula>NOT(ISERROR(SEARCH("GOOD",AA1)))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A6D5-BA12-4608-A1D9-08F8B977A6B0}">
  <dimension ref="A1:AD32"/>
  <sheetViews>
    <sheetView topLeftCell="P1" workbookViewId="0">
      <selection activeCell="Z2" sqref="Z2"/>
    </sheetView>
  </sheetViews>
  <sheetFormatPr defaultRowHeight="14.4" x14ac:dyDescent="0.3"/>
  <cols>
    <col min="1" max="25" width="10.33203125" bestFit="1" customWidth="1"/>
    <col min="26" max="26" width="11.21875" bestFit="1" customWidth="1"/>
    <col min="27" max="27" width="16.664062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28</v>
      </c>
      <c r="AA1" t="s">
        <v>26</v>
      </c>
      <c r="AC1" t="s">
        <v>27</v>
      </c>
      <c r="AD1" s="2">
        <f>AVERAGE(Sheet1__10[AVERAGE AQI])</f>
        <v>50.561111111111117</v>
      </c>
    </row>
    <row r="2" spans="1:30" x14ac:dyDescent="0.3">
      <c r="A2" s="1">
        <v>45901</v>
      </c>
      <c r="B2">
        <v>47</v>
      </c>
      <c r="C2">
        <v>48</v>
      </c>
      <c r="D2">
        <v>47</v>
      </c>
      <c r="E2">
        <v>47</v>
      </c>
      <c r="F2">
        <v>47</v>
      </c>
      <c r="G2">
        <v>47</v>
      </c>
      <c r="H2">
        <v>48</v>
      </c>
      <c r="I2">
        <v>48</v>
      </c>
      <c r="J2">
        <v>48</v>
      </c>
      <c r="K2">
        <v>48</v>
      </c>
      <c r="L2">
        <v>48</v>
      </c>
      <c r="M2">
        <v>48</v>
      </c>
      <c r="N2">
        <v>56</v>
      </c>
      <c r="O2">
        <v>50</v>
      </c>
      <c r="P2">
        <v>50</v>
      </c>
      <c r="Q2">
        <v>50</v>
      </c>
      <c r="R2">
        <v>50</v>
      </c>
      <c r="S2">
        <v>58</v>
      </c>
      <c r="T2">
        <v>58</v>
      </c>
      <c r="U2">
        <v>49</v>
      </c>
      <c r="V2">
        <v>48</v>
      </c>
      <c r="W2">
        <v>48</v>
      </c>
      <c r="X2">
        <v>48</v>
      </c>
      <c r="Y2">
        <v>47</v>
      </c>
      <c r="Z2" s="2">
        <f>AVERAGE(Sheet1__10[[#This Row],[00:00:00]:[23:00:00]])</f>
        <v>49.291666666666664</v>
      </c>
      <c r="AA2" t="str" cm="1">
        <f t="array" ref="AA2">_xlfn.IFS(Sheet1__10[[#This Row],[AVERAGE AQI]]&lt;50,"GOOD",Sheet1__10[[#This Row],[AVERAGE AQI]]&lt;=100,"MODERATE",Sheet1__10[[#This Row],[AVERAGE AQI]]&lt;=150,"BAD",Sheet1__10[[#This Row],[AVERAGE AQI]]&lt;=200,"VERY BAD")</f>
        <v>GOOD</v>
      </c>
    </row>
    <row r="3" spans="1:30" x14ac:dyDescent="0.3">
      <c r="A3" s="1">
        <v>45902</v>
      </c>
      <c r="B3">
        <v>47</v>
      </c>
      <c r="C3">
        <v>47</v>
      </c>
      <c r="D3">
        <v>46</v>
      </c>
      <c r="E3">
        <v>46</v>
      </c>
      <c r="F3">
        <v>45</v>
      </c>
      <c r="G3">
        <v>45</v>
      </c>
      <c r="H3">
        <v>46</v>
      </c>
      <c r="I3">
        <v>46</v>
      </c>
      <c r="J3">
        <v>45</v>
      </c>
      <c r="K3">
        <v>45</v>
      </c>
      <c r="L3">
        <v>45</v>
      </c>
      <c r="M3">
        <v>45</v>
      </c>
      <c r="N3">
        <v>44</v>
      </c>
      <c r="O3">
        <v>44</v>
      </c>
      <c r="P3">
        <v>44</v>
      </c>
      <c r="Q3">
        <v>44</v>
      </c>
      <c r="R3">
        <v>44</v>
      </c>
      <c r="S3">
        <v>44</v>
      </c>
      <c r="T3">
        <v>44</v>
      </c>
      <c r="U3">
        <v>45</v>
      </c>
      <c r="V3">
        <v>45</v>
      </c>
      <c r="W3">
        <v>45</v>
      </c>
      <c r="X3">
        <v>46</v>
      </c>
      <c r="Y3">
        <v>47</v>
      </c>
      <c r="Z3" s="2">
        <f>AVERAGE(Sheet1__10[[#This Row],[00:00:00]:[23:00:00]])</f>
        <v>45.166666666666664</v>
      </c>
      <c r="AA3" t="str" cm="1">
        <f t="array" ref="AA3">_xlfn.IFS(Sheet1__10[[#This Row],[AVERAGE AQI]]&lt;50,"GOOD",Sheet1__10[[#This Row],[AVERAGE AQI]]&lt;=100,"MODERATE",Sheet1__10[[#This Row],[AVERAGE AQI]]&lt;=150,"BAD",Sheet1__10[[#This Row],[AVERAGE AQI]]&lt;=200,"VERY BAD")</f>
        <v>GOOD</v>
      </c>
    </row>
    <row r="4" spans="1:30" x14ac:dyDescent="0.3">
      <c r="A4" s="1">
        <v>45903</v>
      </c>
      <c r="B4">
        <v>48</v>
      </c>
      <c r="C4">
        <v>48</v>
      </c>
      <c r="D4">
        <v>48</v>
      </c>
      <c r="E4">
        <v>49</v>
      </c>
      <c r="F4">
        <v>49</v>
      </c>
      <c r="G4">
        <v>48</v>
      </c>
      <c r="H4">
        <v>48</v>
      </c>
      <c r="I4">
        <v>49</v>
      </c>
      <c r="J4">
        <v>49</v>
      </c>
      <c r="K4">
        <v>50</v>
      </c>
      <c r="L4">
        <v>50</v>
      </c>
      <c r="M4">
        <v>51</v>
      </c>
      <c r="N4">
        <v>51</v>
      </c>
      <c r="O4">
        <v>52</v>
      </c>
      <c r="P4">
        <v>52</v>
      </c>
      <c r="Q4">
        <v>52</v>
      </c>
      <c r="R4">
        <v>54</v>
      </c>
      <c r="S4">
        <v>54</v>
      </c>
      <c r="T4">
        <v>54</v>
      </c>
      <c r="U4">
        <v>55</v>
      </c>
      <c r="V4">
        <v>55</v>
      </c>
      <c r="W4">
        <v>55</v>
      </c>
      <c r="X4">
        <v>55</v>
      </c>
      <c r="Y4">
        <v>55</v>
      </c>
      <c r="Z4" s="2">
        <f>AVERAGE(Sheet1__10[[#This Row],[00:00:00]:[23:00:00]])</f>
        <v>51.291666666666664</v>
      </c>
      <c r="AA4" t="str" cm="1">
        <f t="array" ref="AA4">_xlfn.IFS(Sheet1__10[[#This Row],[AVERAGE AQI]]&lt;50,"GOOD",Sheet1__10[[#This Row],[AVERAGE AQI]]&lt;=100,"MODERATE",Sheet1__10[[#This Row],[AVERAGE AQI]]&lt;=150,"BAD",Sheet1__10[[#This Row],[AVERAGE AQI]]&lt;=200,"VERY BAD")</f>
        <v>MODERATE</v>
      </c>
    </row>
    <row r="5" spans="1:30" x14ac:dyDescent="0.3">
      <c r="A5" s="1">
        <v>45904</v>
      </c>
      <c r="B5">
        <v>55</v>
      </c>
      <c r="C5">
        <v>57</v>
      </c>
      <c r="D5">
        <v>57</v>
      </c>
      <c r="E5">
        <v>59</v>
      </c>
      <c r="F5">
        <v>58</v>
      </c>
      <c r="G5">
        <v>58</v>
      </c>
      <c r="H5">
        <v>58</v>
      </c>
      <c r="I5">
        <v>58</v>
      </c>
      <c r="J5">
        <v>58</v>
      </c>
      <c r="K5">
        <v>59</v>
      </c>
      <c r="M5">
        <v>57</v>
      </c>
      <c r="N5">
        <v>57</v>
      </c>
      <c r="O5">
        <v>56</v>
      </c>
      <c r="P5">
        <v>56</v>
      </c>
      <c r="Q5">
        <v>54</v>
      </c>
      <c r="R5">
        <v>55</v>
      </c>
      <c r="S5">
        <v>54</v>
      </c>
      <c r="T5">
        <v>54</v>
      </c>
      <c r="U5">
        <v>54</v>
      </c>
      <c r="V5">
        <v>53</v>
      </c>
      <c r="W5">
        <v>52</v>
      </c>
      <c r="X5">
        <v>52</v>
      </c>
      <c r="Y5">
        <v>51</v>
      </c>
      <c r="Z5" s="2">
        <f>AVERAGE(Sheet1__10[[#This Row],[00:00:00]:[23:00:00]])</f>
        <v>55.739130434782609</v>
      </c>
      <c r="AA5" t="str" cm="1">
        <f t="array" ref="AA5">_xlfn.IFS(Sheet1__10[[#This Row],[AVERAGE AQI]]&lt;50,"GOOD",Sheet1__10[[#This Row],[AVERAGE AQI]]&lt;=100,"MODERATE",Sheet1__10[[#This Row],[AVERAGE AQI]]&lt;=150,"BAD",Sheet1__10[[#This Row],[AVERAGE AQI]]&lt;=200,"VERY BAD")</f>
        <v>MODERATE</v>
      </c>
    </row>
    <row r="6" spans="1:30" x14ac:dyDescent="0.3">
      <c r="A6" s="1">
        <v>45905</v>
      </c>
      <c r="B6">
        <v>50</v>
      </c>
      <c r="C6">
        <v>50</v>
      </c>
      <c r="D6">
        <v>50</v>
      </c>
      <c r="E6">
        <v>50</v>
      </c>
      <c r="F6">
        <v>49</v>
      </c>
      <c r="G6">
        <v>49</v>
      </c>
      <c r="H6">
        <v>49</v>
      </c>
      <c r="I6">
        <v>49</v>
      </c>
      <c r="J6">
        <v>49</v>
      </c>
      <c r="K6">
        <v>51</v>
      </c>
      <c r="L6">
        <v>51</v>
      </c>
      <c r="M6">
        <v>52</v>
      </c>
      <c r="N6">
        <v>52</v>
      </c>
      <c r="O6">
        <v>52</v>
      </c>
      <c r="P6">
        <v>52</v>
      </c>
      <c r="Q6">
        <v>52</v>
      </c>
      <c r="R6">
        <v>53</v>
      </c>
      <c r="S6">
        <v>53</v>
      </c>
      <c r="T6">
        <v>54</v>
      </c>
      <c r="U6">
        <v>54</v>
      </c>
      <c r="V6">
        <v>54</v>
      </c>
      <c r="W6">
        <v>54</v>
      </c>
      <c r="X6">
        <v>53</v>
      </c>
      <c r="Z6" s="2">
        <f>AVERAGE(Sheet1__10[[#This Row],[00:00:00]:[23:00:00]])</f>
        <v>51.391304347826086</v>
      </c>
      <c r="AA6" t="str" cm="1">
        <f t="array" ref="AA6">_xlfn.IFS(Sheet1__10[[#This Row],[AVERAGE AQI]]&lt;50,"GOOD",Sheet1__10[[#This Row],[AVERAGE AQI]]&lt;=100,"MODERATE",Sheet1__10[[#This Row],[AVERAGE AQI]]&lt;=150,"BAD",Sheet1__10[[#This Row],[AVERAGE AQI]]&lt;=200,"VERY BAD")</f>
        <v>MODERATE</v>
      </c>
    </row>
    <row r="7" spans="1:30" x14ac:dyDescent="0.3">
      <c r="A7" s="1">
        <v>45906</v>
      </c>
      <c r="B7">
        <v>54</v>
      </c>
      <c r="C7">
        <v>54</v>
      </c>
      <c r="D7">
        <v>54</v>
      </c>
      <c r="F7">
        <v>52</v>
      </c>
      <c r="G7">
        <v>52</v>
      </c>
      <c r="H7">
        <v>51</v>
      </c>
      <c r="I7">
        <v>50</v>
      </c>
      <c r="J7">
        <v>49</v>
      </c>
      <c r="K7">
        <v>48</v>
      </c>
      <c r="L7">
        <v>47</v>
      </c>
      <c r="M7">
        <v>45</v>
      </c>
      <c r="N7">
        <v>45</v>
      </c>
      <c r="O7">
        <v>44</v>
      </c>
      <c r="P7">
        <v>44</v>
      </c>
      <c r="Q7">
        <v>44</v>
      </c>
      <c r="R7">
        <v>44</v>
      </c>
      <c r="S7">
        <v>44</v>
      </c>
      <c r="T7">
        <v>45</v>
      </c>
      <c r="U7">
        <v>45</v>
      </c>
      <c r="V7">
        <v>45</v>
      </c>
      <c r="W7">
        <v>45</v>
      </c>
      <c r="X7">
        <v>46</v>
      </c>
      <c r="Y7">
        <v>47</v>
      </c>
      <c r="Z7" s="2">
        <f>AVERAGE(Sheet1__10[[#This Row],[00:00:00]:[23:00:00]])</f>
        <v>47.565217391304351</v>
      </c>
      <c r="AA7" t="str" cm="1">
        <f t="array" ref="AA7">_xlfn.IFS(Sheet1__10[[#This Row],[AVERAGE AQI]]&lt;50,"GOOD",Sheet1__10[[#This Row],[AVERAGE AQI]]&lt;=100,"MODERATE",Sheet1__10[[#This Row],[AVERAGE AQI]]&lt;=150,"BAD",Sheet1__10[[#This Row],[AVERAGE AQI]]&lt;=200,"VERY BAD")</f>
        <v>GOOD</v>
      </c>
    </row>
    <row r="8" spans="1:30" x14ac:dyDescent="0.3">
      <c r="A8" s="1">
        <v>45907</v>
      </c>
      <c r="B8">
        <v>47</v>
      </c>
      <c r="C8">
        <v>49</v>
      </c>
      <c r="D8">
        <v>52</v>
      </c>
      <c r="E8">
        <v>53</v>
      </c>
      <c r="F8">
        <v>50</v>
      </c>
      <c r="G8">
        <v>49</v>
      </c>
      <c r="H8">
        <v>49</v>
      </c>
      <c r="I8">
        <v>50</v>
      </c>
      <c r="J8">
        <v>49</v>
      </c>
      <c r="K8">
        <v>48</v>
      </c>
      <c r="L8">
        <v>49</v>
      </c>
      <c r="M8">
        <v>49</v>
      </c>
      <c r="N8">
        <v>50</v>
      </c>
      <c r="O8">
        <v>50</v>
      </c>
      <c r="P8">
        <v>50</v>
      </c>
      <c r="Q8">
        <v>50</v>
      </c>
      <c r="R8">
        <v>51</v>
      </c>
      <c r="S8">
        <v>51</v>
      </c>
      <c r="T8">
        <v>52</v>
      </c>
      <c r="U8">
        <v>52</v>
      </c>
      <c r="V8">
        <v>52</v>
      </c>
      <c r="W8">
        <v>52</v>
      </c>
      <c r="X8">
        <v>52</v>
      </c>
      <c r="Y8">
        <v>53</v>
      </c>
      <c r="Z8" s="2">
        <f>AVERAGE(Sheet1__10[[#This Row],[00:00:00]:[23:00:00]])</f>
        <v>50.375</v>
      </c>
      <c r="AA8" t="str" cm="1">
        <f t="array" ref="AA8">_xlfn.IFS(Sheet1__10[[#This Row],[AVERAGE AQI]]&lt;50,"GOOD",Sheet1__10[[#This Row],[AVERAGE AQI]]&lt;=100,"MODERATE",Sheet1__10[[#This Row],[AVERAGE AQI]]&lt;=150,"BAD",Sheet1__10[[#This Row],[AVERAGE AQI]]&lt;=200,"VERY BAD")</f>
        <v>MODERATE</v>
      </c>
    </row>
    <row r="9" spans="1:30" x14ac:dyDescent="0.3">
      <c r="A9" s="1">
        <v>45908</v>
      </c>
      <c r="B9">
        <v>53</v>
      </c>
      <c r="C9">
        <v>53</v>
      </c>
      <c r="D9">
        <v>53</v>
      </c>
      <c r="E9">
        <v>53</v>
      </c>
      <c r="F9">
        <v>53</v>
      </c>
      <c r="G9">
        <v>53</v>
      </c>
      <c r="H9">
        <v>53</v>
      </c>
      <c r="I9">
        <v>54</v>
      </c>
      <c r="J9">
        <v>53</v>
      </c>
      <c r="K9">
        <v>53</v>
      </c>
      <c r="L9">
        <v>53</v>
      </c>
      <c r="M9">
        <v>52</v>
      </c>
      <c r="O9">
        <v>51</v>
      </c>
      <c r="P9">
        <v>50</v>
      </c>
      <c r="Q9">
        <v>50</v>
      </c>
      <c r="R9">
        <v>50</v>
      </c>
      <c r="S9">
        <v>50</v>
      </c>
      <c r="T9">
        <v>50</v>
      </c>
      <c r="U9">
        <v>50</v>
      </c>
      <c r="V9">
        <v>51</v>
      </c>
      <c r="W9">
        <v>52</v>
      </c>
      <c r="X9">
        <v>52</v>
      </c>
      <c r="Y9">
        <v>53</v>
      </c>
      <c r="Z9" s="2">
        <f>AVERAGE(Sheet1__10[[#This Row],[00:00:00]:[23:00:00]])</f>
        <v>51.956521739130437</v>
      </c>
      <c r="AA9" t="str" cm="1">
        <f t="array" ref="AA9">_xlfn.IFS(Sheet1__10[[#This Row],[AVERAGE AQI]]&lt;50,"GOOD",Sheet1__10[[#This Row],[AVERAGE AQI]]&lt;=100,"MODERATE",Sheet1__10[[#This Row],[AVERAGE AQI]]&lt;=150,"BAD",Sheet1__10[[#This Row],[AVERAGE AQI]]&lt;=200,"VERY BAD")</f>
        <v>MODERATE</v>
      </c>
    </row>
    <row r="10" spans="1:30" x14ac:dyDescent="0.3">
      <c r="A10" s="1">
        <v>45909</v>
      </c>
      <c r="B10">
        <v>55</v>
      </c>
      <c r="C10">
        <v>56</v>
      </c>
      <c r="D10">
        <v>57</v>
      </c>
      <c r="E10">
        <v>57</v>
      </c>
      <c r="F10">
        <v>58</v>
      </c>
      <c r="G10">
        <v>58</v>
      </c>
      <c r="H10">
        <v>58</v>
      </c>
      <c r="I10">
        <v>59</v>
      </c>
      <c r="J10">
        <v>58</v>
      </c>
      <c r="K10">
        <v>58</v>
      </c>
      <c r="L10">
        <v>59</v>
      </c>
      <c r="M10">
        <v>59</v>
      </c>
      <c r="N10">
        <v>59</v>
      </c>
      <c r="O10">
        <v>60</v>
      </c>
      <c r="P10">
        <v>60</v>
      </c>
      <c r="Q10">
        <v>61</v>
      </c>
      <c r="R10">
        <v>61</v>
      </c>
      <c r="S10">
        <v>62</v>
      </c>
      <c r="T10">
        <v>62</v>
      </c>
      <c r="U10">
        <v>62</v>
      </c>
      <c r="V10">
        <v>62</v>
      </c>
      <c r="W10">
        <v>62</v>
      </c>
      <c r="X10">
        <v>62</v>
      </c>
      <c r="Y10">
        <v>62</v>
      </c>
      <c r="Z10" s="2">
        <f>AVERAGE(Sheet1__10[[#This Row],[00:00:00]:[23:00:00]])</f>
        <v>59.458333333333336</v>
      </c>
      <c r="AA10" t="str" cm="1">
        <f t="array" ref="AA10">_xlfn.IFS(Sheet1__10[[#This Row],[AVERAGE AQI]]&lt;50,"GOOD",Sheet1__10[[#This Row],[AVERAGE AQI]]&lt;=100,"MODERATE",Sheet1__10[[#This Row],[AVERAGE AQI]]&lt;=150,"BAD",Sheet1__10[[#This Row],[AVERAGE AQI]]&lt;=200,"VERY BAD")</f>
        <v>MODERATE</v>
      </c>
    </row>
    <row r="11" spans="1:30" x14ac:dyDescent="0.3">
      <c r="A11" s="1">
        <v>45910</v>
      </c>
      <c r="B11">
        <v>63</v>
      </c>
      <c r="C11">
        <v>64</v>
      </c>
      <c r="D11">
        <v>65</v>
      </c>
      <c r="E11">
        <v>66</v>
      </c>
      <c r="F11">
        <v>66</v>
      </c>
      <c r="G11">
        <v>66</v>
      </c>
      <c r="H11">
        <v>65</v>
      </c>
      <c r="I11">
        <v>66</v>
      </c>
      <c r="J11">
        <v>66</v>
      </c>
      <c r="K11">
        <v>67</v>
      </c>
      <c r="L11">
        <v>65</v>
      </c>
      <c r="M11">
        <v>66</v>
      </c>
      <c r="N11">
        <v>66</v>
      </c>
      <c r="O11">
        <v>66</v>
      </c>
      <c r="P11">
        <v>69</v>
      </c>
      <c r="Q11">
        <v>70</v>
      </c>
      <c r="R11">
        <v>71</v>
      </c>
      <c r="S11">
        <v>72</v>
      </c>
      <c r="T11">
        <v>72</v>
      </c>
      <c r="U11">
        <v>72</v>
      </c>
      <c r="V11">
        <v>73</v>
      </c>
      <c r="W11">
        <v>73</v>
      </c>
      <c r="X11">
        <v>73</v>
      </c>
      <c r="Y11">
        <v>73</v>
      </c>
      <c r="Z11" s="2">
        <f>AVERAGE(Sheet1__10[[#This Row],[00:00:00]:[23:00:00]])</f>
        <v>68.125</v>
      </c>
      <c r="AA11" t="str" cm="1">
        <f t="array" ref="AA11">_xlfn.IFS(Sheet1__10[[#This Row],[AVERAGE AQI]]&lt;50,"GOOD",Sheet1__10[[#This Row],[AVERAGE AQI]]&lt;=100,"MODERATE",Sheet1__10[[#This Row],[AVERAGE AQI]]&lt;=150,"BAD",Sheet1__10[[#This Row],[AVERAGE AQI]]&lt;=200,"VERY BAD")</f>
        <v>MODERATE</v>
      </c>
    </row>
    <row r="12" spans="1:30" x14ac:dyDescent="0.3">
      <c r="A12" s="1">
        <v>45911</v>
      </c>
      <c r="B12">
        <v>73</v>
      </c>
      <c r="C12">
        <v>73</v>
      </c>
      <c r="D12">
        <v>73</v>
      </c>
      <c r="E12">
        <v>73</v>
      </c>
      <c r="F12">
        <v>72</v>
      </c>
      <c r="G12">
        <v>72</v>
      </c>
      <c r="H12">
        <v>72</v>
      </c>
      <c r="I12">
        <v>71</v>
      </c>
      <c r="J12">
        <v>71</v>
      </c>
      <c r="K12">
        <v>70</v>
      </c>
      <c r="L12">
        <v>71</v>
      </c>
      <c r="M12">
        <v>71</v>
      </c>
      <c r="N12">
        <v>70</v>
      </c>
      <c r="O12">
        <v>70</v>
      </c>
      <c r="P12">
        <v>69</v>
      </c>
      <c r="Q12">
        <v>68</v>
      </c>
      <c r="R12">
        <v>68</v>
      </c>
      <c r="S12">
        <v>67</v>
      </c>
      <c r="T12">
        <v>66</v>
      </c>
      <c r="U12">
        <v>66</v>
      </c>
      <c r="V12">
        <v>65</v>
      </c>
      <c r="W12">
        <v>64</v>
      </c>
      <c r="X12">
        <v>64</v>
      </c>
      <c r="Y12">
        <v>63</v>
      </c>
      <c r="Z12" s="2">
        <f>AVERAGE(Sheet1__10[[#This Row],[00:00:00]:[23:00:00]])</f>
        <v>69.25</v>
      </c>
      <c r="AA12" t="str" cm="1">
        <f t="array" ref="AA12">_xlfn.IFS(Sheet1__10[[#This Row],[AVERAGE AQI]]&lt;50,"GOOD",Sheet1__10[[#This Row],[AVERAGE AQI]]&lt;=100,"MODERATE",Sheet1__10[[#This Row],[AVERAGE AQI]]&lt;=150,"BAD",Sheet1__10[[#This Row],[AVERAGE AQI]]&lt;=200,"VERY BAD")</f>
        <v>MODERATE</v>
      </c>
    </row>
    <row r="13" spans="1:30" x14ac:dyDescent="0.3">
      <c r="A13" s="1">
        <v>45912</v>
      </c>
      <c r="B13">
        <v>63</v>
      </c>
      <c r="C13">
        <v>62</v>
      </c>
      <c r="D13">
        <v>62</v>
      </c>
      <c r="E13">
        <v>61</v>
      </c>
      <c r="F13">
        <v>60</v>
      </c>
      <c r="G13">
        <v>60</v>
      </c>
      <c r="H13">
        <v>59</v>
      </c>
      <c r="I13">
        <v>59</v>
      </c>
      <c r="J13">
        <v>57</v>
      </c>
      <c r="K13">
        <v>56</v>
      </c>
      <c r="L13">
        <v>55</v>
      </c>
      <c r="M13">
        <v>54</v>
      </c>
      <c r="N13">
        <v>54</v>
      </c>
      <c r="O13">
        <v>53</v>
      </c>
      <c r="P13">
        <v>54</v>
      </c>
      <c r="Q13">
        <v>54</v>
      </c>
      <c r="R13">
        <v>54</v>
      </c>
      <c r="S13">
        <v>55</v>
      </c>
      <c r="T13">
        <v>54</v>
      </c>
      <c r="U13">
        <v>54</v>
      </c>
      <c r="V13">
        <v>54</v>
      </c>
      <c r="W13">
        <v>53</v>
      </c>
      <c r="X13">
        <v>53</v>
      </c>
      <c r="Y13">
        <v>51</v>
      </c>
      <c r="Z13" s="2">
        <f>AVERAGE(Sheet1__10[[#This Row],[00:00:00]:[23:00:00]])</f>
        <v>56.291666666666664</v>
      </c>
      <c r="AA13" t="str" cm="1">
        <f t="array" ref="AA13">_xlfn.IFS(Sheet1__10[[#This Row],[AVERAGE AQI]]&lt;50,"GOOD",Sheet1__10[[#This Row],[AVERAGE AQI]]&lt;=100,"MODERATE",Sheet1__10[[#This Row],[AVERAGE AQI]]&lt;=150,"BAD",Sheet1__10[[#This Row],[AVERAGE AQI]]&lt;=200,"VERY BAD")</f>
        <v>MODERATE</v>
      </c>
    </row>
    <row r="14" spans="1:30" x14ac:dyDescent="0.3">
      <c r="A14" s="1">
        <v>45913</v>
      </c>
      <c r="B14">
        <v>51</v>
      </c>
      <c r="C14">
        <v>52</v>
      </c>
      <c r="D14">
        <v>52</v>
      </c>
      <c r="E14">
        <v>53</v>
      </c>
      <c r="F14">
        <v>52</v>
      </c>
      <c r="G14">
        <v>54</v>
      </c>
      <c r="H14">
        <v>56</v>
      </c>
      <c r="I14">
        <v>57</v>
      </c>
      <c r="J14">
        <v>58</v>
      </c>
      <c r="K14">
        <v>59</v>
      </c>
      <c r="L14">
        <v>60</v>
      </c>
      <c r="M14">
        <v>61</v>
      </c>
      <c r="N14">
        <v>60</v>
      </c>
      <c r="O14">
        <v>61</v>
      </c>
      <c r="P14">
        <v>61</v>
      </c>
      <c r="Q14">
        <v>64</v>
      </c>
      <c r="R14">
        <v>64</v>
      </c>
      <c r="S14">
        <v>64</v>
      </c>
      <c r="T14">
        <v>64</v>
      </c>
      <c r="U14">
        <v>63</v>
      </c>
      <c r="V14">
        <v>62</v>
      </c>
      <c r="W14">
        <v>62</v>
      </c>
      <c r="X14">
        <v>61</v>
      </c>
      <c r="Y14">
        <v>61</v>
      </c>
      <c r="Z14" s="2">
        <f>AVERAGE(Sheet1__10[[#This Row],[00:00:00]:[23:00:00]])</f>
        <v>58.833333333333336</v>
      </c>
      <c r="AA14" t="str" cm="1">
        <f t="array" ref="AA14">_xlfn.IFS(Sheet1__10[[#This Row],[AVERAGE AQI]]&lt;50,"GOOD",Sheet1__10[[#This Row],[AVERAGE AQI]]&lt;=100,"MODERATE",Sheet1__10[[#This Row],[AVERAGE AQI]]&lt;=150,"BAD",Sheet1__10[[#This Row],[AVERAGE AQI]]&lt;=200,"VERY BAD")</f>
        <v>MODERATE</v>
      </c>
    </row>
    <row r="15" spans="1:30" x14ac:dyDescent="0.3">
      <c r="A15" s="1">
        <v>45914</v>
      </c>
      <c r="B15">
        <v>61</v>
      </c>
      <c r="C15">
        <v>61</v>
      </c>
      <c r="E15">
        <v>60</v>
      </c>
      <c r="F15">
        <v>59</v>
      </c>
      <c r="G15">
        <v>58</v>
      </c>
      <c r="H15">
        <v>57</v>
      </c>
      <c r="I15">
        <v>58</v>
      </c>
      <c r="J15">
        <v>58</v>
      </c>
      <c r="K15">
        <v>56</v>
      </c>
      <c r="L15">
        <v>57</v>
      </c>
      <c r="M15">
        <v>57</v>
      </c>
      <c r="N15">
        <v>57</v>
      </c>
      <c r="O15">
        <v>56</v>
      </c>
      <c r="P15">
        <v>55</v>
      </c>
      <c r="Q15">
        <v>56</v>
      </c>
      <c r="R15">
        <v>56</v>
      </c>
      <c r="S15">
        <v>56</v>
      </c>
      <c r="T15">
        <v>52</v>
      </c>
      <c r="U15">
        <v>53</v>
      </c>
      <c r="V15">
        <v>54</v>
      </c>
      <c r="W15">
        <v>54</v>
      </c>
      <c r="X15">
        <v>55</v>
      </c>
      <c r="Y15">
        <v>55</v>
      </c>
      <c r="Z15" s="2">
        <f>AVERAGE(Sheet1__10[[#This Row],[00:00:00]:[23:00:00]])</f>
        <v>56.565217391304351</v>
      </c>
      <c r="AA15" t="str" cm="1">
        <f t="array" ref="AA15">_xlfn.IFS(Sheet1__10[[#This Row],[AVERAGE AQI]]&lt;50,"GOOD",Sheet1__10[[#This Row],[AVERAGE AQI]]&lt;=100,"MODERATE",Sheet1__10[[#This Row],[AVERAGE AQI]]&lt;=150,"BAD",Sheet1__10[[#This Row],[AVERAGE AQI]]&lt;=200,"VERY BAD")</f>
        <v>MODERATE</v>
      </c>
    </row>
    <row r="16" spans="1:30" x14ac:dyDescent="0.3">
      <c r="A16" s="1">
        <v>45915</v>
      </c>
      <c r="B16">
        <v>55</v>
      </c>
      <c r="C16">
        <v>55</v>
      </c>
      <c r="D16">
        <v>55</v>
      </c>
      <c r="E16">
        <v>55</v>
      </c>
      <c r="F16">
        <v>54</v>
      </c>
      <c r="G16">
        <v>54</v>
      </c>
      <c r="H16">
        <v>52</v>
      </c>
      <c r="I16">
        <v>52</v>
      </c>
      <c r="J16">
        <v>51</v>
      </c>
      <c r="K16">
        <v>50</v>
      </c>
      <c r="L16">
        <v>50</v>
      </c>
      <c r="M16">
        <v>58</v>
      </c>
      <c r="N16">
        <v>62</v>
      </c>
      <c r="O16">
        <v>50</v>
      </c>
      <c r="P16">
        <v>50</v>
      </c>
      <c r="Q16">
        <v>50</v>
      </c>
      <c r="R16">
        <v>49</v>
      </c>
      <c r="S16">
        <v>49</v>
      </c>
      <c r="T16">
        <v>47</v>
      </c>
      <c r="U16">
        <v>46</v>
      </c>
      <c r="V16">
        <v>45</v>
      </c>
      <c r="W16">
        <v>44</v>
      </c>
      <c r="X16">
        <v>44</v>
      </c>
      <c r="Y16">
        <v>44</v>
      </c>
      <c r="Z16" s="2">
        <f>AVERAGE(Sheet1__10[[#This Row],[00:00:00]:[23:00:00]])</f>
        <v>50.875</v>
      </c>
      <c r="AA16" t="str" cm="1">
        <f t="array" ref="AA16">_xlfn.IFS(Sheet1__10[[#This Row],[AVERAGE AQI]]&lt;50,"GOOD",Sheet1__10[[#This Row],[AVERAGE AQI]]&lt;=100,"MODERATE",Sheet1__10[[#This Row],[AVERAGE AQI]]&lt;=150,"BAD",Sheet1__10[[#This Row],[AVERAGE AQI]]&lt;=200,"VERY BAD")</f>
        <v>MODERATE</v>
      </c>
    </row>
    <row r="17" spans="1:27" x14ac:dyDescent="0.3">
      <c r="A17" s="1">
        <v>45916</v>
      </c>
      <c r="B17">
        <v>42</v>
      </c>
      <c r="C17">
        <v>43</v>
      </c>
      <c r="D17">
        <v>44</v>
      </c>
      <c r="E17">
        <v>45</v>
      </c>
      <c r="F17">
        <v>45</v>
      </c>
      <c r="G17">
        <v>45</v>
      </c>
      <c r="H17">
        <v>45</v>
      </c>
      <c r="I17">
        <v>45</v>
      </c>
      <c r="J17">
        <v>46</v>
      </c>
      <c r="K17">
        <v>46</v>
      </c>
      <c r="L17">
        <v>46</v>
      </c>
      <c r="M17">
        <v>46</v>
      </c>
      <c r="N17">
        <v>46</v>
      </c>
      <c r="O17">
        <v>47</v>
      </c>
      <c r="P17">
        <v>48</v>
      </c>
      <c r="Q17">
        <v>51</v>
      </c>
      <c r="R17">
        <v>53</v>
      </c>
      <c r="S17">
        <v>53</v>
      </c>
      <c r="T17">
        <v>51</v>
      </c>
      <c r="U17">
        <v>51</v>
      </c>
      <c r="V17">
        <v>51</v>
      </c>
      <c r="W17">
        <v>50</v>
      </c>
      <c r="X17">
        <v>50</v>
      </c>
      <c r="Y17">
        <v>49</v>
      </c>
      <c r="Z17" s="2">
        <f>AVERAGE(Sheet1__10[[#This Row],[00:00:00]:[23:00:00]])</f>
        <v>47.416666666666664</v>
      </c>
      <c r="AA17" t="str" cm="1">
        <f t="array" ref="AA17">_xlfn.IFS(Sheet1__10[[#This Row],[AVERAGE AQI]]&lt;50,"GOOD",Sheet1__10[[#This Row],[AVERAGE AQI]]&lt;=100,"MODERATE",Sheet1__10[[#This Row],[AVERAGE AQI]]&lt;=150,"BAD",Sheet1__10[[#This Row],[AVERAGE AQI]]&lt;=200,"VERY BAD")</f>
        <v>GOOD</v>
      </c>
    </row>
    <row r="18" spans="1:27" x14ac:dyDescent="0.3">
      <c r="A18" s="1">
        <v>45917</v>
      </c>
      <c r="B18">
        <v>48</v>
      </c>
      <c r="C18">
        <v>48</v>
      </c>
      <c r="D18">
        <v>49</v>
      </c>
      <c r="E18">
        <v>48</v>
      </c>
      <c r="F18">
        <v>48</v>
      </c>
      <c r="G18">
        <v>47</v>
      </c>
      <c r="H18">
        <v>47</v>
      </c>
      <c r="I18">
        <v>47</v>
      </c>
      <c r="J18">
        <v>46</v>
      </c>
      <c r="K18">
        <v>46</v>
      </c>
      <c r="L18">
        <v>46</v>
      </c>
      <c r="M18">
        <v>46</v>
      </c>
      <c r="N18">
        <v>46</v>
      </c>
      <c r="O18">
        <v>46</v>
      </c>
      <c r="P18">
        <v>45</v>
      </c>
      <c r="Q18">
        <v>44</v>
      </c>
      <c r="R18">
        <v>44</v>
      </c>
      <c r="S18">
        <v>44</v>
      </c>
      <c r="T18">
        <v>44</v>
      </c>
      <c r="U18">
        <v>45</v>
      </c>
      <c r="V18">
        <v>44</v>
      </c>
      <c r="W18">
        <v>44</v>
      </c>
      <c r="X18">
        <v>44</v>
      </c>
      <c r="Y18">
        <v>44</v>
      </c>
      <c r="Z18" s="2">
        <f>AVERAGE(Sheet1__10[[#This Row],[00:00:00]:[23:00:00]])</f>
        <v>45.833333333333336</v>
      </c>
      <c r="AA18" t="str" cm="1">
        <f t="array" ref="AA18">_xlfn.IFS(Sheet1__10[[#This Row],[AVERAGE AQI]]&lt;50,"GOOD",Sheet1__10[[#This Row],[AVERAGE AQI]]&lt;=100,"MODERATE",Sheet1__10[[#This Row],[AVERAGE AQI]]&lt;=150,"BAD",Sheet1__10[[#This Row],[AVERAGE AQI]]&lt;=200,"VERY BAD")</f>
        <v>GOOD</v>
      </c>
    </row>
    <row r="19" spans="1:27" x14ac:dyDescent="0.3">
      <c r="A19" s="1">
        <v>45918</v>
      </c>
      <c r="B19">
        <v>43</v>
      </c>
      <c r="C19">
        <v>43</v>
      </c>
      <c r="D19">
        <v>43</v>
      </c>
      <c r="E19">
        <v>43</v>
      </c>
      <c r="F19">
        <v>42</v>
      </c>
      <c r="G19">
        <v>42</v>
      </c>
      <c r="H19">
        <v>42</v>
      </c>
      <c r="I19">
        <v>42</v>
      </c>
      <c r="J19">
        <v>41</v>
      </c>
      <c r="K19">
        <v>40</v>
      </c>
      <c r="L19">
        <v>40</v>
      </c>
      <c r="M19">
        <v>40</v>
      </c>
      <c r="N19">
        <v>40</v>
      </c>
      <c r="O19">
        <v>39</v>
      </c>
      <c r="P19">
        <v>39</v>
      </c>
      <c r="Q19">
        <v>38</v>
      </c>
      <c r="R19">
        <v>38</v>
      </c>
      <c r="S19">
        <v>37</v>
      </c>
      <c r="U19">
        <v>38</v>
      </c>
      <c r="V19">
        <v>38</v>
      </c>
      <c r="W19">
        <v>38</v>
      </c>
      <c r="X19">
        <v>38</v>
      </c>
      <c r="Y19">
        <v>40</v>
      </c>
      <c r="Z19" s="2">
        <f>AVERAGE(Sheet1__10[[#This Row],[00:00:00]:[23:00:00]])</f>
        <v>40.173913043478258</v>
      </c>
      <c r="AA19" t="str" cm="1">
        <f t="array" ref="AA19">_xlfn.IFS(Sheet1__10[[#This Row],[AVERAGE AQI]]&lt;50,"GOOD",Sheet1__10[[#This Row],[AVERAGE AQI]]&lt;=100,"MODERATE",Sheet1__10[[#This Row],[AVERAGE AQI]]&lt;=150,"BAD",Sheet1__10[[#This Row],[AVERAGE AQI]]&lt;=200,"VERY BAD")</f>
        <v>GOOD</v>
      </c>
    </row>
    <row r="20" spans="1:27" x14ac:dyDescent="0.3">
      <c r="A20" s="1">
        <v>45919</v>
      </c>
      <c r="B20">
        <v>40</v>
      </c>
      <c r="C20">
        <v>41</v>
      </c>
      <c r="D20">
        <v>42</v>
      </c>
      <c r="E20">
        <v>42</v>
      </c>
      <c r="F20">
        <v>42</v>
      </c>
      <c r="G20">
        <v>42</v>
      </c>
      <c r="H20">
        <v>42</v>
      </c>
      <c r="I20">
        <v>41</v>
      </c>
      <c r="J20">
        <v>41</v>
      </c>
      <c r="K20">
        <v>41</v>
      </c>
      <c r="L20">
        <v>40</v>
      </c>
      <c r="M20">
        <v>40</v>
      </c>
      <c r="N20">
        <v>40</v>
      </c>
      <c r="O20">
        <v>39</v>
      </c>
      <c r="P20">
        <v>39</v>
      </c>
      <c r="Q20">
        <v>39</v>
      </c>
      <c r="R20">
        <v>39</v>
      </c>
      <c r="S20">
        <v>39</v>
      </c>
      <c r="T20">
        <v>39</v>
      </c>
      <c r="U20">
        <v>39</v>
      </c>
      <c r="V20">
        <v>38</v>
      </c>
      <c r="W20">
        <v>39</v>
      </c>
      <c r="X20">
        <v>39</v>
      </c>
      <c r="Y20">
        <v>38</v>
      </c>
      <c r="Z20" s="2">
        <f>AVERAGE(Sheet1__10[[#This Row],[00:00:00]:[23:00:00]])</f>
        <v>40.041666666666664</v>
      </c>
      <c r="AA20" t="str" cm="1">
        <f t="array" ref="AA20">_xlfn.IFS(Sheet1__10[[#This Row],[AVERAGE AQI]]&lt;50,"GOOD",Sheet1__10[[#This Row],[AVERAGE AQI]]&lt;=100,"MODERATE",Sheet1__10[[#This Row],[AVERAGE AQI]]&lt;=150,"BAD",Sheet1__10[[#This Row],[AVERAGE AQI]]&lt;=200,"VERY BAD")</f>
        <v>GOOD</v>
      </c>
    </row>
    <row r="21" spans="1:27" x14ac:dyDescent="0.3">
      <c r="A21" s="1">
        <v>45920</v>
      </c>
      <c r="B21">
        <v>38</v>
      </c>
      <c r="C21">
        <v>38</v>
      </c>
      <c r="D21">
        <v>38</v>
      </c>
      <c r="E21">
        <v>39</v>
      </c>
      <c r="F21">
        <v>39</v>
      </c>
      <c r="G21">
        <v>39</v>
      </c>
      <c r="H21">
        <v>41</v>
      </c>
      <c r="I21">
        <v>42</v>
      </c>
      <c r="J21">
        <v>42</v>
      </c>
      <c r="K21">
        <v>43</v>
      </c>
      <c r="L21">
        <v>42</v>
      </c>
      <c r="M21">
        <v>43</v>
      </c>
      <c r="N21">
        <v>43</v>
      </c>
      <c r="O21">
        <v>43</v>
      </c>
      <c r="P21">
        <v>43</v>
      </c>
      <c r="Q21">
        <v>43</v>
      </c>
      <c r="R21">
        <v>43</v>
      </c>
      <c r="S21">
        <v>43</v>
      </c>
      <c r="T21">
        <v>43</v>
      </c>
      <c r="U21">
        <v>43</v>
      </c>
      <c r="V21">
        <v>43</v>
      </c>
      <c r="W21">
        <v>44</v>
      </c>
      <c r="X21">
        <v>44</v>
      </c>
      <c r="Y21">
        <v>44</v>
      </c>
      <c r="Z21" s="2">
        <f>AVERAGE(Sheet1__10[[#This Row],[00:00:00]:[23:00:00]])</f>
        <v>41.791666666666664</v>
      </c>
      <c r="AA21" t="str" cm="1">
        <f t="array" ref="AA21">_xlfn.IFS(Sheet1__10[[#This Row],[AVERAGE AQI]]&lt;50,"GOOD",Sheet1__10[[#This Row],[AVERAGE AQI]]&lt;=100,"MODERATE",Sheet1__10[[#This Row],[AVERAGE AQI]]&lt;=150,"BAD",Sheet1__10[[#This Row],[AVERAGE AQI]]&lt;=200,"VERY BAD")</f>
        <v>GOOD</v>
      </c>
    </row>
    <row r="22" spans="1:27" x14ac:dyDescent="0.3">
      <c r="A22" s="1">
        <v>45921</v>
      </c>
      <c r="B22">
        <v>44</v>
      </c>
      <c r="C22">
        <v>43</v>
      </c>
      <c r="D22">
        <v>43</v>
      </c>
      <c r="E22">
        <v>44</v>
      </c>
      <c r="F22">
        <v>44</v>
      </c>
      <c r="G22">
        <v>45</v>
      </c>
      <c r="H22">
        <v>44</v>
      </c>
      <c r="I22">
        <v>44</v>
      </c>
      <c r="J22">
        <v>44</v>
      </c>
      <c r="K22">
        <v>44</v>
      </c>
      <c r="L22">
        <v>44</v>
      </c>
      <c r="M22">
        <v>44</v>
      </c>
      <c r="N22">
        <v>42</v>
      </c>
      <c r="O22">
        <v>42</v>
      </c>
      <c r="P22">
        <v>43</v>
      </c>
      <c r="Q22">
        <v>43</v>
      </c>
      <c r="R22">
        <v>43</v>
      </c>
      <c r="S22">
        <v>42</v>
      </c>
      <c r="T22">
        <v>42</v>
      </c>
      <c r="U22">
        <v>40</v>
      </c>
      <c r="V22">
        <v>40</v>
      </c>
      <c r="W22">
        <v>39</v>
      </c>
      <c r="X22">
        <v>39</v>
      </c>
      <c r="Y22">
        <v>39</v>
      </c>
      <c r="Z22" s="2">
        <f>AVERAGE(Sheet1__10[[#This Row],[00:00:00]:[23:00:00]])</f>
        <v>42.541666666666664</v>
      </c>
      <c r="AA22" t="str" cm="1">
        <f t="array" ref="AA22">_xlfn.IFS(Sheet1__10[[#This Row],[AVERAGE AQI]]&lt;50,"GOOD",Sheet1__10[[#This Row],[AVERAGE AQI]]&lt;=100,"MODERATE",Sheet1__10[[#This Row],[AVERAGE AQI]]&lt;=150,"BAD",Sheet1__10[[#This Row],[AVERAGE AQI]]&lt;=200,"VERY BAD")</f>
        <v>GOOD</v>
      </c>
    </row>
    <row r="23" spans="1:27" x14ac:dyDescent="0.3">
      <c r="A23" s="1">
        <v>45922</v>
      </c>
      <c r="B23">
        <v>39</v>
      </c>
      <c r="C23">
        <v>39</v>
      </c>
      <c r="D23">
        <v>39</v>
      </c>
      <c r="E23">
        <v>39</v>
      </c>
      <c r="F23">
        <v>38</v>
      </c>
      <c r="G23">
        <v>39</v>
      </c>
      <c r="H23">
        <v>38</v>
      </c>
      <c r="I23">
        <v>38</v>
      </c>
      <c r="J23">
        <v>38</v>
      </c>
      <c r="K23">
        <v>39</v>
      </c>
      <c r="L23">
        <v>39</v>
      </c>
      <c r="M23">
        <v>40</v>
      </c>
      <c r="N23">
        <v>40</v>
      </c>
      <c r="O23">
        <v>58</v>
      </c>
      <c r="P23">
        <v>44</v>
      </c>
      <c r="Q23">
        <v>44</v>
      </c>
      <c r="R23">
        <v>41</v>
      </c>
      <c r="S23">
        <v>41</v>
      </c>
      <c r="T23">
        <v>42</v>
      </c>
      <c r="U23">
        <v>42</v>
      </c>
      <c r="V23">
        <v>41</v>
      </c>
      <c r="W23">
        <v>39</v>
      </c>
      <c r="X23">
        <v>40</v>
      </c>
      <c r="Y23">
        <v>40</v>
      </c>
      <c r="Z23" s="2">
        <f>AVERAGE(Sheet1__10[[#This Row],[00:00:00]:[23:00:00]])</f>
        <v>40.708333333333336</v>
      </c>
      <c r="AA23" t="str" cm="1">
        <f t="array" ref="AA23">_xlfn.IFS(Sheet1__10[[#This Row],[AVERAGE AQI]]&lt;50,"GOOD",Sheet1__10[[#This Row],[AVERAGE AQI]]&lt;=100,"MODERATE",Sheet1__10[[#This Row],[AVERAGE AQI]]&lt;=150,"BAD",Sheet1__10[[#This Row],[AVERAGE AQI]]&lt;=200,"VERY BAD")</f>
        <v>GOOD</v>
      </c>
    </row>
    <row r="24" spans="1:27" x14ac:dyDescent="0.3">
      <c r="A24" s="1">
        <v>45923</v>
      </c>
      <c r="B24">
        <v>40</v>
      </c>
      <c r="C24">
        <v>43</v>
      </c>
      <c r="D24">
        <v>41</v>
      </c>
      <c r="E24">
        <v>40</v>
      </c>
      <c r="F24">
        <v>40</v>
      </c>
      <c r="G24">
        <v>40</v>
      </c>
      <c r="H24">
        <v>40</v>
      </c>
      <c r="I24">
        <v>40</v>
      </c>
      <c r="J24">
        <v>40</v>
      </c>
      <c r="K24">
        <v>40</v>
      </c>
      <c r="L24">
        <v>40</v>
      </c>
      <c r="M24">
        <v>41</v>
      </c>
      <c r="N24">
        <v>42</v>
      </c>
      <c r="O24">
        <v>41</v>
      </c>
      <c r="P24">
        <v>43</v>
      </c>
      <c r="Q24">
        <v>44</v>
      </c>
      <c r="R24">
        <v>45</v>
      </c>
      <c r="S24">
        <v>47</v>
      </c>
      <c r="T24">
        <v>47</v>
      </c>
      <c r="U24">
        <v>48</v>
      </c>
      <c r="V24">
        <v>48</v>
      </c>
      <c r="W24">
        <v>49</v>
      </c>
      <c r="X24">
        <v>49</v>
      </c>
      <c r="Y24">
        <v>50</v>
      </c>
      <c r="Z24" s="2">
        <f>AVERAGE(Sheet1__10[[#This Row],[00:00:00]:[23:00:00]])</f>
        <v>43.25</v>
      </c>
      <c r="AA24" t="str" cm="1">
        <f t="array" ref="AA24">_xlfn.IFS(Sheet1__10[[#This Row],[AVERAGE AQI]]&lt;50,"GOOD",Sheet1__10[[#This Row],[AVERAGE AQI]]&lt;=100,"MODERATE",Sheet1__10[[#This Row],[AVERAGE AQI]]&lt;=150,"BAD",Sheet1__10[[#This Row],[AVERAGE AQI]]&lt;=200,"VERY BAD")</f>
        <v>GOOD</v>
      </c>
    </row>
    <row r="25" spans="1:27" x14ac:dyDescent="0.3">
      <c r="A25" s="1">
        <v>45924</v>
      </c>
      <c r="B25">
        <v>51</v>
      </c>
      <c r="C25">
        <v>52</v>
      </c>
      <c r="D25">
        <v>52</v>
      </c>
      <c r="E25">
        <v>52</v>
      </c>
      <c r="F25">
        <v>53</v>
      </c>
      <c r="G25">
        <v>53</v>
      </c>
      <c r="H25">
        <v>53</v>
      </c>
      <c r="I25">
        <v>53</v>
      </c>
      <c r="J25">
        <v>54</v>
      </c>
      <c r="K25">
        <v>53</v>
      </c>
      <c r="L25">
        <v>53</v>
      </c>
      <c r="M25">
        <v>53</v>
      </c>
      <c r="N25">
        <v>52</v>
      </c>
      <c r="O25">
        <v>52</v>
      </c>
      <c r="P25">
        <v>51</v>
      </c>
      <c r="Q25">
        <v>50</v>
      </c>
      <c r="R25">
        <v>49</v>
      </c>
      <c r="S25">
        <v>49</v>
      </c>
      <c r="T25">
        <v>48</v>
      </c>
      <c r="U25">
        <v>48</v>
      </c>
      <c r="V25">
        <v>47</v>
      </c>
      <c r="W25">
        <v>47</v>
      </c>
      <c r="X25">
        <v>46</v>
      </c>
      <c r="Y25">
        <v>46</v>
      </c>
      <c r="Z25" s="2">
        <f>AVERAGE(Sheet1__10[[#This Row],[00:00:00]:[23:00:00]])</f>
        <v>50.708333333333336</v>
      </c>
      <c r="AA25" t="str" cm="1">
        <f t="array" ref="AA25">_xlfn.IFS(Sheet1__10[[#This Row],[AVERAGE AQI]]&lt;50,"GOOD",Sheet1__10[[#This Row],[AVERAGE AQI]]&lt;=100,"MODERATE",Sheet1__10[[#This Row],[AVERAGE AQI]]&lt;=150,"BAD",Sheet1__10[[#This Row],[AVERAGE AQI]]&lt;=200,"VERY BAD")</f>
        <v>MODERATE</v>
      </c>
    </row>
    <row r="26" spans="1:27" x14ac:dyDescent="0.3">
      <c r="A26" s="1">
        <v>45925</v>
      </c>
      <c r="B26">
        <v>46</v>
      </c>
      <c r="C26">
        <v>46</v>
      </c>
      <c r="D26">
        <v>45</v>
      </c>
      <c r="E26">
        <v>45</v>
      </c>
      <c r="F26">
        <v>45</v>
      </c>
      <c r="G26">
        <v>46</v>
      </c>
      <c r="H26">
        <v>46</v>
      </c>
      <c r="I26">
        <v>44</v>
      </c>
      <c r="J26">
        <v>44</v>
      </c>
      <c r="K26">
        <v>43</v>
      </c>
      <c r="L26">
        <v>44</v>
      </c>
      <c r="M26">
        <v>44</v>
      </c>
      <c r="N26">
        <v>45</v>
      </c>
      <c r="O26">
        <v>45</v>
      </c>
      <c r="P26">
        <v>44</v>
      </c>
      <c r="Q26">
        <v>44</v>
      </c>
      <c r="R26">
        <v>44</v>
      </c>
      <c r="S26">
        <v>44</v>
      </c>
      <c r="T26">
        <v>44</v>
      </c>
      <c r="U26">
        <v>44</v>
      </c>
      <c r="V26">
        <v>44</v>
      </c>
      <c r="W26">
        <v>44</v>
      </c>
      <c r="X26">
        <v>44</v>
      </c>
      <c r="Y26">
        <v>44</v>
      </c>
      <c r="Z26" s="2">
        <f>AVERAGE(Sheet1__10[[#This Row],[00:00:00]:[23:00:00]])</f>
        <v>44.5</v>
      </c>
      <c r="AA26" t="str" cm="1">
        <f t="array" ref="AA26">_xlfn.IFS(Sheet1__10[[#This Row],[AVERAGE AQI]]&lt;50,"GOOD",Sheet1__10[[#This Row],[AVERAGE AQI]]&lt;=100,"MODERATE",Sheet1__10[[#This Row],[AVERAGE AQI]]&lt;=150,"BAD",Sheet1__10[[#This Row],[AVERAGE AQI]]&lt;=200,"VERY BAD")</f>
        <v>GOOD</v>
      </c>
    </row>
    <row r="27" spans="1:27" x14ac:dyDescent="0.3">
      <c r="A27" s="1">
        <v>45926</v>
      </c>
      <c r="B27">
        <v>47</v>
      </c>
      <c r="C27">
        <v>48</v>
      </c>
      <c r="D27">
        <v>48</v>
      </c>
      <c r="E27">
        <v>49</v>
      </c>
      <c r="F27">
        <v>50</v>
      </c>
      <c r="G27">
        <v>50</v>
      </c>
      <c r="H27">
        <v>51</v>
      </c>
      <c r="I27">
        <v>52</v>
      </c>
      <c r="J27">
        <v>53</v>
      </c>
      <c r="K27">
        <v>56</v>
      </c>
      <c r="L27">
        <v>57</v>
      </c>
      <c r="N27">
        <v>58</v>
      </c>
      <c r="O27">
        <v>59</v>
      </c>
      <c r="P27">
        <v>59</v>
      </c>
      <c r="Q27">
        <v>61</v>
      </c>
      <c r="R27">
        <v>62</v>
      </c>
      <c r="S27">
        <v>63</v>
      </c>
      <c r="T27">
        <v>63</v>
      </c>
      <c r="U27">
        <v>63</v>
      </c>
      <c r="V27">
        <v>63</v>
      </c>
      <c r="W27">
        <v>63</v>
      </c>
      <c r="X27">
        <v>63</v>
      </c>
      <c r="Y27">
        <v>64</v>
      </c>
      <c r="Z27" s="2">
        <f>AVERAGE(Sheet1__10[[#This Row],[00:00:00]:[23:00:00]])</f>
        <v>56.608695652173914</v>
      </c>
      <c r="AA27" t="str" cm="1">
        <f t="array" ref="AA27">_xlfn.IFS(Sheet1__10[[#This Row],[AVERAGE AQI]]&lt;50,"GOOD",Sheet1__10[[#This Row],[AVERAGE AQI]]&lt;=100,"MODERATE",Sheet1__10[[#This Row],[AVERAGE AQI]]&lt;=150,"BAD",Sheet1__10[[#This Row],[AVERAGE AQI]]&lt;=200,"VERY BAD")</f>
        <v>MODERATE</v>
      </c>
    </row>
    <row r="28" spans="1:27" x14ac:dyDescent="0.3">
      <c r="A28" s="1">
        <v>45927</v>
      </c>
      <c r="B28">
        <v>64</v>
      </c>
      <c r="C28">
        <v>64</v>
      </c>
      <c r="D28">
        <v>65</v>
      </c>
      <c r="E28">
        <v>65</v>
      </c>
      <c r="F28">
        <v>64</v>
      </c>
      <c r="G28">
        <v>64</v>
      </c>
      <c r="H28">
        <v>64</v>
      </c>
      <c r="I28">
        <v>64</v>
      </c>
      <c r="J28">
        <v>64</v>
      </c>
      <c r="K28">
        <v>63</v>
      </c>
      <c r="L28">
        <v>61</v>
      </c>
      <c r="M28">
        <v>61</v>
      </c>
      <c r="N28">
        <v>59</v>
      </c>
      <c r="O28">
        <v>58</v>
      </c>
      <c r="P28">
        <v>57</v>
      </c>
      <c r="Q28">
        <v>56</v>
      </c>
      <c r="R28">
        <v>56</v>
      </c>
      <c r="S28">
        <v>55</v>
      </c>
      <c r="T28">
        <v>54</v>
      </c>
      <c r="U28">
        <v>54</v>
      </c>
      <c r="V28">
        <v>54</v>
      </c>
      <c r="W28">
        <v>53</v>
      </c>
      <c r="X28">
        <v>53</v>
      </c>
      <c r="Y28">
        <v>52</v>
      </c>
      <c r="Z28" s="2">
        <f>AVERAGE(Sheet1__10[[#This Row],[00:00:00]:[23:00:00]])</f>
        <v>59.333333333333336</v>
      </c>
      <c r="AA28" t="str" cm="1">
        <f t="array" ref="AA28">_xlfn.IFS(Sheet1__10[[#This Row],[AVERAGE AQI]]&lt;50,"GOOD",Sheet1__10[[#This Row],[AVERAGE AQI]]&lt;=100,"MODERATE",Sheet1__10[[#This Row],[AVERAGE AQI]]&lt;=150,"BAD",Sheet1__10[[#This Row],[AVERAGE AQI]]&lt;=200,"VERY BAD")</f>
        <v>MODERATE</v>
      </c>
    </row>
    <row r="29" spans="1:27" x14ac:dyDescent="0.3">
      <c r="A29" s="1">
        <v>45928</v>
      </c>
      <c r="B29">
        <v>51</v>
      </c>
      <c r="C29">
        <v>49</v>
      </c>
      <c r="D29">
        <v>48</v>
      </c>
      <c r="E29">
        <v>46</v>
      </c>
      <c r="F29">
        <v>46</v>
      </c>
      <c r="G29">
        <v>45</v>
      </c>
      <c r="H29">
        <v>44</v>
      </c>
      <c r="I29">
        <v>44</v>
      </c>
      <c r="J29">
        <v>44</v>
      </c>
      <c r="K29">
        <v>44</v>
      </c>
      <c r="L29">
        <v>44</v>
      </c>
      <c r="M29">
        <v>44</v>
      </c>
      <c r="N29">
        <v>44</v>
      </c>
      <c r="O29">
        <v>44</v>
      </c>
      <c r="P29">
        <v>45</v>
      </c>
      <c r="Q29">
        <v>45</v>
      </c>
      <c r="R29">
        <v>44</v>
      </c>
      <c r="S29">
        <v>44</v>
      </c>
      <c r="T29">
        <v>44</v>
      </c>
      <c r="U29">
        <v>44</v>
      </c>
      <c r="V29">
        <v>44</v>
      </c>
      <c r="W29">
        <v>44</v>
      </c>
      <c r="X29">
        <v>45</v>
      </c>
      <c r="Y29">
        <v>45</v>
      </c>
      <c r="Z29" s="2">
        <f>AVERAGE(Sheet1__10[[#This Row],[00:00:00]:[23:00:00]])</f>
        <v>45.041666666666664</v>
      </c>
      <c r="AA29" t="str" cm="1">
        <f t="array" ref="AA29">_xlfn.IFS(Sheet1__10[[#This Row],[AVERAGE AQI]]&lt;50,"GOOD",Sheet1__10[[#This Row],[AVERAGE AQI]]&lt;=100,"MODERATE",Sheet1__10[[#This Row],[AVERAGE AQI]]&lt;=150,"BAD",Sheet1__10[[#This Row],[AVERAGE AQI]]&lt;=200,"VERY BAD")</f>
        <v>GOOD</v>
      </c>
    </row>
    <row r="30" spans="1:27" x14ac:dyDescent="0.3">
      <c r="A30" s="1">
        <v>45929</v>
      </c>
      <c r="B30">
        <v>45</v>
      </c>
      <c r="C30">
        <v>45</v>
      </c>
      <c r="D30">
        <v>45</v>
      </c>
      <c r="E30">
        <v>47</v>
      </c>
      <c r="F30">
        <v>47</v>
      </c>
      <c r="G30">
        <v>47</v>
      </c>
      <c r="H30">
        <v>47</v>
      </c>
      <c r="I30">
        <v>47</v>
      </c>
      <c r="J30">
        <v>46</v>
      </c>
      <c r="K30">
        <v>46</v>
      </c>
      <c r="L30">
        <v>45</v>
      </c>
      <c r="M30">
        <v>46</v>
      </c>
      <c r="N30">
        <v>45</v>
      </c>
      <c r="O30">
        <v>45</v>
      </c>
      <c r="P30">
        <v>46</v>
      </c>
      <c r="Q30">
        <v>46</v>
      </c>
      <c r="R30">
        <v>47</v>
      </c>
      <c r="S30">
        <v>47</v>
      </c>
      <c r="T30">
        <v>48</v>
      </c>
      <c r="U30">
        <v>48</v>
      </c>
      <c r="V30">
        <v>49</v>
      </c>
      <c r="W30">
        <v>50</v>
      </c>
      <c r="X30">
        <v>51</v>
      </c>
      <c r="Y30">
        <v>51</v>
      </c>
      <c r="Z30" s="2">
        <f>AVERAGE(Sheet1__10[[#This Row],[00:00:00]:[23:00:00]])</f>
        <v>46.916666666666664</v>
      </c>
      <c r="AA30" t="str" cm="1">
        <f t="array" ref="AA30">_xlfn.IFS(Sheet1__10[[#This Row],[AVERAGE AQI]]&lt;50,"GOOD",Sheet1__10[[#This Row],[AVERAGE AQI]]&lt;=100,"MODERATE",Sheet1__10[[#This Row],[AVERAGE AQI]]&lt;=150,"BAD",Sheet1__10[[#This Row],[AVERAGE AQI]]&lt;=200,"VERY BAD")</f>
        <v>GOOD</v>
      </c>
    </row>
    <row r="31" spans="1:27" x14ac:dyDescent="0.3">
      <c r="A31" s="1">
        <v>45930</v>
      </c>
      <c r="B31">
        <v>51</v>
      </c>
      <c r="C31">
        <v>51</v>
      </c>
      <c r="D31">
        <v>51</v>
      </c>
      <c r="E31">
        <v>52</v>
      </c>
      <c r="F31">
        <v>51</v>
      </c>
      <c r="G31">
        <v>51</v>
      </c>
      <c r="H31">
        <v>51</v>
      </c>
      <c r="I31">
        <v>52</v>
      </c>
      <c r="J31">
        <v>52</v>
      </c>
      <c r="K31">
        <v>52</v>
      </c>
      <c r="L31">
        <v>52</v>
      </c>
      <c r="M31">
        <v>52</v>
      </c>
      <c r="N31">
        <v>51</v>
      </c>
      <c r="O31">
        <v>51</v>
      </c>
      <c r="P31">
        <v>50</v>
      </c>
      <c r="Q31">
        <v>49</v>
      </c>
      <c r="R31">
        <v>49</v>
      </c>
      <c r="S31">
        <v>48</v>
      </c>
      <c r="T31">
        <v>47</v>
      </c>
      <c r="U31">
        <v>47</v>
      </c>
      <c r="V31">
        <v>47</v>
      </c>
      <c r="W31">
        <v>46</v>
      </c>
      <c r="X31">
        <v>46</v>
      </c>
      <c r="Y31">
        <v>46</v>
      </c>
      <c r="Z31" s="2">
        <f>AVERAGE(Sheet1__10[[#This Row],[00:00:00]:[23:00:00]])</f>
        <v>49.791666666666664</v>
      </c>
      <c r="AA31" t="str" cm="1">
        <f t="array" ref="AA31">_xlfn.IFS(Sheet1__10[[#This Row],[AVERAGE AQI]]&lt;50,"GOOD",Sheet1__10[[#This Row],[AVERAGE AQI]]&lt;=100,"MODERATE",Sheet1__10[[#This Row],[AVERAGE AQI]]&lt;=150,"BAD",Sheet1__10[[#This Row],[AVERAGE AQI]]&lt;=200,"VERY BAD")</f>
        <v>GOOD</v>
      </c>
    </row>
    <row r="32" spans="1:27" x14ac:dyDescent="0.3">
      <c r="Z32" s="2">
        <f>AVERAGE(Sheet1__10[AVERAGE AQI])</f>
        <v>50.561111111111117</v>
      </c>
    </row>
  </sheetData>
  <conditionalFormatting sqref="AA1:AA1048576">
    <cfRule type="containsText" dxfId="14" priority="1" operator="containsText" text="MODERATE">
      <formula>NOT(ISERROR(SEARCH("MODERATE",AA1)))</formula>
    </cfRule>
    <cfRule type="containsText" dxfId="13" priority="2" operator="containsText" text="GOOD">
      <formula>NOT(ISERROR(SEARCH("GOOD",AA1)))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60618-84A1-4348-9BB3-7AC3B8C21A7A}">
  <dimension ref="A1:AD33"/>
  <sheetViews>
    <sheetView topLeftCell="M1" workbookViewId="0">
      <selection activeCell="Z2" sqref="Z2"/>
    </sheetView>
  </sheetViews>
  <sheetFormatPr defaultRowHeight="14.4" x14ac:dyDescent="0.3"/>
  <cols>
    <col min="1" max="25" width="10.33203125" bestFit="1" customWidth="1"/>
    <col min="26" max="26" width="11.21875" bestFit="1" customWidth="1"/>
    <col min="27" max="27" width="17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28</v>
      </c>
      <c r="AA1" t="s">
        <v>26</v>
      </c>
      <c r="AC1" t="s">
        <v>27</v>
      </c>
      <c r="AD1" s="2">
        <f>AVERAGE(Sheet1__11[AVERAGE AQI])</f>
        <v>95.598059841047231</v>
      </c>
    </row>
    <row r="2" spans="1:30" x14ac:dyDescent="0.3">
      <c r="A2" s="1">
        <v>45931</v>
      </c>
      <c r="B2">
        <v>47</v>
      </c>
      <c r="C2">
        <v>47</v>
      </c>
      <c r="D2">
        <v>48</v>
      </c>
      <c r="E2">
        <v>49</v>
      </c>
      <c r="F2">
        <v>49</v>
      </c>
      <c r="G2">
        <v>49</v>
      </c>
      <c r="H2">
        <v>49</v>
      </c>
      <c r="I2">
        <v>49</v>
      </c>
      <c r="J2">
        <v>48</v>
      </c>
      <c r="K2">
        <v>48</v>
      </c>
      <c r="L2">
        <v>48</v>
      </c>
      <c r="M2">
        <v>48</v>
      </c>
      <c r="N2">
        <v>48</v>
      </c>
      <c r="O2">
        <v>48</v>
      </c>
      <c r="P2">
        <v>49</v>
      </c>
      <c r="Q2">
        <v>49</v>
      </c>
      <c r="R2">
        <v>49</v>
      </c>
      <c r="S2">
        <v>49</v>
      </c>
      <c r="T2">
        <v>49</v>
      </c>
      <c r="U2">
        <v>50</v>
      </c>
      <c r="V2">
        <v>50</v>
      </c>
      <c r="W2">
        <v>49</v>
      </c>
      <c r="X2">
        <v>49</v>
      </c>
      <c r="Y2">
        <v>48</v>
      </c>
      <c r="Z2" s="2">
        <f>AVERAGE(Sheet1__11[[#This Row],[00:00:00]:[23:00:00]])</f>
        <v>48.583333333333336</v>
      </c>
      <c r="AA2" t="str" cm="1">
        <f t="array" ref="AA2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GOOD</v>
      </c>
    </row>
    <row r="3" spans="1:30" x14ac:dyDescent="0.3">
      <c r="A3" s="1">
        <v>45932</v>
      </c>
      <c r="B3">
        <v>48</v>
      </c>
      <c r="C3">
        <v>48</v>
      </c>
      <c r="D3">
        <v>49</v>
      </c>
      <c r="E3">
        <v>50</v>
      </c>
      <c r="F3">
        <v>50</v>
      </c>
      <c r="G3">
        <v>50</v>
      </c>
      <c r="H3">
        <v>50</v>
      </c>
      <c r="I3">
        <v>50</v>
      </c>
      <c r="J3">
        <v>50</v>
      </c>
      <c r="K3">
        <v>50</v>
      </c>
      <c r="L3">
        <v>49</v>
      </c>
      <c r="M3">
        <v>48</v>
      </c>
      <c r="N3">
        <v>48</v>
      </c>
      <c r="O3">
        <v>47</v>
      </c>
      <c r="P3">
        <v>46</v>
      </c>
      <c r="Q3">
        <v>47</v>
      </c>
      <c r="R3">
        <v>47</v>
      </c>
      <c r="S3">
        <v>46</v>
      </c>
      <c r="T3">
        <v>46</v>
      </c>
      <c r="U3">
        <v>45</v>
      </c>
      <c r="V3">
        <v>44</v>
      </c>
      <c r="W3">
        <v>44</v>
      </c>
      <c r="X3">
        <v>44</v>
      </c>
      <c r="Y3">
        <v>44</v>
      </c>
      <c r="Z3" s="2">
        <f>AVERAGE(Sheet1__11[[#This Row],[00:00:00]:[23:00:00]])</f>
        <v>47.5</v>
      </c>
      <c r="AA3" t="str" cm="1">
        <f t="array" ref="AA3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GOOD</v>
      </c>
    </row>
    <row r="4" spans="1:30" x14ac:dyDescent="0.3">
      <c r="A4" s="1">
        <v>45933</v>
      </c>
      <c r="B4">
        <v>43</v>
      </c>
      <c r="C4">
        <v>44</v>
      </c>
      <c r="D4">
        <v>44</v>
      </c>
      <c r="E4">
        <v>44</v>
      </c>
      <c r="F4">
        <v>44</v>
      </c>
      <c r="G4">
        <v>45</v>
      </c>
      <c r="H4">
        <v>45</v>
      </c>
      <c r="I4">
        <v>46</v>
      </c>
      <c r="J4">
        <v>46</v>
      </c>
      <c r="K4">
        <v>46</v>
      </c>
      <c r="L4">
        <v>46</v>
      </c>
      <c r="M4">
        <v>46</v>
      </c>
      <c r="N4">
        <v>44</v>
      </c>
      <c r="O4">
        <v>44</v>
      </c>
      <c r="P4">
        <v>44</v>
      </c>
      <c r="Q4">
        <v>42</v>
      </c>
      <c r="R4">
        <v>42</v>
      </c>
      <c r="S4">
        <v>43</v>
      </c>
      <c r="T4">
        <v>43</v>
      </c>
      <c r="U4">
        <v>44</v>
      </c>
      <c r="V4">
        <v>44</v>
      </c>
      <c r="W4">
        <v>44</v>
      </c>
      <c r="X4">
        <v>45</v>
      </c>
      <c r="Y4">
        <v>45</v>
      </c>
      <c r="Z4" s="2">
        <f>AVERAGE(Sheet1__11[[#This Row],[00:00:00]:[23:00:00]])</f>
        <v>44.291666666666664</v>
      </c>
      <c r="AA4" t="str" cm="1">
        <f t="array" ref="AA4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GOOD</v>
      </c>
    </row>
    <row r="5" spans="1:30" x14ac:dyDescent="0.3">
      <c r="A5" s="1">
        <v>45934</v>
      </c>
      <c r="B5">
        <v>46</v>
      </c>
      <c r="C5">
        <v>46</v>
      </c>
      <c r="D5">
        <v>47</v>
      </c>
      <c r="E5">
        <v>46</v>
      </c>
      <c r="F5">
        <v>46</v>
      </c>
      <c r="G5">
        <v>46</v>
      </c>
      <c r="H5">
        <v>46</v>
      </c>
      <c r="I5">
        <v>46</v>
      </c>
      <c r="J5">
        <v>46</v>
      </c>
      <c r="K5">
        <v>46</v>
      </c>
      <c r="L5">
        <v>47</v>
      </c>
      <c r="M5">
        <v>47</v>
      </c>
      <c r="N5">
        <v>47</v>
      </c>
      <c r="O5">
        <v>47</v>
      </c>
      <c r="P5">
        <v>48</v>
      </c>
      <c r="Q5">
        <v>48</v>
      </c>
      <c r="R5">
        <v>48</v>
      </c>
      <c r="S5">
        <v>48</v>
      </c>
      <c r="T5">
        <v>48</v>
      </c>
      <c r="U5">
        <v>48</v>
      </c>
      <c r="V5">
        <v>47</v>
      </c>
      <c r="W5">
        <v>47</v>
      </c>
      <c r="X5">
        <v>47</v>
      </c>
      <c r="Y5">
        <v>47</v>
      </c>
      <c r="Z5" s="2">
        <f>AVERAGE(Sheet1__11[[#This Row],[00:00:00]:[23:00:00]])</f>
        <v>46.875</v>
      </c>
      <c r="AA5" t="str" cm="1">
        <f t="array" ref="AA5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GOOD</v>
      </c>
    </row>
    <row r="6" spans="1:30" x14ac:dyDescent="0.3">
      <c r="A6" s="1">
        <v>45935</v>
      </c>
      <c r="B6">
        <v>48</v>
      </c>
      <c r="C6">
        <v>49</v>
      </c>
      <c r="D6">
        <v>50</v>
      </c>
      <c r="E6">
        <v>51</v>
      </c>
      <c r="F6">
        <v>52</v>
      </c>
      <c r="G6">
        <v>54</v>
      </c>
      <c r="H6">
        <v>55</v>
      </c>
      <c r="I6">
        <v>56</v>
      </c>
      <c r="J6">
        <v>57</v>
      </c>
      <c r="K6">
        <v>58</v>
      </c>
      <c r="L6">
        <v>58</v>
      </c>
      <c r="M6">
        <v>59</v>
      </c>
      <c r="N6">
        <v>59</v>
      </c>
      <c r="O6">
        <v>60</v>
      </c>
      <c r="P6">
        <v>60</v>
      </c>
      <c r="Q6">
        <v>60</v>
      </c>
      <c r="R6">
        <v>61</v>
      </c>
      <c r="S6">
        <v>62</v>
      </c>
      <c r="T6">
        <v>62</v>
      </c>
      <c r="U6">
        <v>63</v>
      </c>
      <c r="V6">
        <v>63</v>
      </c>
      <c r="W6">
        <v>64</v>
      </c>
      <c r="X6">
        <v>65</v>
      </c>
      <c r="Y6">
        <v>66</v>
      </c>
      <c r="Z6" s="2">
        <f>AVERAGE(Sheet1__11[[#This Row],[00:00:00]:[23:00:00]])</f>
        <v>58</v>
      </c>
      <c r="AA6" t="str" cm="1">
        <f t="array" ref="AA6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7" spans="1:30" x14ac:dyDescent="0.3">
      <c r="A7" s="1">
        <v>45936</v>
      </c>
      <c r="B7">
        <v>66</v>
      </c>
      <c r="C7">
        <v>66</v>
      </c>
      <c r="D7">
        <v>66</v>
      </c>
      <c r="E7">
        <v>65</v>
      </c>
      <c r="F7">
        <v>65</v>
      </c>
      <c r="G7">
        <v>65</v>
      </c>
      <c r="H7">
        <v>65</v>
      </c>
      <c r="I7">
        <v>65</v>
      </c>
      <c r="J7">
        <v>64</v>
      </c>
      <c r="K7">
        <v>64</v>
      </c>
      <c r="L7">
        <v>64</v>
      </c>
      <c r="M7">
        <v>64</v>
      </c>
      <c r="N7">
        <v>65</v>
      </c>
      <c r="O7">
        <v>65</v>
      </c>
      <c r="P7">
        <v>66</v>
      </c>
      <c r="Q7">
        <v>66</v>
      </c>
      <c r="R7">
        <v>66</v>
      </c>
      <c r="S7">
        <v>65</v>
      </c>
      <c r="T7">
        <v>65</v>
      </c>
      <c r="U7">
        <v>64</v>
      </c>
      <c r="V7">
        <v>63</v>
      </c>
      <c r="W7">
        <v>63</v>
      </c>
      <c r="X7">
        <v>63</v>
      </c>
      <c r="Y7">
        <v>62</v>
      </c>
      <c r="Z7" s="2">
        <f>AVERAGE(Sheet1__11[[#This Row],[00:00:00]:[23:00:00]])</f>
        <v>64.666666666666671</v>
      </c>
      <c r="AA7" t="str" cm="1">
        <f t="array" ref="AA7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8" spans="1:30" x14ac:dyDescent="0.3">
      <c r="A8" s="1">
        <v>45937</v>
      </c>
      <c r="B8">
        <v>62</v>
      </c>
      <c r="C8">
        <v>62</v>
      </c>
      <c r="D8">
        <v>62</v>
      </c>
      <c r="E8">
        <v>61</v>
      </c>
      <c r="F8">
        <v>61</v>
      </c>
      <c r="G8">
        <v>60</v>
      </c>
      <c r="H8">
        <v>59</v>
      </c>
      <c r="I8">
        <v>58</v>
      </c>
      <c r="J8">
        <v>56</v>
      </c>
      <c r="K8">
        <v>56</v>
      </c>
      <c r="L8">
        <v>55</v>
      </c>
      <c r="M8">
        <v>55</v>
      </c>
      <c r="N8">
        <v>55</v>
      </c>
      <c r="O8">
        <v>54</v>
      </c>
      <c r="P8">
        <v>54</v>
      </c>
      <c r="Q8">
        <v>54</v>
      </c>
      <c r="R8">
        <v>53</v>
      </c>
      <c r="S8">
        <v>54</v>
      </c>
      <c r="T8">
        <v>54</v>
      </c>
      <c r="U8">
        <v>54</v>
      </c>
      <c r="V8">
        <v>54</v>
      </c>
      <c r="W8">
        <v>54</v>
      </c>
      <c r="X8">
        <v>54</v>
      </c>
      <c r="Y8">
        <v>57</v>
      </c>
      <c r="Z8" s="2">
        <f>AVERAGE(Sheet1__11[[#This Row],[00:00:00]:[23:00:00]])</f>
        <v>56.583333333333336</v>
      </c>
      <c r="AA8" t="str" cm="1">
        <f t="array" ref="AA8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9" spans="1:30" x14ac:dyDescent="0.3">
      <c r="A9" s="1">
        <v>45938</v>
      </c>
      <c r="B9">
        <v>57</v>
      </c>
      <c r="C9">
        <v>58</v>
      </c>
      <c r="D9">
        <v>60</v>
      </c>
      <c r="E9">
        <v>60</v>
      </c>
      <c r="F9">
        <v>61</v>
      </c>
      <c r="G9">
        <v>65</v>
      </c>
      <c r="H9">
        <v>64</v>
      </c>
      <c r="I9">
        <v>62</v>
      </c>
      <c r="J9">
        <v>67</v>
      </c>
      <c r="K9">
        <v>69</v>
      </c>
      <c r="L9">
        <v>68</v>
      </c>
      <c r="M9">
        <v>68</v>
      </c>
      <c r="N9">
        <v>69</v>
      </c>
      <c r="O9">
        <v>69</v>
      </c>
      <c r="P9">
        <v>68</v>
      </c>
      <c r="Q9">
        <v>69</v>
      </c>
      <c r="R9">
        <v>70</v>
      </c>
      <c r="S9">
        <v>70</v>
      </c>
      <c r="T9">
        <v>71</v>
      </c>
      <c r="U9">
        <v>72</v>
      </c>
      <c r="V9">
        <v>72</v>
      </c>
      <c r="W9">
        <v>73</v>
      </c>
      <c r="X9">
        <v>73</v>
      </c>
      <c r="Y9">
        <v>72</v>
      </c>
      <c r="Z9" s="2">
        <f>AVERAGE(Sheet1__11[[#This Row],[00:00:00]:[23:00:00]])</f>
        <v>66.958333333333329</v>
      </c>
      <c r="AA9" t="str" cm="1">
        <f t="array" ref="AA9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10" spans="1:30" x14ac:dyDescent="0.3">
      <c r="A10" s="1">
        <v>45939</v>
      </c>
      <c r="B10">
        <v>73</v>
      </c>
      <c r="C10">
        <v>75</v>
      </c>
      <c r="D10">
        <v>78</v>
      </c>
      <c r="E10">
        <v>80</v>
      </c>
      <c r="F10">
        <v>81</v>
      </c>
      <c r="G10">
        <v>78</v>
      </c>
      <c r="H10">
        <v>80</v>
      </c>
      <c r="I10">
        <v>80</v>
      </c>
      <c r="J10">
        <v>83</v>
      </c>
      <c r="K10">
        <v>83</v>
      </c>
      <c r="L10">
        <v>83</v>
      </c>
      <c r="M10">
        <v>83</v>
      </c>
      <c r="N10">
        <v>86</v>
      </c>
      <c r="O10">
        <v>87</v>
      </c>
      <c r="P10">
        <v>96</v>
      </c>
      <c r="Q10">
        <v>99</v>
      </c>
      <c r="R10">
        <v>94</v>
      </c>
      <c r="S10">
        <v>94</v>
      </c>
      <c r="U10">
        <v>103</v>
      </c>
      <c r="V10">
        <v>105</v>
      </c>
      <c r="W10">
        <v>105</v>
      </c>
      <c r="X10">
        <v>108</v>
      </c>
      <c r="Y10">
        <v>110</v>
      </c>
      <c r="Z10" s="2">
        <f>AVERAGE(Sheet1__11[[#This Row],[00:00:00]:[23:00:00]])</f>
        <v>88.869565217391298</v>
      </c>
      <c r="AA10" t="str" cm="1">
        <f t="array" ref="AA10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11" spans="1:30" x14ac:dyDescent="0.3">
      <c r="A11" s="1">
        <v>45940</v>
      </c>
      <c r="B11">
        <v>113</v>
      </c>
      <c r="C11">
        <v>115</v>
      </c>
      <c r="D11">
        <v>116</v>
      </c>
      <c r="E11">
        <v>117</v>
      </c>
      <c r="F11">
        <v>118</v>
      </c>
      <c r="G11">
        <v>121</v>
      </c>
      <c r="H11">
        <v>122</v>
      </c>
      <c r="I11">
        <v>123</v>
      </c>
      <c r="J11">
        <v>124</v>
      </c>
      <c r="K11">
        <v>126</v>
      </c>
      <c r="L11">
        <v>122</v>
      </c>
      <c r="M11">
        <v>127</v>
      </c>
      <c r="N11">
        <v>132</v>
      </c>
      <c r="O11">
        <v>131</v>
      </c>
      <c r="P11">
        <v>132</v>
      </c>
      <c r="Q11">
        <v>132</v>
      </c>
      <c r="R11">
        <v>134</v>
      </c>
      <c r="S11">
        <v>130</v>
      </c>
      <c r="T11">
        <v>130</v>
      </c>
      <c r="U11">
        <v>132</v>
      </c>
      <c r="V11">
        <v>132</v>
      </c>
      <c r="W11">
        <v>131</v>
      </c>
      <c r="X11">
        <v>131</v>
      </c>
      <c r="Y11">
        <v>132</v>
      </c>
      <c r="Z11" s="2">
        <f>AVERAGE(Sheet1__11[[#This Row],[00:00:00]:[23:00:00]])</f>
        <v>125.95833333333333</v>
      </c>
      <c r="AA11" t="str" cm="1">
        <f t="array" ref="AA11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2" spans="1:30" x14ac:dyDescent="0.3">
      <c r="A12" s="1">
        <v>45941</v>
      </c>
      <c r="B12">
        <v>133</v>
      </c>
      <c r="C12">
        <v>133</v>
      </c>
      <c r="D12">
        <v>134</v>
      </c>
      <c r="E12">
        <v>135</v>
      </c>
      <c r="F12">
        <v>138</v>
      </c>
      <c r="G12">
        <v>137</v>
      </c>
      <c r="H12">
        <v>140</v>
      </c>
      <c r="I12">
        <v>139</v>
      </c>
      <c r="J12">
        <v>140</v>
      </c>
      <c r="K12">
        <v>141</v>
      </c>
      <c r="L12">
        <v>143</v>
      </c>
      <c r="M12">
        <v>144</v>
      </c>
      <c r="N12">
        <v>145</v>
      </c>
      <c r="O12">
        <v>148</v>
      </c>
      <c r="P12">
        <v>152</v>
      </c>
      <c r="Q12">
        <v>151</v>
      </c>
      <c r="R12">
        <v>152</v>
      </c>
      <c r="S12">
        <v>152</v>
      </c>
      <c r="T12">
        <v>156</v>
      </c>
      <c r="U12">
        <v>154</v>
      </c>
      <c r="V12">
        <v>156</v>
      </c>
      <c r="W12">
        <v>157</v>
      </c>
      <c r="X12">
        <v>157</v>
      </c>
      <c r="Y12">
        <v>157</v>
      </c>
      <c r="Z12" s="2">
        <f>AVERAGE(Sheet1__11[[#This Row],[00:00:00]:[23:00:00]])</f>
        <v>145.58333333333334</v>
      </c>
      <c r="AA12" t="str" cm="1">
        <f t="array" ref="AA12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3" spans="1:30" x14ac:dyDescent="0.3">
      <c r="A13" s="1">
        <v>45942</v>
      </c>
      <c r="C13">
        <v>158</v>
      </c>
      <c r="D13">
        <v>159</v>
      </c>
      <c r="E13">
        <v>159</v>
      </c>
      <c r="F13">
        <v>157</v>
      </c>
      <c r="G13">
        <v>150</v>
      </c>
      <c r="H13">
        <v>150</v>
      </c>
      <c r="I13">
        <v>150</v>
      </c>
      <c r="J13">
        <v>152</v>
      </c>
      <c r="K13">
        <v>152</v>
      </c>
      <c r="L13">
        <v>157</v>
      </c>
      <c r="M13">
        <v>156</v>
      </c>
      <c r="N13">
        <v>156</v>
      </c>
      <c r="O13">
        <v>158</v>
      </c>
      <c r="P13">
        <v>157</v>
      </c>
      <c r="Q13">
        <v>156</v>
      </c>
      <c r="R13">
        <v>155</v>
      </c>
      <c r="S13">
        <v>153</v>
      </c>
      <c r="T13">
        <v>153</v>
      </c>
      <c r="U13">
        <v>152</v>
      </c>
      <c r="V13">
        <v>149</v>
      </c>
      <c r="W13">
        <v>148</v>
      </c>
      <c r="X13">
        <v>146</v>
      </c>
      <c r="Y13">
        <v>144</v>
      </c>
      <c r="Z13" s="2">
        <f>AVERAGE(Sheet1__11[[#This Row],[00:00:00]:[23:00:00]])</f>
        <v>153.34782608695653</v>
      </c>
      <c r="AA13" t="str" cm="1">
        <f t="array" ref="AA13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14" spans="1:30" x14ac:dyDescent="0.3">
      <c r="A14" s="1">
        <v>45943</v>
      </c>
      <c r="B14">
        <v>142</v>
      </c>
      <c r="C14">
        <v>139</v>
      </c>
      <c r="D14">
        <v>138</v>
      </c>
      <c r="E14">
        <v>138</v>
      </c>
      <c r="F14">
        <v>137</v>
      </c>
      <c r="G14">
        <v>136</v>
      </c>
      <c r="H14">
        <v>136</v>
      </c>
      <c r="I14">
        <v>135</v>
      </c>
      <c r="J14">
        <v>135</v>
      </c>
      <c r="K14">
        <v>135</v>
      </c>
      <c r="L14">
        <v>135</v>
      </c>
      <c r="M14">
        <v>135</v>
      </c>
      <c r="N14">
        <v>138</v>
      </c>
      <c r="O14">
        <v>139</v>
      </c>
      <c r="P14">
        <v>140</v>
      </c>
      <c r="Q14">
        <v>141</v>
      </c>
      <c r="R14">
        <v>140</v>
      </c>
      <c r="S14">
        <v>140</v>
      </c>
      <c r="T14">
        <v>137</v>
      </c>
      <c r="U14">
        <v>139</v>
      </c>
      <c r="V14">
        <v>139</v>
      </c>
      <c r="W14">
        <v>138</v>
      </c>
      <c r="X14">
        <v>137</v>
      </c>
      <c r="Y14">
        <v>136</v>
      </c>
      <c r="Z14" s="2">
        <f>AVERAGE(Sheet1__11[[#This Row],[00:00:00]:[23:00:00]])</f>
        <v>137.70833333333334</v>
      </c>
      <c r="AA14" t="str" cm="1">
        <f t="array" ref="AA14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5" spans="1:30" x14ac:dyDescent="0.3">
      <c r="A15" s="1">
        <v>45944</v>
      </c>
      <c r="B15">
        <v>135</v>
      </c>
      <c r="C15">
        <v>136</v>
      </c>
      <c r="D15">
        <v>134</v>
      </c>
      <c r="E15">
        <v>134</v>
      </c>
      <c r="F15">
        <v>135</v>
      </c>
      <c r="G15">
        <v>135</v>
      </c>
      <c r="H15">
        <v>136</v>
      </c>
      <c r="I15">
        <v>136</v>
      </c>
      <c r="J15">
        <v>136</v>
      </c>
      <c r="K15">
        <v>135</v>
      </c>
      <c r="L15">
        <v>135</v>
      </c>
      <c r="M15">
        <v>134</v>
      </c>
      <c r="N15">
        <v>134</v>
      </c>
      <c r="O15">
        <v>133</v>
      </c>
      <c r="P15">
        <v>136</v>
      </c>
      <c r="Q15">
        <v>137</v>
      </c>
      <c r="R15">
        <v>136</v>
      </c>
      <c r="S15">
        <v>135</v>
      </c>
      <c r="T15">
        <v>135</v>
      </c>
      <c r="U15">
        <v>133</v>
      </c>
      <c r="V15">
        <v>133</v>
      </c>
      <c r="W15">
        <v>132</v>
      </c>
      <c r="X15">
        <v>131</v>
      </c>
      <c r="Y15">
        <v>132</v>
      </c>
      <c r="Z15" s="2">
        <f>AVERAGE(Sheet1__11[[#This Row],[00:00:00]:[23:00:00]])</f>
        <v>134.5</v>
      </c>
      <c r="AA15" t="str" cm="1">
        <f t="array" ref="AA15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6" spans="1:30" x14ac:dyDescent="0.3">
      <c r="A16" s="1">
        <v>45945</v>
      </c>
      <c r="B16">
        <v>132</v>
      </c>
      <c r="C16">
        <v>131</v>
      </c>
      <c r="D16">
        <v>131</v>
      </c>
      <c r="E16">
        <v>135</v>
      </c>
      <c r="G16">
        <v>138</v>
      </c>
      <c r="H16">
        <v>140</v>
      </c>
      <c r="I16">
        <v>140</v>
      </c>
      <c r="J16">
        <v>139</v>
      </c>
      <c r="K16">
        <v>139</v>
      </c>
      <c r="L16">
        <v>139</v>
      </c>
      <c r="M16">
        <v>139</v>
      </c>
      <c r="N16">
        <v>141</v>
      </c>
      <c r="O16">
        <v>140</v>
      </c>
      <c r="P16">
        <v>140</v>
      </c>
      <c r="Q16">
        <v>139</v>
      </c>
      <c r="R16">
        <v>138</v>
      </c>
      <c r="S16">
        <v>138</v>
      </c>
      <c r="T16">
        <v>138</v>
      </c>
      <c r="U16">
        <v>138</v>
      </c>
      <c r="V16">
        <v>139</v>
      </c>
      <c r="W16">
        <v>134</v>
      </c>
      <c r="X16">
        <v>135</v>
      </c>
      <c r="Y16">
        <v>135</v>
      </c>
      <c r="Z16" s="2">
        <f>AVERAGE(Sheet1__11[[#This Row],[00:00:00]:[23:00:00]])</f>
        <v>137.30434782608697</v>
      </c>
      <c r="AA16" t="str" cm="1">
        <f t="array" ref="AA16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7" spans="1:27" x14ac:dyDescent="0.3">
      <c r="A17" s="1">
        <v>45946</v>
      </c>
      <c r="B17">
        <v>134</v>
      </c>
      <c r="C17">
        <v>133</v>
      </c>
      <c r="D17">
        <v>131</v>
      </c>
      <c r="E17">
        <v>130</v>
      </c>
      <c r="F17">
        <v>129</v>
      </c>
      <c r="G17">
        <v>127</v>
      </c>
      <c r="H17">
        <v>126</v>
      </c>
      <c r="I17">
        <v>125</v>
      </c>
      <c r="J17">
        <v>130</v>
      </c>
      <c r="K17">
        <v>125</v>
      </c>
      <c r="L17">
        <v>125</v>
      </c>
      <c r="M17">
        <v>125</v>
      </c>
      <c r="N17">
        <v>124</v>
      </c>
      <c r="O17">
        <v>123</v>
      </c>
      <c r="P17">
        <v>124</v>
      </c>
      <c r="Q17">
        <v>126</v>
      </c>
      <c r="R17">
        <v>132</v>
      </c>
      <c r="S17">
        <v>124</v>
      </c>
      <c r="T17">
        <v>122</v>
      </c>
      <c r="U17">
        <v>116</v>
      </c>
      <c r="V17">
        <v>115</v>
      </c>
      <c r="W17">
        <v>113</v>
      </c>
      <c r="X17">
        <v>110</v>
      </c>
      <c r="Y17">
        <v>108</v>
      </c>
      <c r="Z17" s="2">
        <f>AVERAGE(Sheet1__11[[#This Row],[00:00:00]:[23:00:00]])</f>
        <v>124.04166666666667</v>
      </c>
      <c r="AA17" t="str" cm="1">
        <f t="array" ref="AA17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8" spans="1:27" x14ac:dyDescent="0.3">
      <c r="A18" s="1">
        <v>45947</v>
      </c>
      <c r="B18">
        <v>105</v>
      </c>
      <c r="C18">
        <v>103</v>
      </c>
      <c r="D18">
        <v>101</v>
      </c>
      <c r="E18">
        <v>99</v>
      </c>
      <c r="F18">
        <v>98</v>
      </c>
      <c r="G18">
        <v>96</v>
      </c>
      <c r="H18">
        <v>93</v>
      </c>
      <c r="I18">
        <v>90</v>
      </c>
      <c r="J18">
        <v>89</v>
      </c>
      <c r="K18">
        <v>85</v>
      </c>
      <c r="L18">
        <v>84</v>
      </c>
      <c r="M18">
        <v>83</v>
      </c>
      <c r="N18">
        <v>82</v>
      </c>
      <c r="O18">
        <v>86</v>
      </c>
      <c r="P18">
        <v>85</v>
      </c>
      <c r="Q18">
        <v>86</v>
      </c>
      <c r="R18">
        <v>89</v>
      </c>
      <c r="S18">
        <v>86</v>
      </c>
      <c r="T18">
        <v>84</v>
      </c>
      <c r="U18">
        <v>85</v>
      </c>
      <c r="V18">
        <v>86</v>
      </c>
      <c r="W18">
        <v>86</v>
      </c>
      <c r="X18">
        <v>86</v>
      </c>
      <c r="Y18">
        <v>87</v>
      </c>
      <c r="Z18" s="2">
        <f>AVERAGE(Sheet1__11[[#This Row],[00:00:00]:[23:00:00]])</f>
        <v>89.75</v>
      </c>
      <c r="AA18" t="str" cm="1">
        <f t="array" ref="AA18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19" spans="1:27" x14ac:dyDescent="0.3">
      <c r="A19" s="1">
        <v>45948</v>
      </c>
      <c r="B19">
        <v>90</v>
      </c>
      <c r="C19">
        <v>97</v>
      </c>
      <c r="D19">
        <v>99</v>
      </c>
      <c r="E19">
        <v>101</v>
      </c>
      <c r="F19">
        <v>102</v>
      </c>
      <c r="G19">
        <v>104</v>
      </c>
      <c r="H19">
        <v>104</v>
      </c>
      <c r="I19">
        <v>105</v>
      </c>
      <c r="J19">
        <v>107</v>
      </c>
      <c r="K19">
        <v>109</v>
      </c>
      <c r="L19">
        <v>110</v>
      </c>
      <c r="M19">
        <v>112</v>
      </c>
      <c r="N19">
        <v>114</v>
      </c>
      <c r="O19">
        <v>115</v>
      </c>
      <c r="P19">
        <v>126</v>
      </c>
      <c r="Q19">
        <v>129</v>
      </c>
      <c r="R19">
        <v>123</v>
      </c>
      <c r="S19">
        <v>124</v>
      </c>
      <c r="T19">
        <v>124</v>
      </c>
      <c r="U19">
        <v>123</v>
      </c>
      <c r="V19">
        <v>125</v>
      </c>
      <c r="W19">
        <v>126</v>
      </c>
      <c r="X19">
        <v>127</v>
      </c>
      <c r="Y19">
        <v>130</v>
      </c>
      <c r="Z19" s="2">
        <f>AVERAGE(Sheet1__11[[#This Row],[00:00:00]:[23:00:00]])</f>
        <v>113.58333333333333</v>
      </c>
      <c r="AA19" t="str" cm="1">
        <f t="array" ref="AA19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20" spans="1:27" x14ac:dyDescent="0.3">
      <c r="A20" s="1">
        <v>45949</v>
      </c>
      <c r="B20">
        <v>132</v>
      </c>
      <c r="C20">
        <v>135</v>
      </c>
      <c r="D20">
        <v>139</v>
      </c>
      <c r="E20">
        <v>142</v>
      </c>
      <c r="F20">
        <v>148</v>
      </c>
      <c r="G20">
        <v>149</v>
      </c>
      <c r="H20">
        <v>151</v>
      </c>
      <c r="I20">
        <v>154</v>
      </c>
      <c r="J20">
        <v>154</v>
      </c>
      <c r="K20">
        <v>153</v>
      </c>
      <c r="L20">
        <v>153</v>
      </c>
      <c r="M20">
        <v>152</v>
      </c>
      <c r="N20">
        <v>152</v>
      </c>
      <c r="O20">
        <v>153</v>
      </c>
      <c r="P20">
        <v>156</v>
      </c>
      <c r="Q20">
        <v>155</v>
      </c>
      <c r="R20">
        <v>157</v>
      </c>
      <c r="S20">
        <v>161</v>
      </c>
      <c r="T20">
        <v>160</v>
      </c>
      <c r="U20">
        <v>162</v>
      </c>
      <c r="V20">
        <v>161</v>
      </c>
      <c r="W20">
        <v>161</v>
      </c>
      <c r="X20">
        <v>163</v>
      </c>
      <c r="Y20">
        <v>164</v>
      </c>
      <c r="Z20" s="2">
        <f>AVERAGE(Sheet1__11[[#This Row],[00:00:00]:[23:00:00]])</f>
        <v>152.79166666666666</v>
      </c>
      <c r="AA20" t="str" cm="1">
        <f t="array" ref="AA20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21" spans="1:27" x14ac:dyDescent="0.3">
      <c r="A21" s="1">
        <v>45950</v>
      </c>
      <c r="B21">
        <v>166</v>
      </c>
      <c r="C21">
        <v>168</v>
      </c>
      <c r="D21">
        <v>170</v>
      </c>
      <c r="E21">
        <v>171</v>
      </c>
      <c r="F21">
        <v>173</v>
      </c>
      <c r="G21">
        <v>175</v>
      </c>
      <c r="H21">
        <v>178</v>
      </c>
      <c r="I21">
        <v>181</v>
      </c>
      <c r="J21">
        <v>185</v>
      </c>
      <c r="K21">
        <v>189</v>
      </c>
      <c r="L21">
        <v>190</v>
      </c>
      <c r="M21">
        <v>194</v>
      </c>
      <c r="N21">
        <v>195</v>
      </c>
      <c r="O21">
        <v>195</v>
      </c>
      <c r="P21">
        <v>194</v>
      </c>
      <c r="Q21">
        <v>193</v>
      </c>
      <c r="R21">
        <v>191</v>
      </c>
      <c r="S21">
        <v>189</v>
      </c>
      <c r="T21">
        <v>188</v>
      </c>
      <c r="U21">
        <v>188</v>
      </c>
      <c r="V21">
        <v>190</v>
      </c>
      <c r="W21">
        <v>193</v>
      </c>
      <c r="X21">
        <v>198</v>
      </c>
      <c r="Y21">
        <v>206</v>
      </c>
      <c r="Z21" s="2">
        <f>AVERAGE(Sheet1__11[[#This Row],[00:00:00]:[23:00:00]])</f>
        <v>185.83333333333334</v>
      </c>
      <c r="AA21" t="str" cm="1">
        <f t="array" ref="AA21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22" spans="1:27" x14ac:dyDescent="0.3">
      <c r="A22" s="1">
        <v>45951</v>
      </c>
      <c r="B22">
        <v>210</v>
      </c>
      <c r="C22">
        <v>215</v>
      </c>
      <c r="D22">
        <v>215</v>
      </c>
      <c r="E22">
        <v>223</v>
      </c>
      <c r="F22">
        <v>224</v>
      </c>
      <c r="G22">
        <v>221</v>
      </c>
      <c r="H22">
        <v>220</v>
      </c>
      <c r="I22">
        <v>218</v>
      </c>
      <c r="J22">
        <v>215</v>
      </c>
      <c r="K22">
        <v>215</v>
      </c>
      <c r="L22">
        <v>215</v>
      </c>
      <c r="M22">
        <v>215</v>
      </c>
      <c r="N22">
        <v>215</v>
      </c>
      <c r="O22">
        <v>214</v>
      </c>
      <c r="P22">
        <v>213</v>
      </c>
      <c r="Q22">
        <v>214</v>
      </c>
      <c r="R22">
        <v>214</v>
      </c>
      <c r="S22">
        <v>214</v>
      </c>
      <c r="T22">
        <v>214</v>
      </c>
      <c r="U22">
        <v>220</v>
      </c>
      <c r="V22">
        <v>211</v>
      </c>
      <c r="W22">
        <v>205</v>
      </c>
      <c r="X22">
        <v>202</v>
      </c>
      <c r="Y22">
        <v>189</v>
      </c>
      <c r="Z22" s="2">
        <f>AVERAGE(Sheet1__11[[#This Row],[00:00:00]:[23:00:00]])</f>
        <v>213.79166666666666</v>
      </c>
      <c r="AA22" t="str" cm="1">
        <f t="array" ref="AA22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HAZARDOUS</v>
      </c>
    </row>
    <row r="23" spans="1:27" x14ac:dyDescent="0.3">
      <c r="A23" s="1">
        <v>45952</v>
      </c>
      <c r="B23">
        <v>182</v>
      </c>
      <c r="C23">
        <v>177</v>
      </c>
      <c r="D23">
        <v>170</v>
      </c>
      <c r="E23">
        <v>164</v>
      </c>
      <c r="F23">
        <v>158</v>
      </c>
      <c r="G23">
        <v>152</v>
      </c>
      <c r="H23">
        <v>147</v>
      </c>
      <c r="I23">
        <v>143</v>
      </c>
      <c r="J23">
        <v>139</v>
      </c>
      <c r="K23">
        <v>135</v>
      </c>
      <c r="L23">
        <v>131</v>
      </c>
      <c r="M23">
        <v>128</v>
      </c>
      <c r="N23">
        <v>124</v>
      </c>
      <c r="O23">
        <v>121</v>
      </c>
      <c r="P23">
        <v>117</v>
      </c>
      <c r="Q23">
        <v>114</v>
      </c>
      <c r="R23">
        <v>111</v>
      </c>
      <c r="S23">
        <v>107</v>
      </c>
      <c r="T23">
        <v>105</v>
      </c>
      <c r="U23">
        <v>103</v>
      </c>
      <c r="V23">
        <v>102</v>
      </c>
      <c r="W23">
        <v>102</v>
      </c>
      <c r="X23">
        <v>102</v>
      </c>
      <c r="Z23" s="2">
        <f>AVERAGE(Sheet1__11[[#This Row],[00:00:00]:[23:00:00]])</f>
        <v>131.91304347826087</v>
      </c>
      <c r="AA23" t="str" cm="1">
        <f t="array" ref="AA23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24" spans="1:27" x14ac:dyDescent="0.3">
      <c r="A24" s="1">
        <v>45953</v>
      </c>
      <c r="B24">
        <v>110</v>
      </c>
      <c r="C24">
        <v>114</v>
      </c>
      <c r="D24">
        <v>117</v>
      </c>
      <c r="E24">
        <v>116</v>
      </c>
      <c r="F24">
        <v>115</v>
      </c>
      <c r="G24">
        <v>117</v>
      </c>
      <c r="H24">
        <v>118</v>
      </c>
      <c r="I24">
        <v>117</v>
      </c>
      <c r="J24">
        <v>118</v>
      </c>
      <c r="K24">
        <v>117</v>
      </c>
      <c r="L24">
        <v>116</v>
      </c>
      <c r="M24">
        <v>114</v>
      </c>
      <c r="N24">
        <v>113</v>
      </c>
      <c r="O24">
        <v>112</v>
      </c>
      <c r="P24">
        <v>111</v>
      </c>
      <c r="Q24">
        <v>110</v>
      </c>
      <c r="R24">
        <v>109</v>
      </c>
      <c r="T24">
        <v>110</v>
      </c>
      <c r="U24">
        <v>110</v>
      </c>
      <c r="V24">
        <v>110</v>
      </c>
      <c r="W24">
        <v>110</v>
      </c>
      <c r="X24">
        <v>109</v>
      </c>
      <c r="Y24">
        <v>106</v>
      </c>
      <c r="Z24" s="2">
        <f>AVERAGE(Sheet1__11[[#This Row],[00:00:00]:[23:00:00]])</f>
        <v>113</v>
      </c>
      <c r="AA24" t="str" cm="1">
        <f t="array" ref="AA24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25" spans="1:27" x14ac:dyDescent="0.3">
      <c r="A25" s="1">
        <v>45954</v>
      </c>
      <c r="B25">
        <v>102</v>
      </c>
      <c r="C25">
        <v>97</v>
      </c>
      <c r="D25">
        <v>93</v>
      </c>
      <c r="E25">
        <v>89</v>
      </c>
      <c r="F25">
        <v>85</v>
      </c>
      <c r="G25">
        <v>83</v>
      </c>
      <c r="H25">
        <v>81</v>
      </c>
      <c r="I25">
        <v>80</v>
      </c>
      <c r="J25">
        <v>78</v>
      </c>
      <c r="K25">
        <v>76</v>
      </c>
      <c r="L25">
        <v>76</v>
      </c>
      <c r="M25">
        <v>75</v>
      </c>
      <c r="N25">
        <v>75</v>
      </c>
      <c r="O25">
        <v>75</v>
      </c>
      <c r="P25">
        <v>75</v>
      </c>
      <c r="Q25">
        <v>76</v>
      </c>
      <c r="R25">
        <v>76</v>
      </c>
      <c r="S25">
        <v>74</v>
      </c>
      <c r="T25">
        <v>76</v>
      </c>
      <c r="U25">
        <v>75</v>
      </c>
      <c r="V25">
        <v>76</v>
      </c>
      <c r="W25">
        <v>76</v>
      </c>
      <c r="X25">
        <v>74</v>
      </c>
      <c r="Y25">
        <v>71</v>
      </c>
      <c r="Z25" s="2">
        <f>AVERAGE(Sheet1__11[[#This Row],[00:00:00]:[23:00:00]])</f>
        <v>79.75</v>
      </c>
      <c r="AA25" t="str" cm="1">
        <f t="array" ref="AA25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26" spans="1:27" x14ac:dyDescent="0.3">
      <c r="A26" s="1">
        <v>45955</v>
      </c>
      <c r="B26">
        <v>69</v>
      </c>
      <c r="C26">
        <v>66</v>
      </c>
      <c r="D26">
        <v>63</v>
      </c>
      <c r="E26">
        <v>61</v>
      </c>
      <c r="F26">
        <v>61</v>
      </c>
      <c r="G26">
        <v>59</v>
      </c>
      <c r="H26">
        <v>59</v>
      </c>
      <c r="I26">
        <v>58</v>
      </c>
      <c r="J26">
        <v>59</v>
      </c>
      <c r="K26">
        <v>59</v>
      </c>
      <c r="L26">
        <v>58</v>
      </c>
      <c r="M26">
        <v>57</v>
      </c>
      <c r="N26">
        <v>56</v>
      </c>
      <c r="O26">
        <v>55</v>
      </c>
      <c r="P26">
        <v>55</v>
      </c>
      <c r="Q26">
        <v>54</v>
      </c>
      <c r="R26">
        <v>54</v>
      </c>
      <c r="S26">
        <v>54</v>
      </c>
      <c r="T26">
        <v>53</v>
      </c>
      <c r="U26">
        <v>52</v>
      </c>
      <c r="V26">
        <v>51</v>
      </c>
      <c r="W26">
        <v>50</v>
      </c>
      <c r="X26">
        <v>50</v>
      </c>
      <c r="Y26">
        <v>50</v>
      </c>
      <c r="Z26" s="2">
        <f>AVERAGE(Sheet1__11[[#This Row],[00:00:00]:[23:00:00]])</f>
        <v>56.791666666666664</v>
      </c>
      <c r="AA26" t="str" cm="1">
        <f t="array" ref="AA26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27" spans="1:27" x14ac:dyDescent="0.3">
      <c r="A27" s="1">
        <v>45956</v>
      </c>
      <c r="B27">
        <v>51</v>
      </c>
      <c r="C27">
        <v>51</v>
      </c>
      <c r="D27">
        <v>52</v>
      </c>
      <c r="E27">
        <v>53</v>
      </c>
      <c r="F27">
        <v>52</v>
      </c>
      <c r="G27">
        <v>52</v>
      </c>
      <c r="H27">
        <v>52</v>
      </c>
      <c r="I27">
        <v>52</v>
      </c>
      <c r="J27">
        <v>52</v>
      </c>
      <c r="K27">
        <v>51</v>
      </c>
      <c r="L27">
        <v>51</v>
      </c>
      <c r="M27">
        <v>51</v>
      </c>
      <c r="N27">
        <v>51</v>
      </c>
      <c r="O27">
        <v>51</v>
      </c>
      <c r="P27">
        <v>50</v>
      </c>
      <c r="Q27">
        <v>50</v>
      </c>
      <c r="R27">
        <v>50</v>
      </c>
      <c r="S27">
        <v>50</v>
      </c>
      <c r="T27">
        <v>50</v>
      </c>
      <c r="U27">
        <v>50</v>
      </c>
      <c r="V27">
        <v>50</v>
      </c>
      <c r="W27">
        <v>49</v>
      </c>
      <c r="X27">
        <v>49</v>
      </c>
      <c r="Y27">
        <v>49</v>
      </c>
      <c r="Z27" s="2">
        <f>AVERAGE(Sheet1__11[[#This Row],[00:00:00]:[23:00:00]])</f>
        <v>50.791666666666664</v>
      </c>
      <c r="AA27" t="str" cm="1">
        <f t="array" ref="AA27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28" spans="1:27" x14ac:dyDescent="0.3">
      <c r="A28" s="1">
        <v>45957</v>
      </c>
      <c r="B28">
        <v>49</v>
      </c>
      <c r="C28">
        <v>49</v>
      </c>
      <c r="D28">
        <v>48</v>
      </c>
      <c r="E28">
        <v>47</v>
      </c>
      <c r="F28">
        <v>47</v>
      </c>
      <c r="G28">
        <v>46</v>
      </c>
      <c r="H28">
        <v>46</v>
      </c>
      <c r="I28">
        <v>45</v>
      </c>
      <c r="J28">
        <v>45</v>
      </c>
      <c r="K28">
        <v>45</v>
      </c>
      <c r="L28">
        <v>45</v>
      </c>
      <c r="M28">
        <v>45</v>
      </c>
      <c r="N28">
        <v>44</v>
      </c>
      <c r="O28">
        <v>44</v>
      </c>
      <c r="P28">
        <v>44</v>
      </c>
      <c r="Q28">
        <v>45</v>
      </c>
      <c r="R28">
        <v>45</v>
      </c>
      <c r="S28">
        <v>45</v>
      </c>
      <c r="T28">
        <v>46</v>
      </c>
      <c r="U28">
        <v>46</v>
      </c>
      <c r="V28">
        <v>46</v>
      </c>
      <c r="W28">
        <v>46</v>
      </c>
      <c r="X28">
        <v>46</v>
      </c>
      <c r="Y28">
        <v>46</v>
      </c>
      <c r="Z28" s="2">
        <f>AVERAGE(Sheet1__11[[#This Row],[00:00:00]:[23:00:00]])</f>
        <v>45.833333333333336</v>
      </c>
      <c r="AA28" t="str" cm="1">
        <f t="array" ref="AA28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GOOD</v>
      </c>
    </row>
    <row r="29" spans="1:27" x14ac:dyDescent="0.3">
      <c r="A29" s="1">
        <v>45958</v>
      </c>
      <c r="B29">
        <v>47</v>
      </c>
      <c r="C29">
        <v>47</v>
      </c>
      <c r="D29">
        <v>47</v>
      </c>
      <c r="E29">
        <v>46</v>
      </c>
      <c r="G29">
        <v>47</v>
      </c>
      <c r="H29">
        <v>47</v>
      </c>
      <c r="I29">
        <v>48</v>
      </c>
      <c r="J29">
        <v>49</v>
      </c>
      <c r="K29">
        <v>50</v>
      </c>
      <c r="L29">
        <v>51</v>
      </c>
      <c r="M29">
        <v>53</v>
      </c>
      <c r="N29">
        <v>54</v>
      </c>
      <c r="O29">
        <v>55</v>
      </c>
      <c r="P29">
        <v>56</v>
      </c>
      <c r="Q29">
        <v>57</v>
      </c>
      <c r="R29">
        <v>57</v>
      </c>
      <c r="S29">
        <v>58</v>
      </c>
      <c r="T29">
        <v>59</v>
      </c>
      <c r="U29">
        <v>60</v>
      </c>
      <c r="V29">
        <v>60</v>
      </c>
      <c r="W29">
        <v>60</v>
      </c>
      <c r="X29">
        <v>61</v>
      </c>
      <c r="Y29">
        <v>62</v>
      </c>
      <c r="Z29" s="2">
        <f>AVERAGE(Sheet1__11[[#This Row],[00:00:00]:[23:00:00]])</f>
        <v>53.521739130434781</v>
      </c>
      <c r="AA29" t="str" cm="1">
        <f t="array" ref="AA29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30" spans="1:27" x14ac:dyDescent="0.3">
      <c r="A30" s="1">
        <v>45959</v>
      </c>
      <c r="B30">
        <v>64</v>
      </c>
      <c r="C30">
        <v>65</v>
      </c>
      <c r="D30">
        <v>66</v>
      </c>
      <c r="E30">
        <v>68</v>
      </c>
      <c r="F30">
        <v>68</v>
      </c>
      <c r="G30">
        <v>69</v>
      </c>
      <c r="H30">
        <v>69</v>
      </c>
      <c r="I30">
        <v>70</v>
      </c>
      <c r="J30">
        <v>70</v>
      </c>
      <c r="K30">
        <v>71</v>
      </c>
      <c r="L30">
        <v>71</v>
      </c>
      <c r="M30">
        <v>71</v>
      </c>
      <c r="N30">
        <v>72</v>
      </c>
      <c r="O30">
        <v>73</v>
      </c>
      <c r="P30">
        <v>73</v>
      </c>
      <c r="Q30">
        <v>73</v>
      </c>
      <c r="R30">
        <v>73</v>
      </c>
      <c r="S30">
        <v>73</v>
      </c>
      <c r="T30">
        <v>73</v>
      </c>
      <c r="U30">
        <v>73</v>
      </c>
      <c r="V30">
        <v>74</v>
      </c>
      <c r="W30">
        <v>75</v>
      </c>
      <c r="X30">
        <v>75</v>
      </c>
      <c r="Y30">
        <v>75</v>
      </c>
      <c r="Z30" s="2">
        <f>AVERAGE(Sheet1__11[[#This Row],[00:00:00]:[23:00:00]])</f>
        <v>71</v>
      </c>
      <c r="AA30" t="str" cm="1">
        <f t="array" ref="AA30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31" spans="1:27" x14ac:dyDescent="0.3">
      <c r="A31" s="1">
        <v>45960</v>
      </c>
      <c r="B31">
        <v>75</v>
      </c>
      <c r="C31">
        <v>74</v>
      </c>
      <c r="D31">
        <v>74</v>
      </c>
      <c r="E31">
        <v>72</v>
      </c>
      <c r="F31">
        <v>71</v>
      </c>
      <c r="G31">
        <v>69</v>
      </c>
      <c r="H31">
        <v>67</v>
      </c>
      <c r="I31">
        <v>66</v>
      </c>
      <c r="J31">
        <v>65</v>
      </c>
      <c r="K31">
        <v>63</v>
      </c>
      <c r="L31">
        <v>62</v>
      </c>
      <c r="M31">
        <v>61</v>
      </c>
      <c r="N31">
        <v>60</v>
      </c>
      <c r="O31">
        <v>58</v>
      </c>
      <c r="P31">
        <v>57</v>
      </c>
      <c r="Q31">
        <v>57</v>
      </c>
      <c r="R31">
        <v>56</v>
      </c>
      <c r="S31">
        <v>56</v>
      </c>
      <c r="T31">
        <v>61</v>
      </c>
      <c r="U31">
        <v>57</v>
      </c>
      <c r="V31">
        <v>57</v>
      </c>
      <c r="W31">
        <v>58</v>
      </c>
      <c r="X31">
        <v>58</v>
      </c>
      <c r="Y31">
        <v>58</v>
      </c>
      <c r="Z31" s="2">
        <f>AVERAGE(Sheet1__11[[#This Row],[00:00:00]:[23:00:00]])</f>
        <v>63</v>
      </c>
      <c r="AA31" t="str" cm="1">
        <f t="array" ref="AA31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32" spans="1:27" x14ac:dyDescent="0.3">
      <c r="A32" s="1">
        <v>45961</v>
      </c>
      <c r="B32">
        <v>58</v>
      </c>
      <c r="C32">
        <v>59</v>
      </c>
      <c r="D32">
        <v>60</v>
      </c>
      <c r="E32">
        <v>61</v>
      </c>
      <c r="F32">
        <v>62</v>
      </c>
      <c r="G32">
        <v>63</v>
      </c>
      <c r="H32">
        <v>64</v>
      </c>
      <c r="I32">
        <v>65</v>
      </c>
      <c r="J32">
        <v>66</v>
      </c>
      <c r="K32">
        <v>66</v>
      </c>
      <c r="L32">
        <v>65</v>
      </c>
      <c r="M32">
        <v>64</v>
      </c>
      <c r="N32">
        <v>64</v>
      </c>
      <c r="O32">
        <v>63</v>
      </c>
      <c r="P32">
        <v>63</v>
      </c>
      <c r="Q32">
        <v>62</v>
      </c>
      <c r="R32">
        <v>62</v>
      </c>
      <c r="S32">
        <v>61</v>
      </c>
      <c r="T32">
        <v>64</v>
      </c>
      <c r="U32">
        <v>58</v>
      </c>
      <c r="V32">
        <v>57</v>
      </c>
      <c r="W32">
        <v>56</v>
      </c>
      <c r="X32">
        <v>56</v>
      </c>
      <c r="Y32">
        <v>55</v>
      </c>
      <c r="Z32" s="2">
        <f>AVERAGE(Sheet1__11[[#This Row],[00:00:00]:[23:00:00]])</f>
        <v>61.416666666666664</v>
      </c>
      <c r="AA32" t="str" cm="1">
        <f t="array" ref="AA32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33" spans="26:26" x14ac:dyDescent="0.3">
      <c r="Z33" s="2">
        <f>SUBTOTAL(101,Sheet1__11[AVERAGE AQI])</f>
        <v>95.598059841047231</v>
      </c>
    </row>
  </sheetData>
  <conditionalFormatting sqref="AA1:AA1048576">
    <cfRule type="containsText" dxfId="12" priority="1" operator="containsText" text="GOOD">
      <formula>NOT(ISERROR(SEARCH("GOOD",AA1)))</formula>
    </cfRule>
    <cfRule type="containsText" dxfId="11" priority="2" operator="containsText" text="HAZARDOUS">
      <formula>NOT(ISERROR(SEARCH("HAZARDOUS",AA1)))</formula>
    </cfRule>
    <cfRule type="containsText" dxfId="10" priority="3" operator="containsText" text="VERY BAD">
      <formula>NOT(ISERROR(SEARCH("VERY BAD",AA1)))</formula>
    </cfRule>
    <cfRule type="containsText" dxfId="9" priority="4" operator="containsText" text="BAD">
      <formula>NOT(ISERROR(SEARCH("BAD",AA1)))</formula>
    </cfRule>
    <cfRule type="containsText" dxfId="8" priority="5" operator="containsText" text="MODERATE">
      <formula>NOT(ISERROR(SEARCH("MODERATE",AA1)))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0A9B-EEC0-43D5-B5FA-3D562786009D}">
  <dimension ref="A1:AD32"/>
  <sheetViews>
    <sheetView topLeftCell="P9" workbookViewId="0">
      <selection activeCell="AF11" sqref="AF11"/>
    </sheetView>
  </sheetViews>
  <sheetFormatPr defaultRowHeight="14.4" x14ac:dyDescent="0.3"/>
  <cols>
    <col min="1" max="25" width="10.33203125" bestFit="1" customWidth="1"/>
    <col min="26" max="26" width="11.21875" bestFit="1" customWidth="1"/>
    <col min="27" max="27" width="16.8867187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28</v>
      </c>
      <c r="AA1" t="s">
        <v>26</v>
      </c>
      <c r="AC1" t="s">
        <v>27</v>
      </c>
      <c r="AD1" s="2">
        <f>AVERAGE(Sheet1__12[AVERAGE AQI])</f>
        <v>130.42789855072468</v>
      </c>
    </row>
    <row r="2" spans="1:30" x14ac:dyDescent="0.3">
      <c r="A2" s="1">
        <v>45962</v>
      </c>
      <c r="B2">
        <v>55</v>
      </c>
      <c r="C2">
        <v>54</v>
      </c>
      <c r="D2">
        <v>53</v>
      </c>
      <c r="E2">
        <v>51</v>
      </c>
      <c r="F2">
        <v>51</v>
      </c>
      <c r="G2">
        <v>50</v>
      </c>
      <c r="H2">
        <v>50</v>
      </c>
      <c r="I2">
        <v>49</v>
      </c>
      <c r="J2">
        <v>49</v>
      </c>
      <c r="K2">
        <v>49</v>
      </c>
      <c r="L2">
        <v>49</v>
      </c>
      <c r="M2">
        <v>49</v>
      </c>
      <c r="N2">
        <v>48</v>
      </c>
      <c r="O2">
        <v>48</v>
      </c>
      <c r="P2">
        <v>48</v>
      </c>
      <c r="Q2">
        <v>48</v>
      </c>
      <c r="R2">
        <v>48</v>
      </c>
      <c r="S2">
        <v>48</v>
      </c>
      <c r="T2">
        <v>49</v>
      </c>
      <c r="U2">
        <v>50</v>
      </c>
      <c r="V2">
        <v>51</v>
      </c>
      <c r="W2">
        <v>51</v>
      </c>
      <c r="X2">
        <v>52</v>
      </c>
      <c r="Y2">
        <v>52</v>
      </c>
      <c r="Z2" s="2">
        <f>AVERAGE(Sheet1__12[[#This Row],[00:00:00]:[23:00:00]])</f>
        <v>50.083333333333336</v>
      </c>
      <c r="AA2" t="str" cm="1">
        <f t="array" ref="AA2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MODERATE</v>
      </c>
    </row>
    <row r="3" spans="1:30" x14ac:dyDescent="0.3">
      <c r="A3" s="1">
        <v>45963</v>
      </c>
      <c r="B3">
        <v>53</v>
      </c>
      <c r="C3">
        <v>53</v>
      </c>
      <c r="D3">
        <v>54</v>
      </c>
      <c r="E3">
        <v>54</v>
      </c>
      <c r="F3">
        <v>54</v>
      </c>
      <c r="G3">
        <v>55</v>
      </c>
      <c r="H3">
        <v>55</v>
      </c>
      <c r="I3">
        <v>56</v>
      </c>
      <c r="J3">
        <v>55</v>
      </c>
      <c r="K3">
        <v>56</v>
      </c>
      <c r="L3">
        <v>56</v>
      </c>
      <c r="M3">
        <v>55</v>
      </c>
      <c r="N3">
        <v>55</v>
      </c>
      <c r="O3">
        <v>55</v>
      </c>
      <c r="P3">
        <v>54</v>
      </c>
      <c r="Q3">
        <v>53</v>
      </c>
      <c r="R3">
        <v>52</v>
      </c>
      <c r="S3">
        <v>51</v>
      </c>
      <c r="T3">
        <v>50</v>
      </c>
      <c r="U3">
        <v>50</v>
      </c>
      <c r="V3">
        <v>49</v>
      </c>
      <c r="W3">
        <v>49</v>
      </c>
      <c r="X3">
        <v>49</v>
      </c>
      <c r="Y3">
        <v>48</v>
      </c>
      <c r="Z3" s="2">
        <f>AVERAGE(Sheet1__12[[#This Row],[00:00:00]:[23:00:00]])</f>
        <v>52.958333333333336</v>
      </c>
      <c r="AA3" t="str" cm="1">
        <f t="array" ref="AA3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MODERATE</v>
      </c>
    </row>
    <row r="4" spans="1:30" x14ac:dyDescent="0.3">
      <c r="A4" s="1">
        <v>45964</v>
      </c>
      <c r="B4">
        <v>49</v>
      </c>
      <c r="C4">
        <v>49</v>
      </c>
      <c r="D4">
        <v>50</v>
      </c>
      <c r="E4">
        <v>51</v>
      </c>
      <c r="F4">
        <v>50</v>
      </c>
      <c r="G4">
        <v>50</v>
      </c>
      <c r="H4">
        <v>49</v>
      </c>
      <c r="I4">
        <v>49</v>
      </c>
      <c r="J4">
        <v>53</v>
      </c>
      <c r="K4">
        <v>49</v>
      </c>
      <c r="L4">
        <v>48</v>
      </c>
      <c r="M4">
        <v>48</v>
      </c>
      <c r="N4">
        <v>48</v>
      </c>
      <c r="O4">
        <v>49</v>
      </c>
      <c r="P4">
        <v>49</v>
      </c>
      <c r="Q4">
        <v>49</v>
      </c>
      <c r="R4">
        <v>49</v>
      </c>
      <c r="S4">
        <v>49</v>
      </c>
      <c r="T4">
        <v>49</v>
      </c>
      <c r="U4">
        <v>49</v>
      </c>
      <c r="V4">
        <v>49</v>
      </c>
      <c r="W4">
        <v>50</v>
      </c>
      <c r="X4">
        <v>51</v>
      </c>
      <c r="Y4">
        <v>52</v>
      </c>
      <c r="Z4" s="2">
        <f>AVERAGE(Sheet1__12[[#This Row],[00:00:00]:[23:00:00]])</f>
        <v>49.5</v>
      </c>
      <c r="AA4" t="str" cm="1">
        <f t="array" ref="AA4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GOOD</v>
      </c>
    </row>
    <row r="5" spans="1:30" x14ac:dyDescent="0.3">
      <c r="A5" s="1">
        <v>45965</v>
      </c>
      <c r="B5">
        <v>57</v>
      </c>
      <c r="C5">
        <v>58</v>
      </c>
      <c r="D5">
        <v>58</v>
      </c>
      <c r="E5">
        <v>56</v>
      </c>
      <c r="F5">
        <v>58</v>
      </c>
      <c r="G5">
        <v>58</v>
      </c>
      <c r="H5">
        <v>59</v>
      </c>
      <c r="I5">
        <v>60</v>
      </c>
      <c r="J5">
        <v>61</v>
      </c>
      <c r="K5">
        <v>62</v>
      </c>
      <c r="L5">
        <v>63</v>
      </c>
      <c r="M5">
        <v>63</v>
      </c>
      <c r="N5">
        <v>62</v>
      </c>
      <c r="O5">
        <v>63</v>
      </c>
      <c r="P5">
        <v>63</v>
      </c>
      <c r="Q5">
        <v>63</v>
      </c>
      <c r="R5">
        <v>64</v>
      </c>
      <c r="S5">
        <v>64</v>
      </c>
      <c r="T5">
        <v>64</v>
      </c>
      <c r="U5">
        <v>65</v>
      </c>
      <c r="V5">
        <v>65</v>
      </c>
      <c r="W5">
        <v>65</v>
      </c>
      <c r="X5">
        <v>65</v>
      </c>
      <c r="Y5">
        <v>65</v>
      </c>
      <c r="Z5" s="2">
        <f>AVERAGE(Sheet1__12[[#This Row],[00:00:00]:[23:00:00]])</f>
        <v>61.708333333333336</v>
      </c>
      <c r="AA5" t="str" cm="1">
        <f t="array" ref="AA5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MODERATE</v>
      </c>
    </row>
    <row r="6" spans="1:30" x14ac:dyDescent="0.3">
      <c r="A6" s="1">
        <v>45966</v>
      </c>
      <c r="B6">
        <v>65</v>
      </c>
      <c r="C6">
        <v>66</v>
      </c>
      <c r="D6">
        <v>66</v>
      </c>
      <c r="E6">
        <v>68</v>
      </c>
      <c r="F6">
        <v>66</v>
      </c>
      <c r="G6">
        <v>66</v>
      </c>
      <c r="H6">
        <v>65</v>
      </c>
      <c r="I6">
        <v>65</v>
      </c>
      <c r="J6">
        <v>65</v>
      </c>
      <c r="K6">
        <v>65</v>
      </c>
      <c r="L6">
        <v>65</v>
      </c>
      <c r="M6">
        <v>65</v>
      </c>
      <c r="N6">
        <v>66</v>
      </c>
      <c r="O6">
        <v>66</v>
      </c>
      <c r="P6">
        <v>67</v>
      </c>
      <c r="Q6">
        <v>67</v>
      </c>
      <c r="R6">
        <v>68</v>
      </c>
      <c r="S6">
        <v>68</v>
      </c>
      <c r="T6">
        <v>68</v>
      </c>
      <c r="U6">
        <v>69</v>
      </c>
      <c r="V6">
        <v>69</v>
      </c>
      <c r="W6">
        <v>70</v>
      </c>
      <c r="X6">
        <v>71</v>
      </c>
      <c r="Y6">
        <v>72</v>
      </c>
      <c r="Z6" s="2">
        <f>AVERAGE(Sheet1__12[[#This Row],[00:00:00]:[23:00:00]])</f>
        <v>67</v>
      </c>
      <c r="AA6" t="str" cm="1">
        <f t="array" ref="AA6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MODERATE</v>
      </c>
    </row>
    <row r="7" spans="1:30" x14ac:dyDescent="0.3">
      <c r="A7" s="1">
        <v>45967</v>
      </c>
      <c r="B7">
        <v>73</v>
      </c>
      <c r="C7">
        <v>74</v>
      </c>
      <c r="D7">
        <v>76</v>
      </c>
      <c r="E7">
        <v>77</v>
      </c>
      <c r="F7">
        <v>78</v>
      </c>
      <c r="G7">
        <v>79</v>
      </c>
      <c r="H7">
        <v>81</v>
      </c>
      <c r="I7">
        <v>82</v>
      </c>
      <c r="J7">
        <v>84</v>
      </c>
      <c r="K7">
        <v>85</v>
      </c>
      <c r="L7">
        <v>86</v>
      </c>
      <c r="M7">
        <v>88</v>
      </c>
      <c r="N7">
        <v>89</v>
      </c>
      <c r="O7">
        <v>91</v>
      </c>
      <c r="P7">
        <v>92</v>
      </c>
      <c r="Q7">
        <v>94</v>
      </c>
      <c r="R7">
        <v>96</v>
      </c>
      <c r="S7">
        <v>97</v>
      </c>
      <c r="T7">
        <v>100</v>
      </c>
      <c r="U7">
        <v>101</v>
      </c>
      <c r="V7">
        <v>103</v>
      </c>
      <c r="W7">
        <v>104</v>
      </c>
      <c r="X7">
        <v>105</v>
      </c>
      <c r="Y7">
        <v>109</v>
      </c>
      <c r="Z7" s="2">
        <f>AVERAGE(Sheet1__12[[#This Row],[00:00:00]:[23:00:00]])</f>
        <v>89.333333333333329</v>
      </c>
      <c r="AA7" t="str" cm="1">
        <f t="array" ref="AA7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MODERATE</v>
      </c>
    </row>
    <row r="8" spans="1:30" x14ac:dyDescent="0.3">
      <c r="A8" s="1">
        <v>45968</v>
      </c>
      <c r="B8">
        <v>110</v>
      </c>
      <c r="C8">
        <v>111</v>
      </c>
      <c r="D8">
        <v>113</v>
      </c>
      <c r="E8">
        <v>115</v>
      </c>
      <c r="F8">
        <v>117</v>
      </c>
      <c r="G8">
        <v>120</v>
      </c>
      <c r="H8">
        <v>123</v>
      </c>
      <c r="I8">
        <v>126</v>
      </c>
      <c r="J8">
        <v>128</v>
      </c>
      <c r="K8">
        <v>131</v>
      </c>
      <c r="L8">
        <v>134</v>
      </c>
      <c r="M8">
        <v>137</v>
      </c>
      <c r="N8">
        <v>140</v>
      </c>
      <c r="O8">
        <v>142</v>
      </c>
      <c r="P8">
        <v>144</v>
      </c>
      <c r="Q8">
        <v>144</v>
      </c>
      <c r="R8">
        <v>159</v>
      </c>
      <c r="S8">
        <v>160</v>
      </c>
      <c r="T8">
        <v>149</v>
      </c>
      <c r="U8">
        <v>147</v>
      </c>
      <c r="V8">
        <v>145</v>
      </c>
      <c r="W8">
        <v>143</v>
      </c>
      <c r="X8">
        <v>142</v>
      </c>
      <c r="Y8">
        <v>141</v>
      </c>
      <c r="Z8" s="2">
        <f>AVERAGE(Sheet1__12[[#This Row],[00:00:00]:[23:00:00]])</f>
        <v>134.20833333333334</v>
      </c>
      <c r="AA8" t="str" cm="1">
        <f t="array" ref="AA8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9" spans="1:30" x14ac:dyDescent="0.3">
      <c r="A9" s="1">
        <v>45969</v>
      </c>
      <c r="B9">
        <v>140</v>
      </c>
      <c r="C9">
        <v>143</v>
      </c>
      <c r="E9">
        <v>135</v>
      </c>
      <c r="F9">
        <v>132</v>
      </c>
      <c r="G9">
        <v>129</v>
      </c>
      <c r="H9">
        <v>128</v>
      </c>
      <c r="I9">
        <v>124</v>
      </c>
      <c r="J9">
        <v>121</v>
      </c>
      <c r="K9">
        <v>117</v>
      </c>
      <c r="L9">
        <v>115</v>
      </c>
      <c r="M9">
        <v>112</v>
      </c>
      <c r="N9">
        <v>112</v>
      </c>
      <c r="O9">
        <v>111</v>
      </c>
      <c r="P9">
        <v>110</v>
      </c>
      <c r="Q9">
        <v>107</v>
      </c>
      <c r="R9">
        <v>105</v>
      </c>
      <c r="S9">
        <v>104</v>
      </c>
      <c r="T9">
        <v>105</v>
      </c>
      <c r="U9">
        <v>104</v>
      </c>
      <c r="V9">
        <v>106</v>
      </c>
      <c r="W9">
        <v>108</v>
      </c>
      <c r="X9">
        <v>111</v>
      </c>
      <c r="Y9">
        <v>114</v>
      </c>
      <c r="Z9" s="2">
        <f>AVERAGE(Sheet1__12[[#This Row],[00:00:00]:[23:00:00]])</f>
        <v>117.08695652173913</v>
      </c>
      <c r="AA9" t="str" cm="1">
        <f t="array" ref="AA9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0" spans="1:30" x14ac:dyDescent="0.3">
      <c r="A10" s="1">
        <v>45970</v>
      </c>
      <c r="B10">
        <v>114</v>
      </c>
      <c r="C10">
        <v>114</v>
      </c>
      <c r="D10">
        <v>114</v>
      </c>
      <c r="E10">
        <v>114</v>
      </c>
      <c r="F10">
        <v>115</v>
      </c>
      <c r="G10">
        <v>116</v>
      </c>
      <c r="H10">
        <v>116</v>
      </c>
      <c r="I10">
        <v>117</v>
      </c>
      <c r="J10">
        <v>120</v>
      </c>
      <c r="K10">
        <v>120</v>
      </c>
      <c r="L10">
        <v>120</v>
      </c>
      <c r="M10">
        <v>117</v>
      </c>
      <c r="N10">
        <v>114</v>
      </c>
      <c r="O10">
        <v>112</v>
      </c>
      <c r="P10">
        <v>115</v>
      </c>
      <c r="Q10">
        <v>113</v>
      </c>
      <c r="R10">
        <v>110</v>
      </c>
      <c r="S10">
        <v>111</v>
      </c>
      <c r="T10">
        <v>107</v>
      </c>
      <c r="U10">
        <v>107</v>
      </c>
      <c r="V10">
        <v>105</v>
      </c>
      <c r="W10">
        <v>106</v>
      </c>
      <c r="X10">
        <v>103</v>
      </c>
      <c r="Y10">
        <v>103</v>
      </c>
      <c r="Z10" s="2">
        <f>AVERAGE(Sheet1__12[[#This Row],[00:00:00]:[23:00:00]])</f>
        <v>112.625</v>
      </c>
      <c r="AA10" t="str" cm="1">
        <f t="array" ref="AA10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1" spans="1:30" x14ac:dyDescent="0.3">
      <c r="A11" s="1">
        <v>45971</v>
      </c>
      <c r="B11">
        <v>102</v>
      </c>
      <c r="C11">
        <v>102</v>
      </c>
      <c r="D11">
        <v>103</v>
      </c>
      <c r="E11">
        <v>102</v>
      </c>
      <c r="F11">
        <v>102</v>
      </c>
      <c r="G11">
        <v>102</v>
      </c>
      <c r="H11">
        <v>103</v>
      </c>
      <c r="I11">
        <v>103</v>
      </c>
      <c r="J11">
        <v>104</v>
      </c>
      <c r="K11">
        <v>104</v>
      </c>
      <c r="L11">
        <v>109</v>
      </c>
      <c r="M11">
        <v>110</v>
      </c>
      <c r="N11">
        <v>112</v>
      </c>
      <c r="O11">
        <v>114</v>
      </c>
      <c r="P11">
        <v>119</v>
      </c>
      <c r="Q11">
        <v>122</v>
      </c>
      <c r="R11">
        <v>130</v>
      </c>
      <c r="S11">
        <v>131</v>
      </c>
      <c r="T11">
        <v>122</v>
      </c>
      <c r="U11">
        <v>122</v>
      </c>
      <c r="V11">
        <v>123</v>
      </c>
      <c r="W11">
        <v>124</v>
      </c>
      <c r="X11">
        <v>128</v>
      </c>
      <c r="Y11">
        <v>130</v>
      </c>
      <c r="Z11" s="2">
        <f>AVERAGE(Sheet1__12[[#This Row],[00:00:00]:[23:00:00]])</f>
        <v>113.45833333333333</v>
      </c>
      <c r="AA11" t="str" cm="1">
        <f t="array" ref="AA11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2" spans="1:30" x14ac:dyDescent="0.3">
      <c r="A12" s="1">
        <v>45972</v>
      </c>
      <c r="B12">
        <v>129</v>
      </c>
      <c r="C12">
        <v>128</v>
      </c>
      <c r="D12">
        <v>125</v>
      </c>
      <c r="E12">
        <v>122</v>
      </c>
      <c r="F12">
        <v>125</v>
      </c>
      <c r="G12">
        <v>125</v>
      </c>
      <c r="H12">
        <v>123</v>
      </c>
      <c r="I12">
        <v>126</v>
      </c>
      <c r="J12">
        <v>124</v>
      </c>
      <c r="K12">
        <v>129</v>
      </c>
      <c r="L12">
        <v>132</v>
      </c>
      <c r="M12">
        <v>125</v>
      </c>
      <c r="N12">
        <v>128</v>
      </c>
      <c r="O12">
        <v>130</v>
      </c>
      <c r="P12">
        <v>138</v>
      </c>
      <c r="Q12">
        <v>148</v>
      </c>
      <c r="R12">
        <v>158</v>
      </c>
      <c r="S12">
        <v>152</v>
      </c>
      <c r="T12">
        <v>141</v>
      </c>
      <c r="U12">
        <v>141</v>
      </c>
      <c r="V12">
        <v>143</v>
      </c>
      <c r="W12">
        <v>142</v>
      </c>
      <c r="X12">
        <v>141</v>
      </c>
      <c r="Y12">
        <v>139</v>
      </c>
      <c r="Z12" s="2">
        <f>AVERAGE(Sheet1__12[[#This Row],[00:00:00]:[23:00:00]])</f>
        <v>133.91666666666666</v>
      </c>
      <c r="AA12" t="str" cm="1">
        <f t="array" ref="AA12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3" spans="1:30" x14ac:dyDescent="0.3">
      <c r="A13" s="1">
        <v>45973</v>
      </c>
      <c r="B13">
        <v>137</v>
      </c>
      <c r="C13">
        <v>135</v>
      </c>
      <c r="D13">
        <v>135</v>
      </c>
      <c r="E13">
        <v>132</v>
      </c>
      <c r="F13">
        <v>132</v>
      </c>
      <c r="G13">
        <v>131</v>
      </c>
      <c r="H13">
        <v>133</v>
      </c>
      <c r="I13">
        <v>135</v>
      </c>
      <c r="J13">
        <v>132</v>
      </c>
      <c r="K13">
        <v>131</v>
      </c>
      <c r="L13">
        <v>134</v>
      </c>
      <c r="M13">
        <v>131</v>
      </c>
      <c r="N13">
        <v>130</v>
      </c>
      <c r="O13">
        <v>131</v>
      </c>
      <c r="P13">
        <v>134</v>
      </c>
      <c r="Q13">
        <v>137</v>
      </c>
      <c r="R13">
        <v>131</v>
      </c>
      <c r="S13">
        <v>132</v>
      </c>
      <c r="T13">
        <v>133</v>
      </c>
      <c r="U13">
        <v>134</v>
      </c>
      <c r="V13">
        <v>140</v>
      </c>
      <c r="W13">
        <v>141</v>
      </c>
      <c r="X13">
        <v>143</v>
      </c>
      <c r="Y13">
        <v>145</v>
      </c>
      <c r="Z13" s="2">
        <f>AVERAGE(Sheet1__12[[#This Row],[00:00:00]:[23:00:00]])</f>
        <v>134.54166666666666</v>
      </c>
      <c r="AA13" t="str" cm="1">
        <f t="array" ref="AA13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4" spans="1:30" x14ac:dyDescent="0.3">
      <c r="A14" s="1">
        <v>45974</v>
      </c>
      <c r="B14">
        <v>145</v>
      </c>
      <c r="C14">
        <v>146</v>
      </c>
      <c r="D14">
        <v>147</v>
      </c>
      <c r="E14">
        <v>148</v>
      </c>
      <c r="F14">
        <v>148</v>
      </c>
      <c r="G14">
        <v>145</v>
      </c>
      <c r="H14">
        <v>145</v>
      </c>
      <c r="I14">
        <v>145</v>
      </c>
      <c r="J14">
        <v>144</v>
      </c>
      <c r="K14">
        <v>144</v>
      </c>
      <c r="L14">
        <v>144</v>
      </c>
      <c r="M14">
        <v>144</v>
      </c>
      <c r="N14">
        <v>144</v>
      </c>
      <c r="O14">
        <v>144</v>
      </c>
      <c r="P14">
        <v>148</v>
      </c>
      <c r="Q14">
        <v>150</v>
      </c>
      <c r="R14">
        <v>145</v>
      </c>
      <c r="S14">
        <v>145</v>
      </c>
      <c r="T14">
        <v>145</v>
      </c>
      <c r="U14">
        <v>147</v>
      </c>
      <c r="V14">
        <v>147</v>
      </c>
      <c r="W14">
        <v>149</v>
      </c>
      <c r="X14">
        <v>149</v>
      </c>
      <c r="Y14">
        <v>150</v>
      </c>
      <c r="Z14" s="2">
        <f>AVERAGE(Sheet1__12[[#This Row],[00:00:00]:[23:00:00]])</f>
        <v>146.16666666666666</v>
      </c>
      <c r="AA14" t="str" cm="1">
        <f t="array" ref="AA14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5" spans="1:30" x14ac:dyDescent="0.3">
      <c r="A15" s="1">
        <v>45975</v>
      </c>
      <c r="B15">
        <v>151</v>
      </c>
      <c r="C15">
        <v>154</v>
      </c>
      <c r="D15">
        <v>156</v>
      </c>
      <c r="E15">
        <v>157</v>
      </c>
      <c r="F15">
        <v>157</v>
      </c>
      <c r="G15">
        <v>159</v>
      </c>
      <c r="H15">
        <v>159</v>
      </c>
      <c r="I15">
        <v>160</v>
      </c>
      <c r="J15">
        <v>161</v>
      </c>
      <c r="K15">
        <v>162</v>
      </c>
      <c r="L15">
        <v>161</v>
      </c>
      <c r="M15">
        <v>162</v>
      </c>
      <c r="N15">
        <v>158</v>
      </c>
      <c r="O15">
        <v>163</v>
      </c>
      <c r="P15">
        <v>163</v>
      </c>
      <c r="Q15">
        <v>163</v>
      </c>
      <c r="R15">
        <v>166</v>
      </c>
      <c r="S15">
        <v>169</v>
      </c>
      <c r="T15">
        <v>165</v>
      </c>
      <c r="U15">
        <v>160</v>
      </c>
      <c r="V15">
        <v>157</v>
      </c>
      <c r="W15">
        <v>157</v>
      </c>
      <c r="X15">
        <v>159</v>
      </c>
      <c r="Y15">
        <v>158</v>
      </c>
      <c r="Z15" s="2">
        <f>AVERAGE(Sheet1__12[[#This Row],[00:00:00]:[23:00:00]])</f>
        <v>159.875</v>
      </c>
      <c r="AA15" t="str" cm="1">
        <f t="array" ref="AA15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16" spans="1:30" x14ac:dyDescent="0.3">
      <c r="A16" s="1">
        <v>45976</v>
      </c>
      <c r="B16">
        <v>159</v>
      </c>
      <c r="C16">
        <v>159</v>
      </c>
      <c r="D16">
        <v>159</v>
      </c>
      <c r="E16">
        <v>159</v>
      </c>
      <c r="F16">
        <v>159</v>
      </c>
      <c r="G16">
        <v>159</v>
      </c>
      <c r="H16">
        <v>159</v>
      </c>
      <c r="I16">
        <v>160</v>
      </c>
      <c r="J16">
        <v>159</v>
      </c>
      <c r="K16">
        <v>158</v>
      </c>
      <c r="L16">
        <v>158</v>
      </c>
      <c r="M16">
        <v>157</v>
      </c>
      <c r="N16">
        <v>157</v>
      </c>
      <c r="O16">
        <v>158</v>
      </c>
      <c r="P16">
        <v>158</v>
      </c>
      <c r="Q16">
        <v>158</v>
      </c>
      <c r="R16">
        <v>161</v>
      </c>
      <c r="S16">
        <v>159</v>
      </c>
      <c r="T16">
        <v>157</v>
      </c>
      <c r="U16">
        <v>157</v>
      </c>
      <c r="V16">
        <v>156</v>
      </c>
      <c r="W16">
        <v>157</v>
      </c>
      <c r="X16">
        <v>157</v>
      </c>
      <c r="Y16">
        <v>158</v>
      </c>
      <c r="Z16" s="2">
        <f>AVERAGE(Sheet1__12[[#This Row],[00:00:00]:[23:00:00]])</f>
        <v>158.25</v>
      </c>
      <c r="AA16" t="str" cm="1">
        <f t="array" ref="AA16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17" spans="1:27" x14ac:dyDescent="0.3">
      <c r="A17" s="1">
        <v>45977</v>
      </c>
      <c r="B17">
        <v>159</v>
      </c>
      <c r="C17">
        <v>154</v>
      </c>
      <c r="D17">
        <v>154</v>
      </c>
      <c r="E17">
        <v>155</v>
      </c>
      <c r="F17">
        <v>155</v>
      </c>
      <c r="G17">
        <v>155</v>
      </c>
      <c r="H17">
        <v>159</v>
      </c>
      <c r="I17">
        <v>156</v>
      </c>
      <c r="J17">
        <v>155</v>
      </c>
      <c r="K17">
        <v>159</v>
      </c>
      <c r="L17">
        <v>159</v>
      </c>
      <c r="M17">
        <v>159</v>
      </c>
      <c r="N17">
        <v>157</v>
      </c>
      <c r="O17">
        <v>157</v>
      </c>
      <c r="P17">
        <v>157</v>
      </c>
      <c r="Q17">
        <v>154</v>
      </c>
      <c r="R17">
        <v>153</v>
      </c>
      <c r="S17">
        <v>153</v>
      </c>
      <c r="T17">
        <v>153</v>
      </c>
      <c r="U17">
        <v>153</v>
      </c>
      <c r="V17">
        <v>145</v>
      </c>
      <c r="W17">
        <v>144</v>
      </c>
      <c r="X17">
        <v>143</v>
      </c>
      <c r="Y17">
        <v>144</v>
      </c>
      <c r="Z17" s="2">
        <f>AVERAGE(Sheet1__12[[#This Row],[00:00:00]:[23:00:00]])</f>
        <v>153.83333333333334</v>
      </c>
      <c r="AA17" t="str" cm="1">
        <f t="array" ref="AA17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18" spans="1:27" x14ac:dyDescent="0.3">
      <c r="A18" s="1">
        <v>45978</v>
      </c>
      <c r="B18">
        <v>143</v>
      </c>
      <c r="C18">
        <v>144</v>
      </c>
      <c r="D18">
        <v>140</v>
      </c>
      <c r="E18">
        <v>137</v>
      </c>
      <c r="F18">
        <v>138</v>
      </c>
      <c r="G18">
        <v>137</v>
      </c>
      <c r="H18">
        <v>134</v>
      </c>
      <c r="I18">
        <v>134</v>
      </c>
      <c r="J18">
        <v>133</v>
      </c>
      <c r="K18">
        <v>131</v>
      </c>
      <c r="L18">
        <v>131</v>
      </c>
      <c r="M18">
        <v>131</v>
      </c>
      <c r="N18">
        <v>131</v>
      </c>
      <c r="O18">
        <v>137</v>
      </c>
      <c r="P18">
        <v>138</v>
      </c>
      <c r="Q18">
        <v>137</v>
      </c>
      <c r="R18">
        <v>136</v>
      </c>
      <c r="S18">
        <v>137</v>
      </c>
      <c r="T18">
        <v>134</v>
      </c>
      <c r="U18">
        <v>134</v>
      </c>
      <c r="V18">
        <v>134</v>
      </c>
      <c r="W18">
        <v>135</v>
      </c>
      <c r="X18">
        <v>135</v>
      </c>
      <c r="Y18">
        <v>135</v>
      </c>
      <c r="Z18" s="2">
        <f>AVERAGE(Sheet1__12[[#This Row],[00:00:00]:[23:00:00]])</f>
        <v>135.66666666666666</v>
      </c>
      <c r="AA18" t="str" cm="1">
        <f t="array" ref="AA18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9" spans="1:27" x14ac:dyDescent="0.3">
      <c r="A19" s="1">
        <v>45979</v>
      </c>
      <c r="B19">
        <v>135</v>
      </c>
      <c r="C19">
        <v>138</v>
      </c>
      <c r="D19">
        <v>138</v>
      </c>
      <c r="E19">
        <v>140</v>
      </c>
      <c r="F19">
        <v>142</v>
      </c>
      <c r="G19">
        <v>142</v>
      </c>
      <c r="H19">
        <v>145</v>
      </c>
      <c r="I19">
        <v>147</v>
      </c>
      <c r="J19">
        <v>151</v>
      </c>
      <c r="K19">
        <v>152</v>
      </c>
      <c r="L19">
        <v>152</v>
      </c>
      <c r="M19">
        <v>152</v>
      </c>
      <c r="N19">
        <v>152</v>
      </c>
      <c r="O19">
        <v>156</v>
      </c>
      <c r="P19">
        <v>156</v>
      </c>
      <c r="Q19">
        <v>160</v>
      </c>
      <c r="R19">
        <v>160</v>
      </c>
      <c r="S19">
        <v>155</v>
      </c>
      <c r="T19">
        <v>154</v>
      </c>
      <c r="U19">
        <v>153</v>
      </c>
      <c r="V19">
        <v>153</v>
      </c>
      <c r="W19">
        <v>154</v>
      </c>
      <c r="X19">
        <v>154</v>
      </c>
      <c r="Y19">
        <v>154</v>
      </c>
      <c r="Z19" s="2">
        <f>AVERAGE(Sheet1__12[[#This Row],[00:00:00]:[23:00:00]])</f>
        <v>149.79166666666666</v>
      </c>
      <c r="AA19" t="str" cm="1">
        <f t="array" ref="AA19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20" spans="1:27" x14ac:dyDescent="0.3">
      <c r="A20" s="1">
        <v>45980</v>
      </c>
      <c r="B20">
        <v>157</v>
      </c>
      <c r="C20">
        <v>157</v>
      </c>
      <c r="D20">
        <v>157</v>
      </c>
      <c r="E20">
        <v>157</v>
      </c>
      <c r="F20">
        <v>159</v>
      </c>
      <c r="G20">
        <v>162</v>
      </c>
      <c r="H20">
        <v>160</v>
      </c>
      <c r="I20">
        <v>165</v>
      </c>
      <c r="J20">
        <v>165</v>
      </c>
      <c r="K20">
        <v>165</v>
      </c>
      <c r="L20">
        <v>162</v>
      </c>
      <c r="M20">
        <v>162</v>
      </c>
      <c r="N20">
        <v>161</v>
      </c>
      <c r="O20">
        <v>162</v>
      </c>
      <c r="P20">
        <v>161</v>
      </c>
      <c r="Q20">
        <v>161</v>
      </c>
      <c r="R20">
        <v>158</v>
      </c>
      <c r="S20">
        <v>155</v>
      </c>
      <c r="T20">
        <v>154</v>
      </c>
      <c r="U20">
        <v>153</v>
      </c>
      <c r="V20">
        <v>152</v>
      </c>
      <c r="W20">
        <v>152</v>
      </c>
      <c r="X20">
        <v>155</v>
      </c>
      <c r="Y20">
        <v>155</v>
      </c>
      <c r="Z20" s="2">
        <f>AVERAGE(Sheet1__12[[#This Row],[00:00:00]:[23:00:00]])</f>
        <v>158.625</v>
      </c>
      <c r="AA20" t="str" cm="1">
        <f t="array" ref="AA20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21" spans="1:27" x14ac:dyDescent="0.3">
      <c r="A21" s="1">
        <v>45981</v>
      </c>
      <c r="B21">
        <v>155</v>
      </c>
      <c r="C21">
        <v>154</v>
      </c>
      <c r="D21">
        <v>154</v>
      </c>
      <c r="E21">
        <v>153</v>
      </c>
      <c r="F21">
        <v>152</v>
      </c>
      <c r="G21">
        <v>149</v>
      </c>
      <c r="I21">
        <v>148</v>
      </c>
      <c r="J21">
        <v>146</v>
      </c>
      <c r="K21">
        <v>145</v>
      </c>
      <c r="L21">
        <v>144</v>
      </c>
      <c r="M21">
        <v>145</v>
      </c>
      <c r="N21">
        <v>145</v>
      </c>
      <c r="O21">
        <v>148</v>
      </c>
      <c r="P21">
        <v>147</v>
      </c>
      <c r="Q21">
        <v>150</v>
      </c>
      <c r="R21">
        <v>147</v>
      </c>
      <c r="S21">
        <v>144</v>
      </c>
      <c r="T21">
        <v>145</v>
      </c>
      <c r="U21">
        <v>145</v>
      </c>
      <c r="V21">
        <v>145</v>
      </c>
      <c r="W21">
        <v>145</v>
      </c>
      <c r="X21">
        <v>147</v>
      </c>
      <c r="Y21">
        <v>148</v>
      </c>
      <c r="Z21" s="2">
        <f>AVERAGE(Sheet1__12[[#This Row],[00:00:00]:[23:00:00]])</f>
        <v>147.86956521739131</v>
      </c>
      <c r="AA21" t="str" cm="1">
        <f t="array" ref="AA21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22" spans="1:27" x14ac:dyDescent="0.3">
      <c r="A22" s="1">
        <v>45982</v>
      </c>
      <c r="B22">
        <v>149</v>
      </c>
      <c r="C22">
        <v>150</v>
      </c>
      <c r="D22">
        <v>154</v>
      </c>
      <c r="E22">
        <v>154</v>
      </c>
      <c r="F22">
        <v>152</v>
      </c>
      <c r="G22">
        <v>153</v>
      </c>
      <c r="H22">
        <v>151</v>
      </c>
      <c r="I22">
        <v>151</v>
      </c>
      <c r="J22">
        <v>151</v>
      </c>
      <c r="K22">
        <v>151</v>
      </c>
      <c r="L22">
        <v>152</v>
      </c>
      <c r="M22">
        <v>152</v>
      </c>
      <c r="N22">
        <v>153</v>
      </c>
      <c r="O22">
        <v>153</v>
      </c>
      <c r="P22">
        <v>160</v>
      </c>
      <c r="Q22">
        <v>161</v>
      </c>
      <c r="R22">
        <v>159</v>
      </c>
      <c r="S22">
        <v>166</v>
      </c>
      <c r="T22">
        <v>167</v>
      </c>
      <c r="U22">
        <v>159</v>
      </c>
      <c r="V22">
        <v>159</v>
      </c>
      <c r="W22">
        <v>162</v>
      </c>
      <c r="X22">
        <v>162</v>
      </c>
      <c r="Y22">
        <v>163</v>
      </c>
      <c r="Z22" s="2">
        <f>AVERAGE(Sheet1__12[[#This Row],[00:00:00]:[23:00:00]])</f>
        <v>156</v>
      </c>
      <c r="AA22" t="str" cm="1">
        <f t="array" ref="AA22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23" spans="1:27" x14ac:dyDescent="0.3">
      <c r="A23" s="1">
        <v>45983</v>
      </c>
      <c r="B23">
        <v>164</v>
      </c>
      <c r="C23">
        <v>164</v>
      </c>
      <c r="D23">
        <v>165</v>
      </c>
      <c r="E23">
        <v>165</v>
      </c>
      <c r="F23">
        <v>166</v>
      </c>
      <c r="G23">
        <v>166</v>
      </c>
      <c r="H23">
        <v>166</v>
      </c>
      <c r="I23">
        <v>167</v>
      </c>
      <c r="J23">
        <v>170</v>
      </c>
      <c r="K23">
        <v>171</v>
      </c>
      <c r="L23">
        <v>172</v>
      </c>
      <c r="M23">
        <v>173</v>
      </c>
      <c r="N23">
        <v>174</v>
      </c>
      <c r="O23">
        <v>180</v>
      </c>
      <c r="P23">
        <v>192</v>
      </c>
      <c r="Q23">
        <v>191</v>
      </c>
      <c r="R23">
        <v>192</v>
      </c>
      <c r="S23">
        <v>186</v>
      </c>
      <c r="T23">
        <v>180</v>
      </c>
      <c r="U23">
        <v>178</v>
      </c>
      <c r="V23">
        <v>178</v>
      </c>
      <c r="W23">
        <v>178</v>
      </c>
      <c r="X23">
        <v>178</v>
      </c>
      <c r="Y23">
        <v>176</v>
      </c>
      <c r="Z23" s="2">
        <f>AVERAGE(Sheet1__12[[#This Row],[00:00:00]:[23:00:00]])</f>
        <v>174.66666666666666</v>
      </c>
      <c r="AA23" t="str" cm="1">
        <f t="array" ref="AA23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24" spans="1:27" x14ac:dyDescent="0.3">
      <c r="A24" s="1">
        <v>45984</v>
      </c>
      <c r="B24">
        <v>175</v>
      </c>
      <c r="C24">
        <v>171</v>
      </c>
      <c r="D24">
        <v>171</v>
      </c>
      <c r="E24">
        <v>170</v>
      </c>
      <c r="F24">
        <v>175</v>
      </c>
      <c r="G24">
        <v>173</v>
      </c>
      <c r="H24">
        <v>174</v>
      </c>
      <c r="I24">
        <v>171</v>
      </c>
      <c r="J24">
        <v>171</v>
      </c>
      <c r="K24">
        <v>170</v>
      </c>
      <c r="L24">
        <v>170</v>
      </c>
      <c r="M24">
        <v>170</v>
      </c>
      <c r="N24">
        <v>170</v>
      </c>
      <c r="O24">
        <v>183</v>
      </c>
      <c r="P24">
        <v>186</v>
      </c>
      <c r="Q24">
        <v>186</v>
      </c>
      <c r="R24">
        <v>179</v>
      </c>
      <c r="S24">
        <v>173</v>
      </c>
      <c r="T24">
        <v>174</v>
      </c>
      <c r="U24">
        <v>175</v>
      </c>
      <c r="V24">
        <v>174</v>
      </c>
      <c r="W24">
        <v>173</v>
      </c>
      <c r="X24">
        <v>172</v>
      </c>
      <c r="Y24">
        <v>172</v>
      </c>
      <c r="Z24" s="2">
        <f>AVERAGE(Sheet1__12[[#This Row],[00:00:00]:[23:00:00]])</f>
        <v>174.08333333333334</v>
      </c>
      <c r="AA24" t="str" cm="1">
        <f t="array" ref="AA24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25" spans="1:27" x14ac:dyDescent="0.3">
      <c r="A25" s="1">
        <v>45985</v>
      </c>
      <c r="B25">
        <v>169</v>
      </c>
      <c r="C25">
        <v>169</v>
      </c>
      <c r="D25">
        <v>168</v>
      </c>
      <c r="E25">
        <v>168</v>
      </c>
      <c r="F25">
        <v>169</v>
      </c>
      <c r="G25">
        <v>168</v>
      </c>
      <c r="H25">
        <v>169</v>
      </c>
      <c r="I25">
        <v>169</v>
      </c>
      <c r="J25">
        <v>171</v>
      </c>
      <c r="K25">
        <v>171</v>
      </c>
      <c r="L25">
        <v>187</v>
      </c>
      <c r="M25">
        <v>187</v>
      </c>
      <c r="N25">
        <v>175</v>
      </c>
      <c r="O25">
        <v>176</v>
      </c>
      <c r="P25">
        <v>179</v>
      </c>
      <c r="Q25">
        <v>179</v>
      </c>
      <c r="R25">
        <v>176</v>
      </c>
      <c r="S25">
        <v>174</v>
      </c>
      <c r="T25">
        <v>175</v>
      </c>
      <c r="U25">
        <v>175</v>
      </c>
      <c r="V25">
        <v>175</v>
      </c>
      <c r="W25">
        <v>175</v>
      </c>
      <c r="X25">
        <v>174</v>
      </c>
      <c r="Y25">
        <v>187</v>
      </c>
      <c r="Z25" s="2">
        <f>AVERAGE(Sheet1__12[[#This Row],[00:00:00]:[23:00:00]])</f>
        <v>174.375</v>
      </c>
      <c r="AA25" t="str" cm="1">
        <f t="array" ref="AA25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26" spans="1:27" x14ac:dyDescent="0.3">
      <c r="A26" s="1">
        <v>45986</v>
      </c>
      <c r="B26">
        <v>187</v>
      </c>
      <c r="C26">
        <v>188</v>
      </c>
      <c r="D26">
        <v>175</v>
      </c>
      <c r="E26">
        <v>174</v>
      </c>
      <c r="F26">
        <v>179</v>
      </c>
      <c r="G26">
        <v>179</v>
      </c>
      <c r="H26">
        <v>181</v>
      </c>
      <c r="I26">
        <v>181</v>
      </c>
      <c r="J26">
        <v>181</v>
      </c>
      <c r="K26">
        <v>178</v>
      </c>
      <c r="L26">
        <v>178</v>
      </c>
      <c r="M26">
        <v>179</v>
      </c>
      <c r="N26">
        <v>177</v>
      </c>
      <c r="O26">
        <v>177</v>
      </c>
      <c r="P26">
        <v>177</v>
      </c>
      <c r="Q26">
        <v>170</v>
      </c>
      <c r="R26">
        <v>170</v>
      </c>
      <c r="S26">
        <v>174</v>
      </c>
      <c r="T26">
        <v>170</v>
      </c>
      <c r="U26">
        <v>175</v>
      </c>
      <c r="V26">
        <v>174</v>
      </c>
      <c r="W26">
        <v>176</v>
      </c>
      <c r="X26">
        <v>177</v>
      </c>
      <c r="Y26">
        <v>177</v>
      </c>
      <c r="Z26" s="2">
        <f>AVERAGE(Sheet1__12[[#This Row],[00:00:00]:[23:00:00]])</f>
        <v>177.25</v>
      </c>
      <c r="AA26" t="str" cm="1">
        <f t="array" ref="AA26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27" spans="1:27" x14ac:dyDescent="0.3">
      <c r="A27" s="1">
        <v>45987</v>
      </c>
      <c r="B27">
        <v>179</v>
      </c>
      <c r="C27">
        <v>180</v>
      </c>
      <c r="D27">
        <v>179</v>
      </c>
      <c r="E27">
        <v>180</v>
      </c>
      <c r="F27">
        <v>183</v>
      </c>
      <c r="G27">
        <v>184</v>
      </c>
      <c r="H27">
        <v>185</v>
      </c>
      <c r="I27">
        <v>188</v>
      </c>
      <c r="J27">
        <v>189</v>
      </c>
      <c r="K27">
        <v>186</v>
      </c>
      <c r="L27">
        <v>186</v>
      </c>
      <c r="M27">
        <v>188</v>
      </c>
      <c r="N27">
        <v>190</v>
      </c>
      <c r="O27">
        <v>193</v>
      </c>
      <c r="P27">
        <v>197</v>
      </c>
      <c r="Q27">
        <v>199</v>
      </c>
      <c r="R27">
        <v>201</v>
      </c>
      <c r="S27">
        <v>200</v>
      </c>
      <c r="T27">
        <v>194</v>
      </c>
      <c r="U27">
        <v>194</v>
      </c>
      <c r="V27">
        <v>193</v>
      </c>
      <c r="W27">
        <v>192</v>
      </c>
      <c r="X27">
        <v>192</v>
      </c>
      <c r="Y27">
        <v>192</v>
      </c>
      <c r="Z27" s="2">
        <f>AVERAGE(Sheet1__12[[#This Row],[00:00:00]:[23:00:00]])</f>
        <v>189.33333333333334</v>
      </c>
      <c r="AA27" t="str" cm="1">
        <f t="array" ref="AA27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28" spans="1:27" x14ac:dyDescent="0.3">
      <c r="A28" s="1">
        <v>45988</v>
      </c>
      <c r="C28">
        <v>195</v>
      </c>
      <c r="D28">
        <v>195</v>
      </c>
      <c r="E28">
        <v>195</v>
      </c>
      <c r="F28">
        <v>195</v>
      </c>
      <c r="G28">
        <v>189</v>
      </c>
      <c r="H28">
        <v>189</v>
      </c>
      <c r="I28">
        <v>189</v>
      </c>
      <c r="J28">
        <v>186</v>
      </c>
      <c r="K28">
        <v>186</v>
      </c>
      <c r="L28">
        <v>184</v>
      </c>
      <c r="M28">
        <v>181</v>
      </c>
      <c r="N28">
        <v>178</v>
      </c>
      <c r="O28">
        <v>175</v>
      </c>
      <c r="P28">
        <v>173</v>
      </c>
      <c r="Q28">
        <v>172</v>
      </c>
      <c r="R28">
        <v>168</v>
      </c>
      <c r="S28">
        <v>165</v>
      </c>
      <c r="T28">
        <v>163</v>
      </c>
      <c r="U28">
        <v>161</v>
      </c>
      <c r="V28">
        <v>158</v>
      </c>
      <c r="W28">
        <v>155</v>
      </c>
      <c r="X28">
        <v>151</v>
      </c>
      <c r="Y28">
        <v>148</v>
      </c>
      <c r="Z28" s="2">
        <f>AVERAGE(Sheet1__12[[#This Row],[00:00:00]:[23:00:00]])</f>
        <v>176.13043478260869</v>
      </c>
      <c r="AA28" t="str" cm="1">
        <f t="array" ref="AA28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VERY BAD</v>
      </c>
    </row>
    <row r="29" spans="1:27" x14ac:dyDescent="0.3">
      <c r="A29" s="1">
        <v>45989</v>
      </c>
      <c r="B29">
        <v>145</v>
      </c>
      <c r="C29">
        <v>143</v>
      </c>
      <c r="D29">
        <v>140</v>
      </c>
      <c r="E29">
        <v>138</v>
      </c>
      <c r="F29">
        <v>137</v>
      </c>
      <c r="G29">
        <v>135</v>
      </c>
      <c r="H29">
        <v>133</v>
      </c>
      <c r="I29">
        <v>132</v>
      </c>
      <c r="J29">
        <v>131</v>
      </c>
      <c r="K29">
        <v>129</v>
      </c>
      <c r="L29">
        <v>128</v>
      </c>
      <c r="M29">
        <v>127</v>
      </c>
      <c r="N29">
        <v>127</v>
      </c>
      <c r="O29">
        <v>127</v>
      </c>
      <c r="P29">
        <v>128</v>
      </c>
      <c r="Q29">
        <v>129</v>
      </c>
      <c r="R29">
        <v>129</v>
      </c>
      <c r="S29">
        <v>129</v>
      </c>
      <c r="T29">
        <v>129</v>
      </c>
      <c r="U29">
        <v>129</v>
      </c>
      <c r="V29">
        <v>130</v>
      </c>
      <c r="W29">
        <v>130</v>
      </c>
      <c r="X29">
        <v>131</v>
      </c>
      <c r="Y29">
        <v>131</v>
      </c>
      <c r="Z29" s="2">
        <f>AVERAGE(Sheet1__12[[#This Row],[00:00:00]:[23:00:00]])</f>
        <v>131.95833333333334</v>
      </c>
      <c r="AA29" t="str" cm="1">
        <f t="array" ref="AA29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30" spans="1:27" x14ac:dyDescent="0.3">
      <c r="A30" s="1">
        <v>45990</v>
      </c>
      <c r="B30">
        <v>132</v>
      </c>
      <c r="C30">
        <v>134</v>
      </c>
      <c r="D30">
        <v>135</v>
      </c>
      <c r="E30">
        <v>136</v>
      </c>
      <c r="F30">
        <v>137</v>
      </c>
      <c r="G30">
        <v>137</v>
      </c>
      <c r="H30">
        <v>138</v>
      </c>
      <c r="I30">
        <v>138</v>
      </c>
      <c r="J30">
        <v>138</v>
      </c>
      <c r="K30">
        <v>139</v>
      </c>
      <c r="L30">
        <v>137</v>
      </c>
      <c r="M30">
        <v>136</v>
      </c>
      <c r="N30">
        <v>134</v>
      </c>
      <c r="O30">
        <v>132</v>
      </c>
      <c r="P30">
        <v>130</v>
      </c>
      <c r="Q30">
        <v>127</v>
      </c>
      <c r="R30">
        <v>125</v>
      </c>
      <c r="S30">
        <v>120</v>
      </c>
      <c r="T30">
        <v>118</v>
      </c>
      <c r="U30">
        <v>116</v>
      </c>
      <c r="V30">
        <v>114</v>
      </c>
      <c r="W30">
        <v>112</v>
      </c>
      <c r="X30">
        <v>111</v>
      </c>
      <c r="Y30">
        <v>110</v>
      </c>
      <c r="Z30" s="2">
        <f>AVERAGE(Sheet1__12[[#This Row],[00:00:00]:[23:00:00]])</f>
        <v>128.58333333333334</v>
      </c>
      <c r="AA30" t="str" cm="1">
        <f t="array" ref="AA30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31" spans="1:27" x14ac:dyDescent="0.3">
      <c r="A31" s="1">
        <v>45991</v>
      </c>
      <c r="B31">
        <v>108</v>
      </c>
      <c r="C31">
        <v>107</v>
      </c>
      <c r="D31">
        <v>106</v>
      </c>
      <c r="E31">
        <v>107</v>
      </c>
      <c r="F31">
        <v>106</v>
      </c>
      <c r="G31">
        <v>104</v>
      </c>
      <c r="H31">
        <v>102</v>
      </c>
      <c r="I31">
        <v>102</v>
      </c>
      <c r="J31">
        <v>101</v>
      </c>
      <c r="K31">
        <v>101</v>
      </c>
      <c r="L31">
        <v>102</v>
      </c>
      <c r="M31">
        <v>103</v>
      </c>
      <c r="N31">
        <v>102</v>
      </c>
      <c r="O31">
        <v>105</v>
      </c>
      <c r="P31">
        <v>104</v>
      </c>
      <c r="Q31">
        <v>104</v>
      </c>
      <c r="R31">
        <v>103</v>
      </c>
      <c r="S31">
        <v>106</v>
      </c>
      <c r="T31">
        <v>106</v>
      </c>
      <c r="U31">
        <v>105</v>
      </c>
      <c r="V31">
        <v>105</v>
      </c>
      <c r="W31">
        <v>102</v>
      </c>
      <c r="X31">
        <v>102</v>
      </c>
      <c r="Y31">
        <v>102</v>
      </c>
      <c r="Z31" s="2">
        <f>AVERAGE(Sheet1__12[[#This Row],[00:00:00]:[23:00:00]])</f>
        <v>103.95833333333333</v>
      </c>
      <c r="AA31" t="str" cm="1">
        <f t="array" ref="AA31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32" spans="1:27" x14ac:dyDescent="0.3">
      <c r="Z32" s="2">
        <f>SUBTOTAL(101,Sheet1__12[AVERAGE AQI])</f>
        <v>130.42789855072468</v>
      </c>
    </row>
  </sheetData>
  <conditionalFormatting sqref="AA1:AA1048576">
    <cfRule type="containsText" dxfId="7" priority="1" operator="containsText" text="GOOD">
      <formula>NOT(ISERROR(SEARCH("GOOD",AA1)))</formula>
    </cfRule>
    <cfRule type="containsText" dxfId="6" priority="2" operator="containsText" text="VERY BAD">
      <formula>NOT(ISERROR(SEARCH("VERY BAD",AA1)))</formula>
    </cfRule>
    <cfRule type="containsText" dxfId="5" priority="3" operator="containsText" text="MODERATE">
      <formula>NOT(ISERROR(SEARCH("MODERATE",AA1)))</formula>
    </cfRule>
    <cfRule type="containsText" dxfId="4" priority="4" operator="containsText" text="BAD">
      <formula>NOT(ISERROR(SEARCH("BAD",AA1)))</formula>
    </cfRule>
    <cfRule type="containsText" dxfId="3" priority="5" operator="containsText" text="GOD">
      <formula>NOT(ISERROR(SEARCH("GOD",AA1)))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DE2B-A468-4A65-9C56-D8A4D7A16D2B}">
  <dimension ref="A1:AD33"/>
  <sheetViews>
    <sheetView tabSelected="1" topLeftCell="F17" workbookViewId="0">
      <selection activeCell="AA5" sqref="AA5"/>
    </sheetView>
  </sheetViews>
  <sheetFormatPr defaultRowHeight="14.4" x14ac:dyDescent="0.3"/>
  <cols>
    <col min="1" max="25" width="10.33203125" bestFit="1" customWidth="1"/>
    <col min="27" max="27" width="17.4414062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28</v>
      </c>
      <c r="AA1" t="s">
        <v>26</v>
      </c>
      <c r="AC1" t="s">
        <v>27</v>
      </c>
      <c r="AD1" s="2">
        <f>AVERAGE(Sheet1__13[AVERAGE AQI])</f>
        <v>118.00759700794764</v>
      </c>
    </row>
    <row r="2" spans="1:30" x14ac:dyDescent="0.3">
      <c r="A2" s="1">
        <v>45992</v>
      </c>
      <c r="B2">
        <v>103</v>
      </c>
      <c r="C2">
        <v>103</v>
      </c>
      <c r="D2">
        <v>104</v>
      </c>
      <c r="E2">
        <v>107</v>
      </c>
      <c r="F2">
        <v>108</v>
      </c>
      <c r="G2">
        <v>107</v>
      </c>
      <c r="H2">
        <v>107</v>
      </c>
      <c r="I2">
        <v>109</v>
      </c>
      <c r="J2">
        <v>110</v>
      </c>
      <c r="K2">
        <v>111</v>
      </c>
      <c r="L2">
        <v>103</v>
      </c>
      <c r="M2">
        <v>111</v>
      </c>
      <c r="N2">
        <v>114</v>
      </c>
      <c r="O2">
        <v>113</v>
      </c>
      <c r="P2">
        <v>114</v>
      </c>
      <c r="Q2">
        <v>105</v>
      </c>
      <c r="R2">
        <v>105</v>
      </c>
      <c r="S2">
        <v>113</v>
      </c>
      <c r="T2">
        <v>106</v>
      </c>
      <c r="U2">
        <v>107</v>
      </c>
      <c r="V2">
        <v>113</v>
      </c>
      <c r="W2">
        <v>113</v>
      </c>
      <c r="X2">
        <v>106</v>
      </c>
      <c r="Y2">
        <v>115</v>
      </c>
      <c r="Z2" s="2">
        <f>AVERAGE(Sheet1__13[[#This Row],[00:00:00]:[23:00:00]])</f>
        <v>108.625</v>
      </c>
      <c r="AA2" t="str" cm="1">
        <f t="array" ref="AA2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3" spans="1:30" x14ac:dyDescent="0.3">
      <c r="A3" s="1">
        <v>45993</v>
      </c>
      <c r="B3">
        <v>125</v>
      </c>
      <c r="C3">
        <v>127</v>
      </c>
      <c r="D3">
        <v>123</v>
      </c>
      <c r="E3">
        <v>121</v>
      </c>
      <c r="F3">
        <v>121</v>
      </c>
      <c r="G3">
        <v>121</v>
      </c>
      <c r="H3">
        <v>120</v>
      </c>
      <c r="I3">
        <v>123</v>
      </c>
      <c r="J3">
        <v>128</v>
      </c>
      <c r="K3">
        <v>124</v>
      </c>
      <c r="L3">
        <v>121</v>
      </c>
      <c r="M3">
        <v>123</v>
      </c>
      <c r="N3">
        <v>124</v>
      </c>
      <c r="O3">
        <v>124</v>
      </c>
      <c r="P3">
        <v>125</v>
      </c>
      <c r="Q3">
        <v>126</v>
      </c>
      <c r="R3">
        <v>126</v>
      </c>
      <c r="S3">
        <v>125</v>
      </c>
      <c r="T3">
        <v>122</v>
      </c>
      <c r="U3">
        <v>125</v>
      </c>
      <c r="V3">
        <v>126</v>
      </c>
      <c r="W3">
        <v>128</v>
      </c>
      <c r="X3">
        <v>126</v>
      </c>
      <c r="Y3">
        <v>127</v>
      </c>
      <c r="Z3" s="2">
        <f>AVERAGE(Sheet1__13[[#This Row],[00:00:00]:[23:00:00]])</f>
        <v>124.20833333333333</v>
      </c>
      <c r="AA3" t="str" cm="1">
        <f t="array" ref="AA3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4" spans="1:30" x14ac:dyDescent="0.3">
      <c r="A4" s="1">
        <v>45994</v>
      </c>
      <c r="B4">
        <v>128</v>
      </c>
      <c r="C4">
        <v>129</v>
      </c>
      <c r="D4">
        <v>131</v>
      </c>
      <c r="E4">
        <v>133</v>
      </c>
      <c r="F4">
        <v>131</v>
      </c>
      <c r="G4">
        <v>133</v>
      </c>
      <c r="H4">
        <v>133</v>
      </c>
      <c r="I4">
        <v>131</v>
      </c>
      <c r="J4">
        <v>133</v>
      </c>
      <c r="K4">
        <v>133</v>
      </c>
      <c r="L4">
        <v>133</v>
      </c>
      <c r="M4">
        <v>131</v>
      </c>
      <c r="N4">
        <v>131</v>
      </c>
      <c r="O4">
        <v>129</v>
      </c>
      <c r="P4">
        <v>130</v>
      </c>
      <c r="Q4">
        <v>129</v>
      </c>
      <c r="R4">
        <v>129</v>
      </c>
      <c r="S4">
        <v>129</v>
      </c>
      <c r="T4">
        <v>129</v>
      </c>
      <c r="U4">
        <v>131</v>
      </c>
      <c r="V4">
        <v>131</v>
      </c>
      <c r="W4">
        <v>135</v>
      </c>
      <c r="X4">
        <v>135</v>
      </c>
      <c r="Y4">
        <v>136</v>
      </c>
      <c r="Z4" s="2">
        <f>AVERAGE(Sheet1__13[[#This Row],[00:00:00]:[23:00:00]])</f>
        <v>131.375</v>
      </c>
      <c r="AA4" t="str" cm="1">
        <f t="array" ref="AA4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5" spans="1:30" x14ac:dyDescent="0.3">
      <c r="A5" s="1">
        <v>45995</v>
      </c>
      <c r="B5">
        <v>135</v>
      </c>
      <c r="C5">
        <v>134</v>
      </c>
      <c r="D5">
        <v>134</v>
      </c>
      <c r="E5">
        <v>134</v>
      </c>
      <c r="F5">
        <v>132</v>
      </c>
      <c r="G5">
        <v>138</v>
      </c>
      <c r="H5">
        <v>137</v>
      </c>
      <c r="J5">
        <v>141</v>
      </c>
      <c r="K5">
        <v>140</v>
      </c>
      <c r="L5">
        <v>141</v>
      </c>
      <c r="M5">
        <v>141</v>
      </c>
      <c r="N5">
        <v>141</v>
      </c>
      <c r="O5">
        <v>140</v>
      </c>
      <c r="P5">
        <v>140</v>
      </c>
      <c r="Q5">
        <v>141</v>
      </c>
      <c r="R5">
        <v>140</v>
      </c>
      <c r="S5">
        <v>137</v>
      </c>
      <c r="T5">
        <v>136</v>
      </c>
      <c r="U5">
        <v>135</v>
      </c>
      <c r="V5">
        <v>137</v>
      </c>
      <c r="W5">
        <v>137</v>
      </c>
      <c r="X5">
        <v>137</v>
      </c>
      <c r="Y5">
        <v>140</v>
      </c>
      <c r="Z5" s="2">
        <f>AVERAGE(Sheet1__13[[#This Row],[00:00:00]:[23:00:00]])</f>
        <v>137.7391304347826</v>
      </c>
      <c r="AA5" t="str" cm="1">
        <f t="array" ref="AA5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6" spans="1:30" x14ac:dyDescent="0.3">
      <c r="A6" s="1">
        <v>45996</v>
      </c>
      <c r="B6">
        <v>140</v>
      </c>
      <c r="C6">
        <v>140</v>
      </c>
      <c r="D6">
        <v>140</v>
      </c>
      <c r="E6">
        <v>139</v>
      </c>
      <c r="F6">
        <v>138</v>
      </c>
      <c r="G6">
        <v>137</v>
      </c>
      <c r="H6">
        <v>136</v>
      </c>
      <c r="I6">
        <v>133</v>
      </c>
      <c r="J6">
        <v>132</v>
      </c>
      <c r="K6">
        <v>131</v>
      </c>
      <c r="L6">
        <v>131</v>
      </c>
      <c r="M6">
        <v>130</v>
      </c>
      <c r="N6">
        <v>129</v>
      </c>
      <c r="O6">
        <v>128</v>
      </c>
      <c r="P6">
        <v>127</v>
      </c>
      <c r="Q6">
        <v>126</v>
      </c>
      <c r="R6">
        <v>126</v>
      </c>
      <c r="S6">
        <v>125</v>
      </c>
      <c r="T6">
        <v>124</v>
      </c>
      <c r="U6">
        <v>125</v>
      </c>
      <c r="V6">
        <v>127</v>
      </c>
      <c r="W6">
        <v>127</v>
      </c>
      <c r="X6">
        <v>126</v>
      </c>
      <c r="Y6">
        <v>125</v>
      </c>
      <c r="Z6" s="2">
        <f>AVERAGE(Sheet1__13[[#This Row],[00:00:00]:[23:00:00]])</f>
        <v>130.91666666666666</v>
      </c>
      <c r="AA6" t="str" cm="1">
        <f t="array" ref="AA6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7" spans="1:30" x14ac:dyDescent="0.3">
      <c r="A7" s="1">
        <v>45997</v>
      </c>
      <c r="B7">
        <v>122</v>
      </c>
      <c r="C7">
        <v>122</v>
      </c>
      <c r="D7">
        <v>122</v>
      </c>
      <c r="E7">
        <v>122</v>
      </c>
      <c r="F7">
        <v>121</v>
      </c>
      <c r="G7">
        <v>121</v>
      </c>
      <c r="H7">
        <v>123</v>
      </c>
      <c r="I7">
        <v>122</v>
      </c>
      <c r="J7">
        <v>123</v>
      </c>
      <c r="K7">
        <v>123</v>
      </c>
      <c r="L7">
        <v>122</v>
      </c>
      <c r="M7">
        <v>121</v>
      </c>
      <c r="N7">
        <v>121</v>
      </c>
      <c r="O7">
        <v>120</v>
      </c>
      <c r="P7">
        <v>119</v>
      </c>
      <c r="Q7">
        <v>119</v>
      </c>
      <c r="R7">
        <v>116</v>
      </c>
      <c r="S7">
        <v>115</v>
      </c>
      <c r="T7">
        <v>115</v>
      </c>
      <c r="U7">
        <v>115</v>
      </c>
      <c r="V7">
        <v>115</v>
      </c>
      <c r="W7">
        <v>116</v>
      </c>
      <c r="X7">
        <v>116</v>
      </c>
      <c r="Y7">
        <v>117</v>
      </c>
      <c r="Z7" s="2">
        <f>AVERAGE(Sheet1__13[[#This Row],[00:00:00]:[23:00:00]])</f>
        <v>119.5</v>
      </c>
      <c r="AA7" t="str" cm="1">
        <f t="array" ref="AA7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8" spans="1:30" x14ac:dyDescent="0.3">
      <c r="A8" s="1">
        <v>45998</v>
      </c>
      <c r="B8">
        <v>117</v>
      </c>
      <c r="C8">
        <v>117</v>
      </c>
      <c r="D8">
        <v>118</v>
      </c>
      <c r="E8">
        <v>118</v>
      </c>
      <c r="F8">
        <v>118</v>
      </c>
      <c r="G8">
        <v>118</v>
      </c>
      <c r="H8">
        <v>117</v>
      </c>
      <c r="I8">
        <v>117</v>
      </c>
      <c r="J8">
        <v>117</v>
      </c>
      <c r="K8">
        <v>116</v>
      </c>
      <c r="L8">
        <v>116</v>
      </c>
      <c r="M8">
        <v>114</v>
      </c>
      <c r="N8">
        <v>113</v>
      </c>
      <c r="O8">
        <v>114</v>
      </c>
      <c r="P8">
        <v>115</v>
      </c>
      <c r="Q8">
        <v>116</v>
      </c>
      <c r="R8">
        <v>113</v>
      </c>
      <c r="S8">
        <v>113</v>
      </c>
      <c r="T8">
        <v>116</v>
      </c>
      <c r="U8">
        <v>111</v>
      </c>
      <c r="V8">
        <v>111</v>
      </c>
      <c r="W8">
        <v>112</v>
      </c>
      <c r="X8">
        <v>109</v>
      </c>
      <c r="Y8">
        <v>109</v>
      </c>
      <c r="Z8" s="2">
        <f>AVERAGE(Sheet1__13[[#This Row],[00:00:00]:[23:00:00]])</f>
        <v>114.79166666666667</v>
      </c>
      <c r="AA8" t="str" cm="1">
        <f t="array" ref="AA8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9" spans="1:30" x14ac:dyDescent="0.3">
      <c r="A9" s="1">
        <v>45999</v>
      </c>
      <c r="B9">
        <v>108</v>
      </c>
      <c r="C9">
        <v>108</v>
      </c>
      <c r="D9">
        <v>110</v>
      </c>
      <c r="E9">
        <v>107</v>
      </c>
      <c r="F9">
        <v>107</v>
      </c>
      <c r="G9">
        <v>107</v>
      </c>
      <c r="H9">
        <v>108</v>
      </c>
      <c r="I9">
        <v>109</v>
      </c>
      <c r="J9">
        <v>112</v>
      </c>
      <c r="K9">
        <v>113</v>
      </c>
      <c r="L9">
        <v>113</v>
      </c>
      <c r="M9">
        <v>112</v>
      </c>
      <c r="N9">
        <v>115</v>
      </c>
      <c r="O9">
        <v>116</v>
      </c>
      <c r="P9">
        <v>126</v>
      </c>
      <c r="Q9">
        <v>117</v>
      </c>
      <c r="R9">
        <v>121</v>
      </c>
      <c r="S9">
        <v>116</v>
      </c>
      <c r="T9">
        <v>117</v>
      </c>
      <c r="U9">
        <v>116</v>
      </c>
      <c r="V9">
        <v>116</v>
      </c>
      <c r="W9">
        <v>117</v>
      </c>
      <c r="X9">
        <v>118</v>
      </c>
      <c r="Y9">
        <v>119</v>
      </c>
      <c r="Z9" s="2">
        <f>AVERAGE(Sheet1__13[[#This Row],[00:00:00]:[23:00:00]])</f>
        <v>113.66666666666667</v>
      </c>
      <c r="AA9" t="str" cm="1">
        <f t="array" ref="AA9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10" spans="1:30" x14ac:dyDescent="0.3">
      <c r="A10" s="1">
        <v>46000</v>
      </c>
      <c r="B10">
        <v>122</v>
      </c>
      <c r="C10">
        <v>126</v>
      </c>
      <c r="D10">
        <v>130</v>
      </c>
      <c r="E10">
        <v>132</v>
      </c>
      <c r="F10">
        <v>131</v>
      </c>
      <c r="G10">
        <v>129</v>
      </c>
      <c r="H10">
        <v>128</v>
      </c>
      <c r="I10">
        <v>129</v>
      </c>
      <c r="J10">
        <v>128</v>
      </c>
      <c r="K10">
        <v>127</v>
      </c>
      <c r="L10">
        <v>127</v>
      </c>
      <c r="M10">
        <v>125</v>
      </c>
      <c r="N10">
        <v>123</v>
      </c>
      <c r="O10">
        <v>121</v>
      </c>
      <c r="P10">
        <v>119</v>
      </c>
      <c r="Q10">
        <v>117</v>
      </c>
      <c r="R10">
        <v>116</v>
      </c>
      <c r="S10">
        <v>115</v>
      </c>
      <c r="T10">
        <v>113</v>
      </c>
      <c r="U10">
        <v>112</v>
      </c>
      <c r="V10">
        <v>111</v>
      </c>
      <c r="W10">
        <v>107</v>
      </c>
      <c r="X10">
        <v>108</v>
      </c>
      <c r="Y10">
        <v>108</v>
      </c>
      <c r="Z10" s="2">
        <f>AVERAGE(Sheet1__13[[#This Row],[00:00:00]:[23:00:00]])</f>
        <v>121</v>
      </c>
      <c r="AA10" t="str" cm="1">
        <f t="array" ref="AA10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11" spans="1:30" x14ac:dyDescent="0.3">
      <c r="A11" s="1">
        <v>46001</v>
      </c>
      <c r="B11">
        <v>110</v>
      </c>
      <c r="C11">
        <v>109</v>
      </c>
      <c r="D11">
        <v>107</v>
      </c>
      <c r="E11">
        <v>111</v>
      </c>
      <c r="F11">
        <v>109</v>
      </c>
      <c r="G11">
        <v>108</v>
      </c>
      <c r="H11">
        <v>107</v>
      </c>
      <c r="I11">
        <v>103</v>
      </c>
      <c r="J11">
        <v>103</v>
      </c>
      <c r="K11">
        <v>103</v>
      </c>
      <c r="L11">
        <v>102</v>
      </c>
      <c r="M11">
        <v>102</v>
      </c>
      <c r="N11">
        <v>100</v>
      </c>
      <c r="O11">
        <v>101</v>
      </c>
      <c r="P11">
        <v>101</v>
      </c>
      <c r="Q11">
        <v>101</v>
      </c>
      <c r="R11">
        <v>101</v>
      </c>
      <c r="S11">
        <v>101</v>
      </c>
      <c r="T11">
        <v>100</v>
      </c>
      <c r="U11">
        <v>99</v>
      </c>
      <c r="V11">
        <v>100</v>
      </c>
      <c r="W11">
        <v>100</v>
      </c>
      <c r="X11">
        <v>100</v>
      </c>
      <c r="Y11">
        <v>105</v>
      </c>
      <c r="Z11" s="2">
        <f>AVERAGE(Sheet1__13[[#This Row],[00:00:00]:[23:00:00]])</f>
        <v>103.45833333333333</v>
      </c>
      <c r="AA11" t="str" cm="1">
        <f t="array" ref="AA11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12" spans="1:30" x14ac:dyDescent="0.3">
      <c r="A12" s="1">
        <v>46002</v>
      </c>
      <c r="B12">
        <v>111</v>
      </c>
      <c r="C12">
        <v>115</v>
      </c>
      <c r="D12">
        <v>112</v>
      </c>
      <c r="E12">
        <v>111</v>
      </c>
      <c r="F12">
        <v>114</v>
      </c>
      <c r="G12">
        <v>113</v>
      </c>
      <c r="H12">
        <v>113</v>
      </c>
      <c r="I12">
        <v>120</v>
      </c>
      <c r="J12">
        <v>114</v>
      </c>
      <c r="K12">
        <v>110</v>
      </c>
      <c r="L12">
        <v>110</v>
      </c>
      <c r="M12">
        <v>110</v>
      </c>
      <c r="N12">
        <v>106</v>
      </c>
      <c r="O12">
        <v>108</v>
      </c>
      <c r="P12">
        <v>109</v>
      </c>
      <c r="Q12">
        <v>110</v>
      </c>
      <c r="R12">
        <v>106</v>
      </c>
      <c r="S12">
        <v>106</v>
      </c>
      <c r="T12">
        <v>110</v>
      </c>
      <c r="U12">
        <v>106</v>
      </c>
      <c r="W12">
        <v>105</v>
      </c>
      <c r="X12">
        <v>105</v>
      </c>
      <c r="Y12">
        <v>104</v>
      </c>
      <c r="Z12" s="2">
        <f>AVERAGE(Sheet1__13[[#This Row],[00:00:00]:[23:00:00]])</f>
        <v>109.91304347826087</v>
      </c>
      <c r="AA12" t="str" cm="1">
        <f t="array" ref="AA12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13" spans="1:30" x14ac:dyDescent="0.3">
      <c r="A13" s="1">
        <v>46003</v>
      </c>
      <c r="B13">
        <v>103</v>
      </c>
      <c r="C13">
        <v>106</v>
      </c>
      <c r="D13">
        <v>105</v>
      </c>
      <c r="E13">
        <v>103</v>
      </c>
      <c r="F13">
        <v>105</v>
      </c>
      <c r="G13">
        <v>105</v>
      </c>
      <c r="H13">
        <v>108</v>
      </c>
      <c r="I13">
        <v>115</v>
      </c>
      <c r="J13">
        <v>116</v>
      </c>
      <c r="K13">
        <v>110</v>
      </c>
      <c r="L13">
        <v>106</v>
      </c>
      <c r="M13">
        <v>106</v>
      </c>
      <c r="N13">
        <v>108</v>
      </c>
      <c r="O13">
        <v>109</v>
      </c>
      <c r="P13">
        <v>112</v>
      </c>
      <c r="Q13">
        <v>110</v>
      </c>
      <c r="R13">
        <v>112</v>
      </c>
      <c r="S13">
        <v>112</v>
      </c>
      <c r="T13">
        <v>112</v>
      </c>
      <c r="U13">
        <v>111</v>
      </c>
      <c r="V13">
        <v>112</v>
      </c>
      <c r="W13">
        <v>113</v>
      </c>
      <c r="X13">
        <v>112</v>
      </c>
      <c r="Y13">
        <v>110</v>
      </c>
      <c r="Z13" s="2">
        <f>AVERAGE(Sheet1__13[[#This Row],[00:00:00]:[23:00:00]])</f>
        <v>109.20833333333333</v>
      </c>
      <c r="AA13" t="str" cm="1">
        <f t="array" ref="AA13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14" spans="1:30" x14ac:dyDescent="0.3">
      <c r="A14" s="1">
        <v>46004</v>
      </c>
      <c r="B14">
        <v>109</v>
      </c>
      <c r="C14">
        <v>112</v>
      </c>
      <c r="D14">
        <v>114</v>
      </c>
      <c r="E14">
        <v>114</v>
      </c>
      <c r="F14">
        <v>115</v>
      </c>
      <c r="G14">
        <v>111</v>
      </c>
      <c r="H14">
        <v>112</v>
      </c>
      <c r="I14">
        <v>112</v>
      </c>
      <c r="J14">
        <v>113</v>
      </c>
      <c r="K14">
        <v>113</v>
      </c>
      <c r="L14">
        <v>115</v>
      </c>
      <c r="M14">
        <v>115</v>
      </c>
      <c r="N14">
        <v>115</v>
      </c>
      <c r="O14">
        <v>116</v>
      </c>
      <c r="P14">
        <v>116</v>
      </c>
      <c r="Q14">
        <v>117</v>
      </c>
      <c r="R14">
        <v>116</v>
      </c>
      <c r="S14">
        <v>121</v>
      </c>
      <c r="T14">
        <v>120</v>
      </c>
      <c r="U14">
        <v>118</v>
      </c>
      <c r="V14">
        <v>117</v>
      </c>
      <c r="W14">
        <v>120</v>
      </c>
      <c r="X14">
        <v>118</v>
      </c>
      <c r="Y14">
        <v>118</v>
      </c>
      <c r="Z14" s="2">
        <f>AVERAGE(Sheet1__13[[#This Row],[00:00:00]:[23:00:00]])</f>
        <v>115.29166666666667</v>
      </c>
      <c r="AA14" t="str" cm="1">
        <f t="array" ref="AA14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15" spans="1:30" x14ac:dyDescent="0.3">
      <c r="A15" s="1">
        <v>46005</v>
      </c>
      <c r="B15">
        <v>119</v>
      </c>
      <c r="C15">
        <v>123</v>
      </c>
      <c r="D15">
        <v>123</v>
      </c>
      <c r="E15">
        <v>124</v>
      </c>
      <c r="F15">
        <v>122</v>
      </c>
      <c r="G15">
        <v>122</v>
      </c>
      <c r="H15">
        <v>126</v>
      </c>
      <c r="I15">
        <v>127</v>
      </c>
      <c r="J15">
        <v>127</v>
      </c>
      <c r="K15">
        <v>127</v>
      </c>
      <c r="L15">
        <v>126</v>
      </c>
      <c r="M15">
        <v>133</v>
      </c>
      <c r="N15">
        <v>133</v>
      </c>
      <c r="O15">
        <v>132</v>
      </c>
      <c r="P15">
        <v>133</v>
      </c>
      <c r="Q15">
        <v>117</v>
      </c>
      <c r="R15">
        <v>132</v>
      </c>
      <c r="S15">
        <v>129</v>
      </c>
      <c r="T15">
        <v>129</v>
      </c>
      <c r="U15">
        <v>128</v>
      </c>
      <c r="V15">
        <v>127</v>
      </c>
      <c r="W15">
        <v>127</v>
      </c>
      <c r="X15">
        <v>128</v>
      </c>
      <c r="Y15">
        <v>129</v>
      </c>
      <c r="Z15" s="2">
        <f>AVERAGE(Sheet1__13[[#This Row],[00:00:00]:[23:00:00]])</f>
        <v>126.79166666666667</v>
      </c>
      <c r="AA15" t="str" cm="1">
        <f t="array" ref="AA15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16" spans="1:30" x14ac:dyDescent="0.3">
      <c r="A16" s="1">
        <v>46006</v>
      </c>
      <c r="B16">
        <v>129</v>
      </c>
      <c r="C16">
        <v>128</v>
      </c>
      <c r="D16">
        <v>128</v>
      </c>
      <c r="E16">
        <v>128</v>
      </c>
      <c r="F16">
        <v>127</v>
      </c>
      <c r="G16">
        <v>126</v>
      </c>
      <c r="H16">
        <v>126</v>
      </c>
      <c r="I16">
        <v>134</v>
      </c>
      <c r="J16">
        <v>133</v>
      </c>
      <c r="K16">
        <v>126</v>
      </c>
      <c r="L16">
        <v>125</v>
      </c>
      <c r="M16">
        <v>125</v>
      </c>
      <c r="N16">
        <v>125</v>
      </c>
      <c r="O16">
        <v>126</v>
      </c>
      <c r="P16">
        <v>128</v>
      </c>
      <c r="Q16">
        <v>123</v>
      </c>
      <c r="R16">
        <v>123</v>
      </c>
      <c r="S16">
        <v>121</v>
      </c>
      <c r="T16">
        <v>120</v>
      </c>
      <c r="U16">
        <v>113</v>
      </c>
      <c r="V16">
        <v>113</v>
      </c>
      <c r="W16">
        <v>103</v>
      </c>
      <c r="X16">
        <v>112</v>
      </c>
      <c r="Y16">
        <v>113</v>
      </c>
      <c r="Z16" s="2">
        <f>AVERAGE(Sheet1__13[[#This Row],[00:00:00]:[23:00:00]])</f>
        <v>123.125</v>
      </c>
      <c r="AA16" t="str" cm="1">
        <f t="array" ref="AA16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17" spans="1:27" x14ac:dyDescent="0.3">
      <c r="A17" s="1">
        <v>46007</v>
      </c>
      <c r="B17">
        <v>113</v>
      </c>
      <c r="C17">
        <v>113</v>
      </c>
      <c r="D17">
        <v>115</v>
      </c>
      <c r="E17">
        <v>114</v>
      </c>
      <c r="F17">
        <v>112</v>
      </c>
      <c r="G17">
        <v>111</v>
      </c>
      <c r="H17">
        <v>110</v>
      </c>
      <c r="I17">
        <v>109</v>
      </c>
      <c r="J17">
        <v>109</v>
      </c>
      <c r="K17">
        <v>108</v>
      </c>
      <c r="L17">
        <v>108</v>
      </c>
      <c r="M17">
        <v>108</v>
      </c>
      <c r="N17">
        <v>107</v>
      </c>
      <c r="O17">
        <v>112</v>
      </c>
      <c r="P17">
        <v>112</v>
      </c>
      <c r="Q17">
        <v>114</v>
      </c>
      <c r="R17">
        <v>113</v>
      </c>
      <c r="S17">
        <v>113</v>
      </c>
      <c r="T17">
        <v>114</v>
      </c>
      <c r="U17">
        <v>113</v>
      </c>
      <c r="V17">
        <v>113</v>
      </c>
      <c r="W17">
        <v>114</v>
      </c>
      <c r="X17">
        <v>113</v>
      </c>
      <c r="Y17">
        <v>112</v>
      </c>
      <c r="Z17" s="2">
        <f>AVERAGE(Sheet1__13[[#This Row],[00:00:00]:[23:00:00]])</f>
        <v>111.66666666666667</v>
      </c>
      <c r="AA17" t="str" cm="1">
        <f t="array" ref="AA17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18" spans="1:27" x14ac:dyDescent="0.3">
      <c r="A18" s="1">
        <v>46008</v>
      </c>
      <c r="B18">
        <v>111</v>
      </c>
      <c r="C18">
        <v>110</v>
      </c>
      <c r="D18">
        <v>110</v>
      </c>
      <c r="E18">
        <v>111</v>
      </c>
      <c r="F18">
        <v>112</v>
      </c>
      <c r="G18">
        <v>113</v>
      </c>
      <c r="H18">
        <v>114</v>
      </c>
      <c r="I18">
        <v>116</v>
      </c>
      <c r="J18">
        <v>117</v>
      </c>
      <c r="K18">
        <v>118</v>
      </c>
      <c r="L18">
        <v>119</v>
      </c>
      <c r="M18">
        <v>120</v>
      </c>
      <c r="N18">
        <v>121</v>
      </c>
      <c r="O18">
        <v>127</v>
      </c>
      <c r="P18">
        <v>132</v>
      </c>
      <c r="Q18">
        <v>136</v>
      </c>
      <c r="R18">
        <v>139</v>
      </c>
      <c r="S18">
        <v>132</v>
      </c>
      <c r="T18">
        <v>130</v>
      </c>
      <c r="U18">
        <v>130</v>
      </c>
      <c r="V18">
        <v>130</v>
      </c>
      <c r="W18">
        <v>130</v>
      </c>
      <c r="X18">
        <v>131</v>
      </c>
      <c r="Y18">
        <v>130</v>
      </c>
      <c r="Z18" s="2">
        <f>AVERAGE(Sheet1__13[[#This Row],[00:00:00]:[23:00:00]])</f>
        <v>122.45833333333333</v>
      </c>
      <c r="AA18" t="str" cm="1">
        <f t="array" ref="AA18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19" spans="1:27" x14ac:dyDescent="0.3">
      <c r="A19" s="1">
        <v>46009</v>
      </c>
      <c r="B19">
        <v>130</v>
      </c>
      <c r="C19">
        <v>132</v>
      </c>
      <c r="D19">
        <v>132</v>
      </c>
      <c r="E19">
        <v>133</v>
      </c>
      <c r="F19">
        <v>134</v>
      </c>
      <c r="G19">
        <v>133</v>
      </c>
      <c r="H19">
        <v>133</v>
      </c>
      <c r="I19">
        <v>134</v>
      </c>
      <c r="J19">
        <v>136</v>
      </c>
      <c r="K19">
        <v>137</v>
      </c>
      <c r="L19">
        <v>138</v>
      </c>
      <c r="M19">
        <v>136</v>
      </c>
      <c r="N19">
        <v>136</v>
      </c>
      <c r="O19">
        <v>136</v>
      </c>
      <c r="P19">
        <v>134</v>
      </c>
      <c r="Q19">
        <v>137</v>
      </c>
      <c r="R19">
        <v>138</v>
      </c>
      <c r="S19">
        <v>137</v>
      </c>
      <c r="T19">
        <v>134</v>
      </c>
      <c r="U19">
        <v>134</v>
      </c>
      <c r="V19">
        <v>136</v>
      </c>
      <c r="W19">
        <v>135</v>
      </c>
      <c r="X19">
        <v>130</v>
      </c>
      <c r="Y19">
        <v>134</v>
      </c>
      <c r="Z19" s="2">
        <f>AVERAGE(Sheet1__13[[#This Row],[00:00:00]:[23:00:00]])</f>
        <v>134.54166666666666</v>
      </c>
      <c r="AA19" t="str" cm="1">
        <f t="array" ref="AA19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20" spans="1:27" x14ac:dyDescent="0.3">
      <c r="A20" s="1">
        <v>46010</v>
      </c>
      <c r="B20">
        <v>134</v>
      </c>
      <c r="C20">
        <v>130</v>
      </c>
      <c r="D20">
        <v>135</v>
      </c>
      <c r="E20">
        <v>138</v>
      </c>
      <c r="F20">
        <v>136</v>
      </c>
      <c r="G20">
        <v>134</v>
      </c>
      <c r="H20">
        <v>131</v>
      </c>
      <c r="I20">
        <v>129</v>
      </c>
      <c r="J20">
        <v>129</v>
      </c>
      <c r="K20">
        <v>130</v>
      </c>
      <c r="L20">
        <v>129</v>
      </c>
      <c r="M20">
        <v>128</v>
      </c>
      <c r="N20">
        <v>128</v>
      </c>
      <c r="O20">
        <v>127</v>
      </c>
      <c r="P20">
        <v>124</v>
      </c>
      <c r="Q20">
        <v>125</v>
      </c>
      <c r="R20">
        <v>128</v>
      </c>
      <c r="S20">
        <v>122</v>
      </c>
      <c r="T20">
        <v>121</v>
      </c>
      <c r="U20">
        <v>120</v>
      </c>
      <c r="V20">
        <v>119</v>
      </c>
      <c r="W20">
        <v>117</v>
      </c>
      <c r="X20">
        <v>116</v>
      </c>
      <c r="Y20">
        <v>118</v>
      </c>
      <c r="Z20" s="2">
        <f>AVERAGE(Sheet1__13[[#This Row],[00:00:00]:[23:00:00]])</f>
        <v>127</v>
      </c>
      <c r="AA20" t="str" cm="1">
        <f t="array" ref="AA20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21" spans="1:27" x14ac:dyDescent="0.3">
      <c r="A21" s="1">
        <v>46011</v>
      </c>
      <c r="B21">
        <v>117</v>
      </c>
      <c r="C21">
        <v>115</v>
      </c>
      <c r="D21">
        <v>116</v>
      </c>
      <c r="E21">
        <v>115</v>
      </c>
      <c r="F21">
        <v>113</v>
      </c>
      <c r="G21">
        <v>113</v>
      </c>
      <c r="H21">
        <v>112</v>
      </c>
      <c r="I21">
        <v>110</v>
      </c>
      <c r="J21">
        <v>110</v>
      </c>
      <c r="K21">
        <v>114</v>
      </c>
      <c r="L21">
        <v>113</v>
      </c>
      <c r="M21">
        <v>111</v>
      </c>
      <c r="N21">
        <v>111</v>
      </c>
      <c r="O21">
        <v>109</v>
      </c>
      <c r="P21">
        <v>107</v>
      </c>
      <c r="Q21">
        <v>106</v>
      </c>
      <c r="R21">
        <v>105</v>
      </c>
      <c r="S21">
        <v>105</v>
      </c>
      <c r="T21">
        <v>102</v>
      </c>
      <c r="U21">
        <v>100</v>
      </c>
      <c r="V21">
        <v>99</v>
      </c>
      <c r="W21">
        <v>100</v>
      </c>
      <c r="X21">
        <v>98</v>
      </c>
      <c r="Y21">
        <v>97</v>
      </c>
      <c r="Z21" s="2">
        <f>AVERAGE(Sheet1__13[[#This Row],[00:00:00]:[23:00:00]])</f>
        <v>108.25</v>
      </c>
      <c r="AA21" t="str" cm="1">
        <f t="array" ref="AA21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22" spans="1:27" x14ac:dyDescent="0.3">
      <c r="A22" s="1">
        <v>46012</v>
      </c>
      <c r="B22">
        <v>95</v>
      </c>
      <c r="C22">
        <v>95</v>
      </c>
      <c r="D22">
        <v>95</v>
      </c>
      <c r="E22">
        <v>95</v>
      </c>
      <c r="F22">
        <v>96</v>
      </c>
      <c r="G22">
        <v>97</v>
      </c>
      <c r="H22">
        <v>96</v>
      </c>
      <c r="I22">
        <v>98</v>
      </c>
      <c r="J22">
        <v>98</v>
      </c>
      <c r="K22">
        <v>95</v>
      </c>
      <c r="L22">
        <v>95</v>
      </c>
      <c r="M22">
        <v>93</v>
      </c>
      <c r="N22">
        <v>93</v>
      </c>
      <c r="O22">
        <v>91</v>
      </c>
      <c r="P22">
        <v>91</v>
      </c>
      <c r="Q22">
        <v>91</v>
      </c>
      <c r="R22">
        <v>91</v>
      </c>
      <c r="S22">
        <v>84</v>
      </c>
      <c r="T22">
        <v>90</v>
      </c>
      <c r="U22">
        <v>91</v>
      </c>
      <c r="V22">
        <v>91</v>
      </c>
      <c r="W22">
        <v>92</v>
      </c>
      <c r="X22">
        <v>92</v>
      </c>
      <c r="Y22">
        <v>93</v>
      </c>
      <c r="Z22" s="2">
        <f>AVERAGE(Sheet1__13[[#This Row],[00:00:00]:[23:00:00]])</f>
        <v>93.25</v>
      </c>
      <c r="AA22" t="str" cm="1">
        <f t="array" ref="AA22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MODERATE</v>
      </c>
    </row>
    <row r="23" spans="1:27" x14ac:dyDescent="0.3">
      <c r="A23" s="1">
        <v>46013</v>
      </c>
      <c r="B23">
        <v>93</v>
      </c>
      <c r="C23">
        <v>93</v>
      </c>
      <c r="D23">
        <v>93</v>
      </c>
      <c r="E23">
        <v>94</v>
      </c>
      <c r="F23">
        <v>94</v>
      </c>
      <c r="G23">
        <v>95</v>
      </c>
      <c r="H23">
        <v>98</v>
      </c>
      <c r="I23">
        <v>99</v>
      </c>
      <c r="J23">
        <v>97</v>
      </c>
      <c r="K23">
        <v>98</v>
      </c>
      <c r="L23">
        <v>99</v>
      </c>
      <c r="M23">
        <v>103</v>
      </c>
      <c r="N23">
        <v>104</v>
      </c>
      <c r="O23">
        <v>102</v>
      </c>
      <c r="P23">
        <v>105</v>
      </c>
      <c r="Q23">
        <v>106</v>
      </c>
      <c r="R23">
        <v>104</v>
      </c>
      <c r="S23">
        <v>105</v>
      </c>
      <c r="T23">
        <v>105</v>
      </c>
      <c r="U23">
        <v>106</v>
      </c>
      <c r="V23">
        <v>106</v>
      </c>
      <c r="W23">
        <v>106</v>
      </c>
      <c r="X23">
        <v>106</v>
      </c>
      <c r="Y23">
        <v>110</v>
      </c>
      <c r="Z23" s="2">
        <f>AVERAGE(Sheet1__13[[#This Row],[00:00:00]:[23:00:00]])</f>
        <v>100.875</v>
      </c>
      <c r="AA23" t="str" cm="1">
        <f t="array" ref="AA23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24" spans="1:27" x14ac:dyDescent="0.3">
      <c r="A24" s="1">
        <v>46014</v>
      </c>
      <c r="B24">
        <v>120</v>
      </c>
      <c r="C24">
        <v>117</v>
      </c>
      <c r="D24">
        <v>115</v>
      </c>
      <c r="E24">
        <v>122</v>
      </c>
      <c r="F24">
        <v>124</v>
      </c>
      <c r="G24">
        <v>108</v>
      </c>
      <c r="H24">
        <v>117</v>
      </c>
      <c r="I24">
        <v>114</v>
      </c>
      <c r="J24">
        <v>114</v>
      </c>
      <c r="K24">
        <v>112</v>
      </c>
      <c r="L24">
        <v>111</v>
      </c>
      <c r="M24">
        <v>109</v>
      </c>
      <c r="N24">
        <v>107</v>
      </c>
      <c r="O24">
        <v>107</v>
      </c>
      <c r="P24">
        <v>104</v>
      </c>
      <c r="Q24">
        <v>106</v>
      </c>
      <c r="R24">
        <v>106</v>
      </c>
      <c r="S24">
        <v>105</v>
      </c>
      <c r="T24">
        <v>105</v>
      </c>
      <c r="U24">
        <v>101</v>
      </c>
      <c r="V24">
        <v>101</v>
      </c>
      <c r="W24">
        <v>101</v>
      </c>
      <c r="X24">
        <v>100</v>
      </c>
      <c r="Y24">
        <v>100</v>
      </c>
      <c r="Z24" s="2">
        <f>AVERAGE(Sheet1__13[[#This Row],[00:00:00]:[23:00:00]])</f>
        <v>109.41666666666667</v>
      </c>
      <c r="AA24" t="str" cm="1">
        <f t="array" ref="AA24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25" spans="1:27" x14ac:dyDescent="0.3">
      <c r="A25" s="1">
        <v>46015</v>
      </c>
      <c r="B25">
        <v>99</v>
      </c>
      <c r="C25">
        <v>99</v>
      </c>
      <c r="D25">
        <v>99</v>
      </c>
      <c r="E25">
        <v>98</v>
      </c>
      <c r="F25">
        <v>97</v>
      </c>
      <c r="G25">
        <v>96</v>
      </c>
      <c r="H25">
        <v>93</v>
      </c>
      <c r="I25">
        <v>91</v>
      </c>
      <c r="J25">
        <v>90</v>
      </c>
      <c r="K25">
        <v>89</v>
      </c>
      <c r="L25">
        <v>89</v>
      </c>
      <c r="M25">
        <v>88</v>
      </c>
      <c r="N25">
        <v>88</v>
      </c>
      <c r="O25">
        <v>88</v>
      </c>
      <c r="P25">
        <v>87</v>
      </c>
      <c r="Q25">
        <v>87</v>
      </c>
      <c r="R25">
        <v>86</v>
      </c>
      <c r="S25">
        <v>86</v>
      </c>
      <c r="T25">
        <v>85</v>
      </c>
      <c r="U25">
        <v>85</v>
      </c>
      <c r="V25">
        <v>84</v>
      </c>
      <c r="W25">
        <v>84</v>
      </c>
      <c r="X25">
        <v>84</v>
      </c>
      <c r="Y25">
        <v>84</v>
      </c>
      <c r="Z25" s="2">
        <f>AVERAGE(Sheet1__13[[#This Row],[00:00:00]:[23:00:00]])</f>
        <v>89.833333333333329</v>
      </c>
      <c r="AA25" t="str" cm="1">
        <f t="array" ref="AA25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MODERATE</v>
      </c>
    </row>
    <row r="26" spans="1:27" x14ac:dyDescent="0.3">
      <c r="A26" s="1">
        <v>46016</v>
      </c>
      <c r="B26">
        <v>84</v>
      </c>
      <c r="C26">
        <v>96</v>
      </c>
      <c r="D26">
        <v>96</v>
      </c>
      <c r="E26">
        <v>93</v>
      </c>
      <c r="F26">
        <v>98</v>
      </c>
      <c r="G26">
        <v>98</v>
      </c>
      <c r="H26">
        <v>100</v>
      </c>
      <c r="I26">
        <v>101</v>
      </c>
      <c r="J26">
        <v>103</v>
      </c>
      <c r="K26">
        <v>103</v>
      </c>
      <c r="L26">
        <v>103</v>
      </c>
      <c r="M26">
        <v>102</v>
      </c>
      <c r="N26">
        <v>102</v>
      </c>
      <c r="O26">
        <v>102</v>
      </c>
      <c r="P26">
        <v>102</v>
      </c>
      <c r="Q26">
        <v>103</v>
      </c>
      <c r="R26">
        <v>104</v>
      </c>
      <c r="S26">
        <v>105</v>
      </c>
      <c r="T26">
        <v>105</v>
      </c>
      <c r="U26">
        <v>105</v>
      </c>
      <c r="V26">
        <v>105</v>
      </c>
      <c r="W26">
        <v>105</v>
      </c>
      <c r="X26">
        <v>106</v>
      </c>
      <c r="Y26">
        <v>106</v>
      </c>
      <c r="Z26" s="2">
        <f>AVERAGE(Sheet1__13[[#This Row],[00:00:00]:[23:00:00]])</f>
        <v>101.125</v>
      </c>
      <c r="AA26" t="str" cm="1">
        <f t="array" ref="AA26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27" spans="1:27" x14ac:dyDescent="0.3">
      <c r="A27" s="1">
        <v>46017</v>
      </c>
      <c r="B27">
        <v>106</v>
      </c>
      <c r="C27">
        <v>106</v>
      </c>
      <c r="D27">
        <v>107</v>
      </c>
      <c r="E27">
        <v>108</v>
      </c>
      <c r="F27">
        <v>108</v>
      </c>
      <c r="G27">
        <v>109</v>
      </c>
      <c r="H27">
        <v>111</v>
      </c>
      <c r="I27">
        <v>112</v>
      </c>
      <c r="J27">
        <v>112</v>
      </c>
      <c r="K27">
        <v>113</v>
      </c>
      <c r="L27">
        <v>114</v>
      </c>
      <c r="M27">
        <v>116</v>
      </c>
      <c r="N27">
        <v>116</v>
      </c>
      <c r="O27">
        <v>117</v>
      </c>
      <c r="P27">
        <v>118</v>
      </c>
      <c r="Q27">
        <v>119</v>
      </c>
      <c r="R27">
        <v>118</v>
      </c>
      <c r="S27">
        <v>122</v>
      </c>
      <c r="T27">
        <v>114</v>
      </c>
      <c r="U27">
        <v>123</v>
      </c>
      <c r="V27">
        <v>125</v>
      </c>
      <c r="W27">
        <v>127</v>
      </c>
      <c r="X27">
        <v>128</v>
      </c>
      <c r="Y27">
        <v>128</v>
      </c>
      <c r="Z27" s="2">
        <f>AVERAGE(Sheet1__13[[#This Row],[00:00:00]:[23:00:00]])</f>
        <v>115.70833333333333</v>
      </c>
      <c r="AA27" t="str" cm="1">
        <f t="array" ref="AA27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28" spans="1:27" x14ac:dyDescent="0.3">
      <c r="A28" s="1">
        <v>46018</v>
      </c>
      <c r="B28">
        <v>129</v>
      </c>
      <c r="C28">
        <v>130</v>
      </c>
      <c r="D28">
        <v>131</v>
      </c>
      <c r="E28">
        <v>131</v>
      </c>
      <c r="F28">
        <v>125</v>
      </c>
      <c r="G28">
        <v>133</v>
      </c>
      <c r="H28">
        <v>133</v>
      </c>
      <c r="I28">
        <v>134</v>
      </c>
      <c r="J28">
        <v>135</v>
      </c>
      <c r="K28">
        <v>136</v>
      </c>
      <c r="L28">
        <v>137</v>
      </c>
      <c r="M28">
        <v>137</v>
      </c>
      <c r="N28">
        <v>137</v>
      </c>
      <c r="O28">
        <v>137</v>
      </c>
      <c r="P28">
        <v>137</v>
      </c>
      <c r="Q28">
        <v>136</v>
      </c>
      <c r="R28">
        <v>136</v>
      </c>
      <c r="S28">
        <v>134</v>
      </c>
      <c r="T28">
        <v>131</v>
      </c>
      <c r="U28">
        <v>130</v>
      </c>
      <c r="V28">
        <v>129</v>
      </c>
      <c r="W28">
        <v>127</v>
      </c>
      <c r="X28">
        <v>126</v>
      </c>
      <c r="Y28">
        <v>126</v>
      </c>
      <c r="Z28" s="2">
        <f>AVERAGE(Sheet1__13[[#This Row],[00:00:00]:[23:00:00]])</f>
        <v>132.375</v>
      </c>
      <c r="AA28" t="str" cm="1">
        <f t="array" ref="AA28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29" spans="1:27" x14ac:dyDescent="0.3">
      <c r="A29" s="1">
        <v>46019</v>
      </c>
      <c r="B29">
        <v>127</v>
      </c>
      <c r="C29">
        <v>127</v>
      </c>
      <c r="D29">
        <v>127</v>
      </c>
      <c r="E29">
        <v>128</v>
      </c>
      <c r="F29">
        <v>128</v>
      </c>
      <c r="G29">
        <v>128</v>
      </c>
      <c r="H29">
        <v>128</v>
      </c>
      <c r="I29">
        <v>128</v>
      </c>
      <c r="J29">
        <v>126</v>
      </c>
      <c r="K29">
        <v>127</v>
      </c>
      <c r="L29">
        <v>126</v>
      </c>
      <c r="M29">
        <v>126</v>
      </c>
      <c r="N29">
        <v>126</v>
      </c>
      <c r="O29">
        <v>126</v>
      </c>
      <c r="P29">
        <v>127</v>
      </c>
      <c r="Q29">
        <v>130</v>
      </c>
      <c r="R29">
        <v>132</v>
      </c>
      <c r="S29">
        <v>127</v>
      </c>
      <c r="T29">
        <v>126</v>
      </c>
      <c r="U29">
        <v>125</v>
      </c>
      <c r="V29">
        <v>126</v>
      </c>
      <c r="W29">
        <v>129</v>
      </c>
      <c r="X29">
        <v>129</v>
      </c>
      <c r="Y29">
        <v>129</v>
      </c>
      <c r="Z29" s="2">
        <f>AVERAGE(Sheet1__13[[#This Row],[00:00:00]:[23:00:00]])</f>
        <v>127.41666666666667</v>
      </c>
      <c r="AA29" t="str" cm="1">
        <f t="array" ref="AA29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30" spans="1:27" x14ac:dyDescent="0.3">
      <c r="A30" s="1">
        <v>46020</v>
      </c>
      <c r="B30">
        <v>129</v>
      </c>
      <c r="C30">
        <v>129</v>
      </c>
      <c r="D30">
        <v>132</v>
      </c>
      <c r="E30">
        <v>132</v>
      </c>
      <c r="F30">
        <v>131</v>
      </c>
      <c r="G30">
        <v>133</v>
      </c>
      <c r="H30">
        <v>133</v>
      </c>
      <c r="I30">
        <v>132</v>
      </c>
      <c r="J30">
        <v>133</v>
      </c>
      <c r="K30">
        <v>134</v>
      </c>
      <c r="L30">
        <v>135</v>
      </c>
      <c r="M30">
        <v>134</v>
      </c>
      <c r="N30">
        <v>133</v>
      </c>
      <c r="O30">
        <v>133</v>
      </c>
      <c r="P30">
        <v>132</v>
      </c>
      <c r="Q30">
        <v>133</v>
      </c>
      <c r="R30">
        <v>136</v>
      </c>
      <c r="S30">
        <v>134</v>
      </c>
      <c r="T30">
        <v>130</v>
      </c>
      <c r="U30">
        <v>131</v>
      </c>
      <c r="V30">
        <v>131</v>
      </c>
      <c r="W30">
        <v>131</v>
      </c>
      <c r="X30">
        <v>131</v>
      </c>
      <c r="Y30">
        <v>128</v>
      </c>
      <c r="Z30" s="2">
        <f>AVERAGE(Sheet1__13[[#This Row],[00:00:00]:[23:00:00]])</f>
        <v>132.08333333333334</v>
      </c>
      <c r="AA30" t="str" cm="1">
        <f t="array" ref="AA30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31" spans="1:27" x14ac:dyDescent="0.3">
      <c r="A31" s="1">
        <v>46021</v>
      </c>
      <c r="B31">
        <v>129</v>
      </c>
      <c r="C31">
        <v>130</v>
      </c>
      <c r="D31">
        <v>129</v>
      </c>
      <c r="E31">
        <v>128</v>
      </c>
      <c r="F31">
        <v>128</v>
      </c>
      <c r="G31">
        <v>127</v>
      </c>
      <c r="H31">
        <v>127</v>
      </c>
      <c r="I31">
        <v>127</v>
      </c>
      <c r="J31">
        <v>129</v>
      </c>
      <c r="K31">
        <v>132</v>
      </c>
      <c r="L31">
        <v>131</v>
      </c>
      <c r="M31">
        <v>130</v>
      </c>
      <c r="N31">
        <v>131</v>
      </c>
      <c r="O31">
        <v>131</v>
      </c>
      <c r="P31">
        <v>133</v>
      </c>
      <c r="Q31">
        <v>134</v>
      </c>
      <c r="R31">
        <v>136</v>
      </c>
      <c r="S31">
        <v>136</v>
      </c>
      <c r="T31">
        <v>137</v>
      </c>
      <c r="U31">
        <v>137</v>
      </c>
      <c r="V31">
        <v>137</v>
      </c>
      <c r="W31">
        <v>137</v>
      </c>
      <c r="X31">
        <v>137</v>
      </c>
      <c r="Y31">
        <v>136</v>
      </c>
      <c r="Z31" s="2">
        <f>AVERAGE(Sheet1__13[[#This Row],[00:00:00]:[23:00:00]])</f>
        <v>132.04166666666666</v>
      </c>
      <c r="AA31" t="str" cm="1">
        <f t="array" ref="AA31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32" spans="1:27" x14ac:dyDescent="0.3">
      <c r="A32" s="1">
        <v>46022</v>
      </c>
      <c r="B32">
        <v>137</v>
      </c>
      <c r="C32">
        <v>136</v>
      </c>
      <c r="D32">
        <v>136</v>
      </c>
      <c r="E32">
        <v>136</v>
      </c>
      <c r="F32">
        <v>135</v>
      </c>
      <c r="G32">
        <v>133</v>
      </c>
      <c r="H32">
        <v>133</v>
      </c>
      <c r="I32">
        <v>133</v>
      </c>
      <c r="J32">
        <v>133</v>
      </c>
      <c r="K32">
        <v>134</v>
      </c>
      <c r="L32">
        <v>135</v>
      </c>
      <c r="M32">
        <v>134</v>
      </c>
      <c r="N32">
        <v>134</v>
      </c>
      <c r="O32">
        <v>133</v>
      </c>
      <c r="P32">
        <v>133</v>
      </c>
      <c r="Q32">
        <v>131</v>
      </c>
      <c r="R32">
        <v>130</v>
      </c>
      <c r="S32">
        <v>128</v>
      </c>
      <c r="T32">
        <v>126</v>
      </c>
      <c r="U32">
        <v>124</v>
      </c>
      <c r="V32">
        <v>123</v>
      </c>
      <c r="W32">
        <v>121</v>
      </c>
      <c r="X32">
        <v>119</v>
      </c>
      <c r="Y32">
        <v>117</v>
      </c>
      <c r="Z32" s="2">
        <f>AVERAGE(Sheet1__13[[#This Row],[00:00:00]:[23:00:00]])</f>
        <v>130.58333333333334</v>
      </c>
      <c r="AA32" t="str" cm="1">
        <f t="array" ref="AA32">_xlfn.IFS(Sheet1__13[[#This Row],[AVERAGE AQI]]&lt;50,"GOOD",Sheet1__13[[#This Row],[AVERAGE AQI]]&lt;=100,"MODERATE",Sheet1__13[[#This Row],[AVERAGE AQI]]&lt;=150,"BAD",Sheet1__13[[#This Row],[AVERAGE AQI]]&lt;=200,"VERY BAD",Sheet1__13[[#This Row],[AVERAGE AQI]]&lt;=300,"HAZARDOUS")</f>
        <v>BAD</v>
      </c>
    </row>
    <row r="33" spans="26:26" x14ac:dyDescent="0.3">
      <c r="Z33" s="2">
        <f>AVERAGE(Sheet1__13[AVERAGE AQI])</f>
        <v>118.00759700794764</v>
      </c>
    </row>
  </sheetData>
  <conditionalFormatting sqref="AA1:AA1048576">
    <cfRule type="containsText" dxfId="2" priority="1" operator="containsText" text="MODERATE">
      <formula>NOT(ISERROR(SEARCH("MODERATE",AA1)))</formula>
    </cfRule>
    <cfRule type="containsText" dxfId="1" priority="2" operator="containsText" text="BAD">
      <formula>NOT(ISERROR(SEARCH("BAD",AA1)))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24F6A3-FB2F-4028-92E6-32322368D8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SEPT</vt:lpstr>
      <vt:lpstr>OCT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omkarkusale18@gmail.com</dc:creator>
  <cp:lastModifiedBy>omkarkusale18@gmail.com</cp:lastModifiedBy>
  <dcterms:created xsi:type="dcterms:W3CDTF">2026-09-04T05:35:54Z</dcterms:created>
  <dcterms:modified xsi:type="dcterms:W3CDTF">2026-09-04T08:44:03Z</dcterms:modified>
</cp:coreProperties>
</file>
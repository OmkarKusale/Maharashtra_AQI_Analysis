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\OneDrive\Desktop\AQI PROJECT\"/>
    </mc:Choice>
  </mc:AlternateContent>
  <xr:revisionPtr revIDLastSave="0" documentId="8_{4C727A44-1FE0-435C-B62F-CDF3116061DF}" xr6:coauthVersionLast="47" xr6:coauthVersionMax="47" xr10:uidLastSave="{00000000-0000-0000-0000-000000000000}"/>
  <bookViews>
    <workbookView xWindow="-108" yWindow="-108" windowWidth="23256" windowHeight="12456" activeTab="11" xr2:uid="{F986A4CD-409E-48BF-968C-8564BD973443}"/>
  </bookViews>
  <sheets>
    <sheet name="JAN" sheetId="2" r:id="rId1"/>
    <sheet name="FEB" sheetId="3" r:id="rId2"/>
    <sheet name="MAR" sheetId="4" r:id="rId3"/>
    <sheet name="APR" sheetId="5" r:id="rId4"/>
    <sheet name="MAY" sheetId="6" r:id="rId5"/>
    <sheet name="JUN" sheetId="7" r:id="rId6"/>
    <sheet name="JUL" sheetId="8" r:id="rId7"/>
    <sheet name="AUG" sheetId="9" r:id="rId8"/>
    <sheet name="SEPT" sheetId="10" r:id="rId9"/>
    <sheet name="OCT" sheetId="11" r:id="rId10"/>
    <sheet name="NOV" sheetId="12" r:id="rId11"/>
    <sheet name="DEC" sheetId="13" r:id="rId12"/>
  </sheets>
  <definedNames>
    <definedName name="ExternalData_1" localSheetId="3" hidden="1">APR!$A$1:$Y$31</definedName>
    <definedName name="ExternalData_1" localSheetId="7" hidden="1">AUG!$A$1:$Y$32</definedName>
    <definedName name="ExternalData_1" localSheetId="11" hidden="1">DEC!$A$1:$Y$32</definedName>
    <definedName name="ExternalData_1" localSheetId="1" hidden="1">FEB!$A$1:$Y$29</definedName>
    <definedName name="ExternalData_1" localSheetId="0" hidden="1">JAN!$A$1:$Y$32</definedName>
    <definedName name="ExternalData_1" localSheetId="6" hidden="1">JUL!$A$1:$Y$32</definedName>
    <definedName name="ExternalData_1" localSheetId="5" hidden="1">JUN!$A$1:$Y$31</definedName>
    <definedName name="ExternalData_1" localSheetId="2" hidden="1">MAR!$A$1:$Y$32</definedName>
    <definedName name="ExternalData_1" localSheetId="4" hidden="1">MAY!$A$1:$Y$32</definedName>
    <definedName name="ExternalData_1" localSheetId="10" hidden="1">NOV!$A$1:$Y$31</definedName>
    <definedName name="ExternalData_1" localSheetId="9" hidden="1">OCT!$A$1:$Y$32</definedName>
    <definedName name="ExternalData_1" localSheetId="8" hidden="1">SEPT!$A$1:$Y$31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8" l="1"/>
  <c r="Z2" i="7"/>
  <c r="Z3" i="13"/>
  <c r="AA3" i="13" s="1" a="1"/>
  <c r="Z4" i="13"/>
  <c r="AA4" i="13" s="1" a="1"/>
  <c r="Z5" i="13"/>
  <c r="AA5" i="13" s="1" a="1"/>
  <c r="Z6" i="13"/>
  <c r="AA6" i="13" s="1" a="1"/>
  <c r="Z7" i="13"/>
  <c r="AA7" i="13" s="1" a="1"/>
  <c r="Z8" i="13"/>
  <c r="AA8" i="13" s="1" a="1"/>
  <c r="Z9" i="13"/>
  <c r="AA9" i="13" s="1" a="1"/>
  <c r="Z10" i="13"/>
  <c r="AA10" i="13" s="1" a="1"/>
  <c r="Z11" i="13"/>
  <c r="AA11" i="13" s="1" a="1"/>
  <c r="Z12" i="13"/>
  <c r="AA12" i="13" s="1" a="1"/>
  <c r="Z13" i="13"/>
  <c r="AA13" i="13" s="1" a="1"/>
  <c r="Z14" i="13"/>
  <c r="AA14" i="13" s="1" a="1"/>
  <c r="Z15" i="13"/>
  <c r="AA15" i="13" s="1" a="1"/>
  <c r="Z16" i="13"/>
  <c r="AA16" i="13" s="1" a="1"/>
  <c r="Z17" i="13"/>
  <c r="AA17" i="13" s="1" a="1"/>
  <c r="Z18" i="13"/>
  <c r="AA18" i="13" s="1" a="1"/>
  <c r="Z19" i="13"/>
  <c r="AA19" i="13" s="1" a="1"/>
  <c r="Z20" i="13"/>
  <c r="AA20" i="13" s="1" a="1"/>
  <c r="Z21" i="13"/>
  <c r="AA21" i="13" s="1" a="1"/>
  <c r="Z22" i="13"/>
  <c r="AA22" i="13" s="1" a="1"/>
  <c r="Z23" i="13"/>
  <c r="AA23" i="13" s="1" a="1"/>
  <c r="Z24" i="13"/>
  <c r="AA24" i="13" s="1" a="1"/>
  <c r="Z25" i="13"/>
  <c r="AA25" i="13" s="1" a="1"/>
  <c r="Z26" i="13"/>
  <c r="AA26" i="13" s="1" a="1"/>
  <c r="Z27" i="13"/>
  <c r="AA27" i="13" s="1" a="1"/>
  <c r="Z28" i="13"/>
  <c r="AA28" i="13" s="1" a="1"/>
  <c r="Z29" i="13"/>
  <c r="AA29" i="13" s="1" a="1"/>
  <c r="Z30" i="13"/>
  <c r="AA30" i="13" s="1" a="1"/>
  <c r="Z31" i="13"/>
  <c r="AA31" i="13" s="1" a="1"/>
  <c r="Z32" i="13"/>
  <c r="AA32" i="13" s="1" a="1"/>
  <c r="Z2" i="13"/>
  <c r="Z3" i="12"/>
  <c r="AA3" i="12" s="1" a="1"/>
  <c r="Z4" i="12"/>
  <c r="AA4" i="12" s="1" a="1"/>
  <c r="Z5" i="12"/>
  <c r="AA5" i="12" s="1" a="1"/>
  <c r="Z6" i="12"/>
  <c r="AA6" i="12" s="1" a="1"/>
  <c r="Z7" i="12"/>
  <c r="AA7" i="12" s="1" a="1"/>
  <c r="Z8" i="12"/>
  <c r="AA8" i="12" s="1" a="1"/>
  <c r="Z9" i="12"/>
  <c r="AA9" i="12" s="1" a="1"/>
  <c r="Z10" i="12"/>
  <c r="AA10" i="12" s="1" a="1"/>
  <c r="Z11" i="12"/>
  <c r="AA11" i="12" s="1" a="1"/>
  <c r="Z12" i="12"/>
  <c r="AA12" i="12" s="1" a="1"/>
  <c r="Z13" i="12"/>
  <c r="AA13" i="12" s="1" a="1"/>
  <c r="Z14" i="12"/>
  <c r="AA14" i="12" s="1" a="1"/>
  <c r="Z15" i="12"/>
  <c r="AA15" i="12" s="1" a="1"/>
  <c r="Z16" i="12"/>
  <c r="AA16" i="12" s="1" a="1"/>
  <c r="Z17" i="12"/>
  <c r="AA17" i="12" s="1" a="1"/>
  <c r="Z18" i="12"/>
  <c r="AA18" i="12" s="1" a="1"/>
  <c r="Z19" i="12"/>
  <c r="AA19" i="12" s="1" a="1"/>
  <c r="Z20" i="12"/>
  <c r="AA20" i="12" s="1" a="1"/>
  <c r="Z21" i="12"/>
  <c r="AA21" i="12" s="1" a="1"/>
  <c r="Z22" i="12"/>
  <c r="AA22" i="12" s="1" a="1"/>
  <c r="Z23" i="12"/>
  <c r="AA23" i="12" s="1" a="1"/>
  <c r="Z24" i="12"/>
  <c r="AA24" i="12" s="1" a="1"/>
  <c r="Z25" i="12"/>
  <c r="AA25" i="12" s="1" a="1"/>
  <c r="Z26" i="12"/>
  <c r="AA26" i="12" s="1" a="1"/>
  <c r="Z27" i="12"/>
  <c r="AA27" i="12" s="1" a="1"/>
  <c r="Z28" i="12"/>
  <c r="AA28" i="12" s="1" a="1"/>
  <c r="Z29" i="12"/>
  <c r="AA29" i="12" s="1" a="1"/>
  <c r="Z30" i="12"/>
  <c r="AA30" i="12" s="1" a="1"/>
  <c r="Z31" i="12"/>
  <c r="AA31" i="12" s="1" a="1"/>
  <c r="Z2" i="12"/>
  <c r="Z3" i="11"/>
  <c r="AA3" i="11" s="1" a="1"/>
  <c r="Z4" i="11"/>
  <c r="AA4" i="11" s="1" a="1"/>
  <c r="Z5" i="11"/>
  <c r="AA5" i="11" s="1" a="1"/>
  <c r="Z6" i="11"/>
  <c r="AA6" i="11" s="1" a="1"/>
  <c r="Z7" i="11"/>
  <c r="AA7" i="11" s="1" a="1"/>
  <c r="Z8" i="11"/>
  <c r="AA8" i="11" s="1" a="1"/>
  <c r="Z9" i="11"/>
  <c r="AA9" i="11" s="1" a="1"/>
  <c r="Z10" i="11"/>
  <c r="AA10" i="11" s="1" a="1"/>
  <c r="Z11" i="11"/>
  <c r="AA11" i="11" s="1" a="1"/>
  <c r="Z12" i="11"/>
  <c r="AA12" i="11" s="1" a="1"/>
  <c r="Z13" i="11"/>
  <c r="AA13" i="11" s="1" a="1"/>
  <c r="Z14" i="11"/>
  <c r="AA14" i="11" s="1" a="1"/>
  <c r="Z15" i="11"/>
  <c r="AA15" i="11" s="1" a="1"/>
  <c r="Z16" i="11"/>
  <c r="AA16" i="11" s="1" a="1"/>
  <c r="Z17" i="11"/>
  <c r="AA17" i="11" s="1" a="1"/>
  <c r="Z18" i="11"/>
  <c r="AA18" i="11" s="1" a="1"/>
  <c r="Z19" i="11"/>
  <c r="AA19" i="11" s="1" a="1"/>
  <c r="Z20" i="11"/>
  <c r="AA20" i="11" s="1" a="1"/>
  <c r="Z21" i="11"/>
  <c r="AA21" i="11" s="1" a="1"/>
  <c r="Z22" i="11"/>
  <c r="AA22" i="11" s="1" a="1"/>
  <c r="Z23" i="11"/>
  <c r="AA23" i="11" s="1" a="1"/>
  <c r="Z24" i="11"/>
  <c r="AA24" i="11" s="1" a="1"/>
  <c r="Z25" i="11"/>
  <c r="AA25" i="11" s="1" a="1"/>
  <c r="Z26" i="11"/>
  <c r="AA26" i="11" s="1" a="1"/>
  <c r="Z27" i="11"/>
  <c r="AA27" i="11" s="1" a="1"/>
  <c r="Z28" i="11"/>
  <c r="AA28" i="11" s="1" a="1"/>
  <c r="Z29" i="11"/>
  <c r="AA29" i="11" s="1" a="1"/>
  <c r="Z30" i="11"/>
  <c r="AA30" i="11" s="1" a="1"/>
  <c r="Z31" i="11"/>
  <c r="AA31" i="11" s="1" a="1"/>
  <c r="Z32" i="11"/>
  <c r="AA32" i="11" s="1" a="1"/>
  <c r="Z2" i="11"/>
  <c r="Z3" i="10"/>
  <c r="AA3" i="10" s="1" a="1"/>
  <c r="Z4" i="10"/>
  <c r="AA4" i="10" s="1" a="1"/>
  <c r="Z5" i="10"/>
  <c r="AA5" i="10" s="1" a="1"/>
  <c r="Z6" i="10"/>
  <c r="AA6" i="10" s="1" a="1"/>
  <c r="Z7" i="10"/>
  <c r="AA7" i="10" s="1" a="1"/>
  <c r="Z8" i="10"/>
  <c r="AA8" i="10" s="1" a="1"/>
  <c r="Z9" i="10"/>
  <c r="AA9" i="10" s="1" a="1"/>
  <c r="Z10" i="10"/>
  <c r="AA10" i="10" s="1" a="1"/>
  <c r="Z11" i="10"/>
  <c r="AA11" i="10" s="1" a="1"/>
  <c r="Z12" i="10"/>
  <c r="AA12" i="10" s="1" a="1"/>
  <c r="Z13" i="10"/>
  <c r="AA13" i="10" s="1" a="1"/>
  <c r="Z14" i="10"/>
  <c r="AA14" i="10" s="1" a="1"/>
  <c r="Z15" i="10"/>
  <c r="AA15" i="10" s="1" a="1"/>
  <c r="Z16" i="10"/>
  <c r="AA16" i="10" s="1" a="1"/>
  <c r="Z17" i="10"/>
  <c r="AA17" i="10" s="1" a="1"/>
  <c r="Z18" i="10"/>
  <c r="AA18" i="10" s="1" a="1"/>
  <c r="Z19" i="10"/>
  <c r="AA19" i="10" s="1" a="1"/>
  <c r="Z20" i="10"/>
  <c r="AA20" i="10" s="1" a="1"/>
  <c r="Z21" i="10"/>
  <c r="AA21" i="10" s="1" a="1"/>
  <c r="Z22" i="10"/>
  <c r="AA22" i="10" s="1" a="1"/>
  <c r="Z23" i="10"/>
  <c r="AA23" i="10" s="1" a="1"/>
  <c r="Z24" i="10"/>
  <c r="AA24" i="10" s="1" a="1"/>
  <c r="Z25" i="10"/>
  <c r="AA25" i="10" s="1" a="1"/>
  <c r="Z26" i="10"/>
  <c r="AA26" i="10" s="1" a="1"/>
  <c r="Z27" i="10"/>
  <c r="AA27" i="10" s="1" a="1"/>
  <c r="Z28" i="10"/>
  <c r="AA28" i="10" s="1" a="1"/>
  <c r="Z29" i="10"/>
  <c r="AA29" i="10" s="1" a="1"/>
  <c r="Z30" i="10"/>
  <c r="AA30" i="10" s="1" a="1"/>
  <c r="Z31" i="10"/>
  <c r="AA31" i="10" s="1" a="1"/>
  <c r="Z2" i="10"/>
  <c r="Z3" i="9"/>
  <c r="AA3" i="9" s="1" a="1"/>
  <c r="Z4" i="9"/>
  <c r="AA4" i="9" s="1" a="1"/>
  <c r="Z5" i="9"/>
  <c r="AA5" i="9" s="1" a="1"/>
  <c r="Z6" i="9"/>
  <c r="AA6" i="9" s="1" a="1"/>
  <c r="Z7" i="9"/>
  <c r="AA7" i="9" s="1" a="1"/>
  <c r="Z8" i="9"/>
  <c r="AA8" i="9" s="1" a="1"/>
  <c r="Z9" i="9"/>
  <c r="AA9" i="9" s="1" a="1"/>
  <c r="Z10" i="9"/>
  <c r="AA10" i="9" s="1" a="1"/>
  <c r="Z11" i="9"/>
  <c r="AA11" i="9" s="1" a="1"/>
  <c r="Z12" i="9"/>
  <c r="AA12" i="9" s="1" a="1"/>
  <c r="Z13" i="9"/>
  <c r="AA13" i="9" s="1" a="1"/>
  <c r="Z14" i="9"/>
  <c r="AA14" i="9" s="1" a="1"/>
  <c r="Z15" i="9"/>
  <c r="AA15" i="9" s="1" a="1"/>
  <c r="Z16" i="9"/>
  <c r="AA16" i="9" s="1" a="1"/>
  <c r="Z17" i="9"/>
  <c r="AA17" i="9" s="1" a="1"/>
  <c r="Z18" i="9"/>
  <c r="AA18" i="9" s="1" a="1"/>
  <c r="Z19" i="9"/>
  <c r="AA19" i="9" s="1" a="1"/>
  <c r="Z20" i="9"/>
  <c r="AA20" i="9" s="1" a="1"/>
  <c r="Z21" i="9"/>
  <c r="AA21" i="9" s="1" a="1"/>
  <c r="Z22" i="9"/>
  <c r="AA22" i="9" s="1" a="1"/>
  <c r="Z23" i="9"/>
  <c r="AA23" i="9" s="1" a="1"/>
  <c r="Z24" i="9"/>
  <c r="AA24" i="9" s="1" a="1"/>
  <c r="Z25" i="9"/>
  <c r="AA25" i="9" s="1" a="1"/>
  <c r="Z26" i="9"/>
  <c r="AA26" i="9" s="1" a="1"/>
  <c r="Z27" i="9"/>
  <c r="AA27" i="9" s="1" a="1"/>
  <c r="Z28" i="9"/>
  <c r="AA28" i="9" s="1" a="1"/>
  <c r="Z29" i="9"/>
  <c r="AA29" i="9" s="1" a="1"/>
  <c r="Z30" i="9"/>
  <c r="AA30" i="9" s="1" a="1"/>
  <c r="Z31" i="9"/>
  <c r="AA31" i="9" s="1" a="1"/>
  <c r="Z32" i="9"/>
  <c r="AA32" i="9" s="1" a="1"/>
  <c r="Z2" i="9"/>
  <c r="AA2" i="9" s="1" a="1"/>
  <c r="Z3" i="8"/>
  <c r="AA3" i="8" s="1" a="1"/>
  <c r="Z4" i="8"/>
  <c r="AA4" i="8" s="1" a="1"/>
  <c r="Z5" i="8"/>
  <c r="AA5" i="8" s="1" a="1"/>
  <c r="Z6" i="8"/>
  <c r="AA6" i="8" s="1" a="1"/>
  <c r="Z7" i="8"/>
  <c r="AA7" i="8" s="1" a="1"/>
  <c r="Z8" i="8"/>
  <c r="AA8" i="8" s="1" a="1"/>
  <c r="Z9" i="8"/>
  <c r="AA9" i="8" s="1" a="1"/>
  <c r="Z10" i="8"/>
  <c r="AA10" i="8" s="1" a="1"/>
  <c r="Z11" i="8"/>
  <c r="AA11" i="8" s="1" a="1"/>
  <c r="Z12" i="8"/>
  <c r="AA12" i="8" s="1" a="1"/>
  <c r="Z13" i="8"/>
  <c r="AA13" i="8" s="1" a="1"/>
  <c r="Z14" i="8"/>
  <c r="AA14" i="8" s="1" a="1"/>
  <c r="Z15" i="8"/>
  <c r="AA15" i="8" s="1" a="1"/>
  <c r="Z16" i="8"/>
  <c r="AA16" i="8" s="1" a="1"/>
  <c r="Z17" i="8"/>
  <c r="AA17" i="8" s="1" a="1"/>
  <c r="Z18" i="8"/>
  <c r="AA18" i="8" s="1" a="1"/>
  <c r="Z19" i="8"/>
  <c r="AA19" i="8" s="1" a="1"/>
  <c r="Z20" i="8"/>
  <c r="AA20" i="8" s="1" a="1"/>
  <c r="Z21" i="8"/>
  <c r="AA21" i="8" s="1" a="1"/>
  <c r="Z22" i="8"/>
  <c r="AA22" i="8" s="1" a="1"/>
  <c r="Z23" i="8"/>
  <c r="AA23" i="8" s="1" a="1"/>
  <c r="Z24" i="8"/>
  <c r="AA24" i="8" s="1" a="1"/>
  <c r="Z25" i="8"/>
  <c r="AA25" i="8" s="1" a="1"/>
  <c r="Z26" i="8"/>
  <c r="AA26" i="8" s="1" a="1"/>
  <c r="Z27" i="8"/>
  <c r="AA27" i="8" s="1" a="1"/>
  <c r="Z28" i="8"/>
  <c r="AA28" i="8" s="1" a="1"/>
  <c r="Z29" i="8"/>
  <c r="AA29" i="8" s="1" a="1"/>
  <c r="Z30" i="8"/>
  <c r="AA30" i="8" s="1" a="1"/>
  <c r="Z31" i="8"/>
  <c r="AA31" i="8" s="1" a="1"/>
  <c r="Z32" i="8"/>
  <c r="AA32" i="8" s="1" a="1"/>
  <c r="Z3" i="7"/>
  <c r="AA3" i="7" s="1" a="1"/>
  <c r="Z4" i="7"/>
  <c r="AA4" i="7" s="1" a="1"/>
  <c r="Z5" i="7"/>
  <c r="AA5" i="7" s="1" a="1"/>
  <c r="Z6" i="7"/>
  <c r="AA6" i="7" s="1" a="1"/>
  <c r="Z7" i="7"/>
  <c r="AA7" i="7" s="1" a="1"/>
  <c r="Z8" i="7"/>
  <c r="AA8" i="7" s="1" a="1"/>
  <c r="Z9" i="7"/>
  <c r="AA9" i="7" s="1" a="1"/>
  <c r="Z10" i="7"/>
  <c r="AA10" i="7" s="1" a="1"/>
  <c r="Z11" i="7"/>
  <c r="AA11" i="7" s="1" a="1"/>
  <c r="Z12" i="7"/>
  <c r="AA12" i="7" s="1" a="1"/>
  <c r="Z13" i="7"/>
  <c r="AA13" i="7" s="1" a="1"/>
  <c r="Z14" i="7"/>
  <c r="AA14" i="7" s="1" a="1"/>
  <c r="Z15" i="7"/>
  <c r="AA15" i="7" s="1" a="1"/>
  <c r="Z16" i="7"/>
  <c r="AA16" i="7" s="1" a="1"/>
  <c r="Z17" i="7"/>
  <c r="AA17" i="7" s="1" a="1"/>
  <c r="Z18" i="7"/>
  <c r="AA18" i="7" s="1" a="1"/>
  <c r="Z19" i="7"/>
  <c r="AA19" i="7" s="1" a="1"/>
  <c r="Z20" i="7"/>
  <c r="AA20" i="7" s="1" a="1"/>
  <c r="Z21" i="7"/>
  <c r="AA21" i="7" s="1" a="1"/>
  <c r="Z22" i="7"/>
  <c r="AA22" i="7" s="1" a="1"/>
  <c r="Z23" i="7"/>
  <c r="AA23" i="7" s="1" a="1"/>
  <c r="Z24" i="7"/>
  <c r="AA24" i="7" s="1" a="1"/>
  <c r="Z25" i="7"/>
  <c r="AA25" i="7" s="1" a="1"/>
  <c r="Z26" i="7"/>
  <c r="AA26" i="7" s="1" a="1"/>
  <c r="Z27" i="7"/>
  <c r="AA27" i="7" s="1" a="1"/>
  <c r="Z28" i="7"/>
  <c r="AA28" i="7" s="1" a="1"/>
  <c r="Z29" i="7"/>
  <c r="AA29" i="7" s="1" a="1"/>
  <c r="Z30" i="7"/>
  <c r="AA30" i="7" s="1" a="1"/>
  <c r="Z31" i="7"/>
  <c r="AA31" i="7" s="1" a="1"/>
  <c r="Z3" i="6"/>
  <c r="AA3" i="6" s="1" a="1"/>
  <c r="Z4" i="6"/>
  <c r="AA4" i="6" s="1" a="1"/>
  <c r="Z5" i="6"/>
  <c r="AA5" i="6" s="1" a="1"/>
  <c r="Z6" i="6"/>
  <c r="AA6" i="6" s="1" a="1"/>
  <c r="Z7" i="6"/>
  <c r="AA7" i="6" s="1" a="1"/>
  <c r="Z8" i="6"/>
  <c r="AA8" i="6" s="1" a="1"/>
  <c r="Z9" i="6"/>
  <c r="AA9" i="6" s="1" a="1"/>
  <c r="Z10" i="6"/>
  <c r="AA10" i="6" s="1" a="1"/>
  <c r="Z11" i="6"/>
  <c r="AA11" i="6" s="1" a="1"/>
  <c r="Z12" i="6"/>
  <c r="AA12" i="6" s="1" a="1"/>
  <c r="Z13" i="6"/>
  <c r="AA13" i="6" s="1" a="1"/>
  <c r="Z14" i="6"/>
  <c r="AA14" i="6" s="1" a="1"/>
  <c r="Z15" i="6"/>
  <c r="AA15" i="6" s="1" a="1"/>
  <c r="Z16" i="6"/>
  <c r="AA16" i="6" s="1" a="1"/>
  <c r="Z17" i="6"/>
  <c r="AA17" i="6" s="1" a="1"/>
  <c r="Z18" i="6"/>
  <c r="AA18" i="6" s="1" a="1"/>
  <c r="Z19" i="6"/>
  <c r="AA19" i="6" s="1" a="1"/>
  <c r="Z20" i="6"/>
  <c r="AA20" i="6" s="1" a="1"/>
  <c r="Z21" i="6"/>
  <c r="AA21" i="6" s="1" a="1"/>
  <c r="Z22" i="6"/>
  <c r="AA22" i="6" s="1" a="1"/>
  <c r="Z23" i="6"/>
  <c r="AA23" i="6" s="1" a="1"/>
  <c r="Z24" i="6"/>
  <c r="AA24" i="6" s="1" a="1"/>
  <c r="Z25" i="6"/>
  <c r="AA25" i="6" s="1" a="1"/>
  <c r="Z26" i="6"/>
  <c r="AA26" i="6" s="1" a="1"/>
  <c r="Z27" i="6"/>
  <c r="AA27" i="6" s="1" a="1"/>
  <c r="Z28" i="6"/>
  <c r="AA28" i="6" s="1" a="1"/>
  <c r="Z29" i="6"/>
  <c r="AA29" i="6" s="1" a="1"/>
  <c r="Z30" i="6"/>
  <c r="AA30" i="6" s="1" a="1"/>
  <c r="Z31" i="6"/>
  <c r="AA31" i="6" s="1" a="1"/>
  <c r="Z32" i="6"/>
  <c r="AA32" i="6" s="1" a="1"/>
  <c r="Z2" i="6"/>
  <c r="Z3" i="5"/>
  <c r="AA3" i="5" s="1" a="1"/>
  <c r="Z4" i="5"/>
  <c r="AA4" i="5" s="1" a="1"/>
  <c r="Z5" i="5"/>
  <c r="AA5" i="5" s="1" a="1"/>
  <c r="Z6" i="5"/>
  <c r="AA6" i="5" s="1" a="1"/>
  <c r="Z7" i="5"/>
  <c r="AA7" i="5" s="1" a="1"/>
  <c r="Z8" i="5"/>
  <c r="AA8" i="5" s="1" a="1"/>
  <c r="Z9" i="5"/>
  <c r="AA9" i="5" s="1" a="1"/>
  <c r="Z10" i="5"/>
  <c r="AA10" i="5" s="1" a="1"/>
  <c r="Z11" i="5"/>
  <c r="AA11" i="5" s="1" a="1"/>
  <c r="Z12" i="5"/>
  <c r="AA12" i="5" s="1" a="1"/>
  <c r="Z13" i="5"/>
  <c r="AA13" i="5" s="1" a="1"/>
  <c r="Z14" i="5"/>
  <c r="AA14" i="5" s="1" a="1"/>
  <c r="Z15" i="5"/>
  <c r="AA15" i="5" s="1" a="1"/>
  <c r="Z16" i="5"/>
  <c r="AA16" i="5" s="1" a="1"/>
  <c r="Z17" i="5"/>
  <c r="AA17" i="5" s="1" a="1"/>
  <c r="Z18" i="5"/>
  <c r="AA18" i="5" s="1" a="1"/>
  <c r="Z19" i="5"/>
  <c r="AA19" i="5" s="1" a="1"/>
  <c r="Z20" i="5"/>
  <c r="AA20" i="5" s="1" a="1"/>
  <c r="Z21" i="5"/>
  <c r="AA21" i="5" s="1" a="1"/>
  <c r="Z22" i="5"/>
  <c r="AA22" i="5" s="1" a="1"/>
  <c r="Z23" i="5"/>
  <c r="AA23" i="5" s="1" a="1"/>
  <c r="Z24" i="5"/>
  <c r="AA24" i="5" s="1" a="1"/>
  <c r="Z25" i="5"/>
  <c r="AA25" i="5" s="1" a="1"/>
  <c r="Z26" i="5"/>
  <c r="AA26" i="5" s="1" a="1"/>
  <c r="Z27" i="5"/>
  <c r="AA27" i="5" s="1" a="1"/>
  <c r="Z28" i="5"/>
  <c r="AA28" i="5" s="1" a="1"/>
  <c r="Z29" i="5"/>
  <c r="AA29" i="5" s="1" a="1"/>
  <c r="Z30" i="5"/>
  <c r="AA30" i="5" s="1" a="1"/>
  <c r="Z31" i="5"/>
  <c r="AA31" i="5" s="1" a="1"/>
  <c r="Z2" i="5"/>
  <c r="AA2" i="5" s="1" a="1"/>
  <c r="Z3" i="4"/>
  <c r="AA3" i="4" s="1" a="1"/>
  <c r="Z4" i="4"/>
  <c r="AA4" i="4" s="1" a="1"/>
  <c r="Z5" i="4"/>
  <c r="AA5" i="4" s="1" a="1"/>
  <c r="Z6" i="4"/>
  <c r="AA6" i="4" s="1" a="1"/>
  <c r="Z7" i="4"/>
  <c r="AA7" i="4" s="1" a="1"/>
  <c r="Z8" i="4"/>
  <c r="AA8" i="4" s="1" a="1"/>
  <c r="Z9" i="4"/>
  <c r="AA9" i="4" s="1" a="1"/>
  <c r="Z10" i="4"/>
  <c r="AA10" i="4" s="1" a="1"/>
  <c r="Z11" i="4"/>
  <c r="AA11" i="4" s="1" a="1"/>
  <c r="Z12" i="4"/>
  <c r="AA12" i="4" s="1" a="1"/>
  <c r="Z13" i="4"/>
  <c r="AA13" i="4" s="1" a="1"/>
  <c r="Z14" i="4"/>
  <c r="AA14" i="4" s="1" a="1"/>
  <c r="Z15" i="4"/>
  <c r="AA15" i="4" s="1" a="1"/>
  <c r="Z16" i="4"/>
  <c r="AA16" i="4" s="1" a="1"/>
  <c r="Z17" i="4"/>
  <c r="AA17" i="4" s="1" a="1"/>
  <c r="Z18" i="4"/>
  <c r="AA18" i="4" s="1" a="1"/>
  <c r="Z19" i="4"/>
  <c r="AA19" i="4" s="1" a="1"/>
  <c r="Z20" i="4"/>
  <c r="AA20" i="4" s="1" a="1"/>
  <c r="Z21" i="4"/>
  <c r="AA21" i="4" s="1" a="1"/>
  <c r="Z22" i="4"/>
  <c r="AA22" i="4" s="1" a="1"/>
  <c r="Z23" i="4"/>
  <c r="AA23" i="4" s="1" a="1"/>
  <c r="Z24" i="4"/>
  <c r="AA24" i="4" s="1" a="1"/>
  <c r="Z25" i="4"/>
  <c r="AA25" i="4" s="1" a="1"/>
  <c r="Z26" i="4"/>
  <c r="AA26" i="4" s="1" a="1"/>
  <c r="Z27" i="4"/>
  <c r="AA27" i="4" s="1" a="1"/>
  <c r="Z28" i="4"/>
  <c r="AA28" i="4" s="1" a="1"/>
  <c r="Z29" i="4"/>
  <c r="AA29" i="4" s="1" a="1"/>
  <c r="Z30" i="4"/>
  <c r="AA30" i="4" s="1" a="1"/>
  <c r="Z31" i="4"/>
  <c r="AA31" i="4" s="1" a="1"/>
  <c r="Z32" i="4"/>
  <c r="AA32" i="4" s="1" a="1"/>
  <c r="Z2" i="4"/>
  <c r="AA2" i="4" s="1" a="1"/>
  <c r="Z3" i="3"/>
  <c r="AA3" i="3" s="1" a="1"/>
  <c r="Z4" i="3"/>
  <c r="AA4" i="3" s="1" a="1"/>
  <c r="Z5" i="3"/>
  <c r="AA5" i="3" s="1" a="1"/>
  <c r="Z6" i="3"/>
  <c r="AA6" i="3" s="1" a="1"/>
  <c r="Z7" i="3"/>
  <c r="AA7" i="3" s="1" a="1"/>
  <c r="Z8" i="3"/>
  <c r="AA8" i="3" s="1" a="1"/>
  <c r="Z9" i="3"/>
  <c r="AA9" i="3" s="1" a="1"/>
  <c r="Z10" i="3"/>
  <c r="AA10" i="3" s="1" a="1"/>
  <c r="Z11" i="3"/>
  <c r="AA11" i="3" s="1" a="1"/>
  <c r="Z12" i="3"/>
  <c r="AA12" i="3" s="1" a="1"/>
  <c r="Z13" i="3"/>
  <c r="AA13" i="3" s="1" a="1"/>
  <c r="Z14" i="3"/>
  <c r="AA14" i="3" s="1" a="1"/>
  <c r="Z15" i="3"/>
  <c r="AA15" i="3" s="1" a="1"/>
  <c r="Z16" i="3"/>
  <c r="AA16" i="3" s="1" a="1"/>
  <c r="Z17" i="3"/>
  <c r="AA17" i="3" s="1" a="1"/>
  <c r="Z18" i="3"/>
  <c r="AA18" i="3" s="1" a="1"/>
  <c r="Z19" i="3"/>
  <c r="AA19" i="3" s="1" a="1"/>
  <c r="Z20" i="3"/>
  <c r="AA20" i="3" s="1" a="1"/>
  <c r="Z21" i="3"/>
  <c r="AA21" i="3" s="1" a="1"/>
  <c r="Z22" i="3"/>
  <c r="AA22" i="3" s="1" a="1"/>
  <c r="Z23" i="3"/>
  <c r="AA23" i="3" s="1" a="1"/>
  <c r="Z24" i="3"/>
  <c r="AA24" i="3" s="1" a="1"/>
  <c r="Z25" i="3"/>
  <c r="AA25" i="3" s="1" a="1"/>
  <c r="Z26" i="3"/>
  <c r="AA26" i="3" s="1" a="1"/>
  <c r="Z27" i="3"/>
  <c r="AA27" i="3" s="1" a="1"/>
  <c r="Z28" i="3"/>
  <c r="AA28" i="3" s="1" a="1"/>
  <c r="Z29" i="3"/>
  <c r="AA29" i="3" s="1" a="1"/>
  <c r="Z2" i="3"/>
  <c r="AA2" i="3" s="1" a="1"/>
  <c r="Z33" i="2"/>
  <c r="AA3" i="2" a="1"/>
  <c r="AA4" i="2" a="1"/>
  <c r="AA5" i="2" a="1"/>
  <c r="AA6" i="2" a="1"/>
  <c r="AA7" i="2" a="1"/>
  <c r="AA8" i="2" a="1"/>
  <c r="AA9" i="2" a="1"/>
  <c r="AA10" i="2" a="1"/>
  <c r="AA11" i="2" a="1"/>
  <c r="AA12" i="2" a="1"/>
  <c r="AA13" i="2" a="1"/>
  <c r="AA14" i="2" a="1"/>
  <c r="AA15" i="2" a="1"/>
  <c r="AA16" i="2" a="1"/>
  <c r="AA17" i="2" a="1"/>
  <c r="AA18" i="2" a="1"/>
  <c r="AA19" i="2" a="1"/>
  <c r="AA20" i="2" a="1"/>
  <c r="AA21" i="2" a="1"/>
  <c r="AA22" i="2" a="1"/>
  <c r="AA23" i="2" a="1"/>
  <c r="AA24" i="2" a="1"/>
  <c r="AA25" i="2" a="1"/>
  <c r="AA26" i="2" a="1"/>
  <c r="AA27" i="2" a="1"/>
  <c r="AA28" i="2" a="1"/>
  <c r="AA29" i="2" a="1"/>
  <c r="AA30" i="2" a="1"/>
  <c r="AA31" i="2" a="1"/>
  <c r="AA32" i="2" a="1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2" i="2"/>
  <c r="AA2" i="13" l="1" a="1"/>
  <c r="Z33" i="13"/>
  <c r="AA2" i="12" a="1"/>
  <c r="Z32" i="12"/>
  <c r="AA2" i="11" a="1"/>
  <c r="Z33" i="11"/>
  <c r="AA2" i="10" a="1"/>
  <c r="Z32" i="10"/>
  <c r="Z33" i="9"/>
  <c r="AA2" i="8" a="1"/>
  <c r="Z33" i="8"/>
  <c r="AA2" i="7" a="1"/>
  <c r="Z32" i="7"/>
  <c r="AA2" i="6" a="1"/>
  <c r="Z33" i="6"/>
  <c r="Z32" i="5"/>
  <c r="Z33" i="4"/>
  <c r="Z30" i="3"/>
  <c r="AA2" i="2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D61E9E-4F19-4DDB-8B97-89B62FA4868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67872413-9FEB-4279-8D28-6BC02F7D785F}" keepAlive="1" name="Query - Sheet1 (10)" description="Connection to the 'Sheet1 (10)' query in the workbook." type="5" refreshedVersion="8" background="1" saveData="1">
    <dbPr connection="Provider=Microsoft.Mashup.OleDb.1;Data Source=$Workbook$;Location=&quot;Sheet1 (10)&quot;;Extended Properties=&quot;&quot;" command="SELECT * FROM [Sheet1 (10)]"/>
  </connection>
  <connection id="3" xr16:uid="{84BBB0CF-E42D-4CB0-A93C-2F17560C1FA3}" keepAlive="1" name="Query - Sheet1 (11)" description="Connection to the 'Sheet1 (11)' query in the workbook." type="5" refreshedVersion="8" background="1" saveData="1">
    <dbPr connection="Provider=Microsoft.Mashup.OleDb.1;Data Source=$Workbook$;Location=&quot;Sheet1 (11)&quot;;Extended Properties=&quot;&quot;" command="SELECT * FROM [Sheet1 (11)]"/>
  </connection>
  <connection id="4" xr16:uid="{541DD65F-5C65-4288-9F37-B65AE29229D3}" keepAlive="1" name="Query - Sheet1 (12)" description="Connection to the 'Sheet1 (12)' query in the workbook." type="5" refreshedVersion="8" background="1" saveData="1">
    <dbPr connection="Provider=Microsoft.Mashup.OleDb.1;Data Source=$Workbook$;Location=&quot;Sheet1 (12)&quot;;Extended Properties=&quot;&quot;" command="SELECT * FROM [Sheet1 (12)]"/>
  </connection>
  <connection id="5" xr16:uid="{09C67B61-EB77-4080-8FB4-FDCB25A6DF78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6" xr16:uid="{C09B9E60-E6E5-45A1-B7DF-1DBBBA9EF252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7" xr16:uid="{A2286583-7AB8-420E-B169-F6081EA387D8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8" xr16:uid="{4523F912-317B-4EF5-8FA0-026381B87AE6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9" xr16:uid="{58FAF146-1774-4452-A8EC-89E0F542B527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10" xr16:uid="{20D518F5-5C88-41A7-BFE9-FB4B51BC71AF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11" xr16:uid="{FE19742A-640A-4D41-A00A-376CC9D95874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  <connection id="12" xr16:uid="{EC1F631E-178C-4CD5-B4B4-EBAE1915CE91}" keepAlive="1" name="Query - Sheet1 (9)" description="Connection to the 'Sheet1 (9)' query in the workbook." type="5" refreshedVersion="8" background="1" saveData="1">
    <dbPr connection="Provider=Microsoft.Mashup.OleDb.1;Data Source=$Workbook$;Location=&quot;Sheet1 (9)&quot;;Extended Properties=&quot;&quot;" command="SELECT * FROM [Sheet1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<sst xmlns="http://schemas.openxmlformats.org/spreadsheetml/2006/main" count="324" uniqueCount="29">
  <si>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</si>
  <si>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</si>
  <si>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</si>
  <si>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</si>
  <si>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</si>
  <si>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</si>
  <si>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</si>
  <si>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</si>
  <si>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</si>
  <si>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</si>
  <si>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</si>
  <si>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</si>
  <si>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</si>
  <si>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</si>
  <si>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</si>
  <si>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</si>
  <si>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</si>
  <si>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</si>
  <si>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</si>
  <si>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</si>
  <si>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</si>
  <si>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</si>
  <si>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</si>
  <si>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</si>
  <si>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</si>
  <si>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QUALITY</t>
  </si>
  <si>
    <t>QUALTIY</t>
  </si>
  <si>
    <t>AVERAGE AQI</t>
  </si>
  <si>
    <t xml:space="preserve">QUALITY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</si>
</sst>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3">
    <dxf>
      <numFmt numFmtId="2" formatCode="0.0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1"/>
        </patternFill>
      </fill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numFmt numFmtId="2" formatCode="0.00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33C06B-8422-4B17-BC73-452F1EDF693C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9EE2FDB-9C26-41EE-BDFA-419AECB43C50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6820308-A909-4AC1-B8F7-49CDC961A1AF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1A33C63-A684-475E-9FEA-53CA7F651150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F19C901-7B7F-4B2C-9A33-869092DD142C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1DCF9657-6AFE-45C2-852F-8528E5EA874A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15E653AA-0214-4C36-BA17-E85BF66664B5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AF9E9278-A0B0-4FAE-9E30-4EF0B5A1AD66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F143F278-6D7E-4102-8B5E-8CBBC247A989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2C488A0-30BB-4B23-A3EA-C4EF6A4B0BF5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736F2E7-57D9-45EF-B223-5C5062569D46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A6AE71F-B68A-43A4-AE44-5DF8D31C7353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F750B5-B2F3-46D5-B7D1-3E9FBD51C69D}" name="Sheet1" displayName="Sheet1" ref="A1:AA33" tableType="queryTable" totalsRowCount="1">
  <autoFilter ref="A1:AA32" xr:uid="{3DF750B5-B2F3-46D5-B7D1-3E9FBD51C69D}"/>
  <tableColumns count="27">
    <tableColumn id="1" xr3:uid="{5F90651D-AD3C-4132-AB97-B8377EDD4A63}" uniqueName="1" name="Date" queryTableFieldId="1"/>
    <tableColumn id="2" xr3:uid="{72016533-FE00-48F8-9809-9E689A3787D4}" uniqueName="2" name="00:00:00" queryTableFieldId="2"/>
    <tableColumn id="3" xr3:uid="{974A373E-2D0C-4378-A3AF-746EF6D94115}" uniqueName="3" name="01:00:00" queryTableFieldId="3"/>
    <tableColumn id="4" xr3:uid="{0E3F8C48-BABC-4F44-8C0A-52CABF6A16DC}" uniqueName="4" name="02:00:00" queryTableFieldId="4"/>
    <tableColumn id="5" xr3:uid="{27D61274-B98F-4E96-8529-832C4B239192}" uniqueName="5" name="03:00:00" queryTableFieldId="5"/>
    <tableColumn id="6" xr3:uid="{55B3FBB7-8777-48AB-8ED0-A753AD3BB71A}" uniqueName="6" name="04:00:00" queryTableFieldId="6"/>
    <tableColumn id="7" xr3:uid="{10BB5908-4C99-4F60-AE9A-53FC060EC3E0}" uniqueName="7" name="05:00:00" queryTableFieldId="7"/>
    <tableColumn id="8" xr3:uid="{F55D332E-13DD-40C4-A0D9-A1CB3EB63B23}" uniqueName="8" name="06:00:00" queryTableFieldId="8"/>
    <tableColumn id="9" xr3:uid="{440755F9-84C5-448C-9429-213BC26A7A84}" uniqueName="9" name="07:00:00" queryTableFieldId="9"/>
    <tableColumn id="10" xr3:uid="{0D3187FA-F42A-409E-893E-CF91218CD4B1}" uniqueName="10" name="08:00:00" queryTableFieldId="10"/>
    <tableColumn id="11" xr3:uid="{2524E45D-D7BA-4719-8A1A-66A67EB1BACF}" uniqueName="11" name="09:00:00" queryTableFieldId="11"/>
    <tableColumn id="12" xr3:uid="{849D6B89-4445-41A2-9908-D6B07E9D5107}" uniqueName="12" name="10:00:00" queryTableFieldId="12"/>
    <tableColumn id="13" xr3:uid="{FBD2D31B-6C98-44B6-9B9D-7A0F1CE035AF}" uniqueName="13" name="11:00:00" queryTableFieldId="13"/>
    <tableColumn id="14" xr3:uid="{CFE81926-A6E7-49BA-93FB-672CBD6BFE5D}" uniqueName="14" name="12:00:00" queryTableFieldId="14"/>
    <tableColumn id="15" xr3:uid="{9815D08A-840D-445C-AA60-8D026CE30839}" uniqueName="15" name="13:00:00" queryTableFieldId="15"/>
    <tableColumn id="16" xr3:uid="{2758AAAF-F3B0-4F3A-8150-6CE86101DD70}" uniqueName="16" name="14:00:00" queryTableFieldId="16"/>
    <tableColumn id="17" xr3:uid="{84476957-2F7D-4DB9-9DA8-878DDEE0F6D6}" uniqueName="17" name="15:00:00" queryTableFieldId="17"/>
    <tableColumn id="18" xr3:uid="{31867BE4-244A-4F74-932C-5C95D4064818}" uniqueName="18" name="16:00:00" queryTableFieldId="18"/>
    <tableColumn id="19" xr3:uid="{1080D784-AFC7-4653-8D9B-F5930E0EB4BA}" uniqueName="19" name="17:00:00" queryTableFieldId="19"/>
    <tableColumn id="20" xr3:uid="{921ACD32-CA25-4DBD-8C24-1598130A0354}" uniqueName="20" name="18:00:00" queryTableFieldId="20"/>
    <tableColumn id="21" xr3:uid="{BFF855AA-6FC5-4673-BBDF-3952E14F2803}" uniqueName="21" name="19:00:00" queryTableFieldId="21"/>
    <tableColumn id="22" xr3:uid="{AA521A47-C08B-491B-927A-5AF3F78330AB}" uniqueName="22" name="20:00:00" queryTableFieldId="22"/>
    <tableColumn id="23" xr3:uid="{BC5956C2-D55A-4315-941B-79265A4FEABB}" uniqueName="23" name="21:00:00" queryTableFieldId="23"/>
    <tableColumn id="24" xr3:uid="{78DB9A87-42D2-4AA6-9008-9E94116F410B}" uniqueName="24" name="22:00:00" queryTableFieldId="24"/>
    <tableColumn id="25" xr3:uid="{F669115C-1127-4E83-A03E-AF225C40166C}" uniqueName="25" name="23:00:00" queryTableFieldId="25"/>
    <tableColumn id="26" xr3:uid="{CEBA9251-F25F-4C42-B9B8-8646135419D1}" uniqueName="26" name="AVERAGE AQI" totalsRowFunction="average" queryTableFieldId="26" dataDxfId="72" totalsRowDxfId="69">
      <calculatedColumnFormula>AVERAGE(Sheet1[[#This Row],[00:00:00]:[23:00:00]])</calculatedColumnFormula>
    </tableColumn>
    <tableColumn id="27" xr3:uid="{AA91F169-2EA3-473C-A612-037D0451C7A9}" uniqueName="27" name="QUALITY" queryTableFieldId="27" dataDxfId="71" totalsRowDxfId="70">
      <calculatedColumnFormula array="1">_xlfn.IFS(Sheet1[[#This Row],[AVERAGE AQI]]&lt;50,"GOOD",Sheet1[[#This Row],[AVERAGE AQI]]&lt;=100,"MODERATE",Sheet1[[#This Row],[AVERAGE AQI]]&lt;=150,"BAD",Sheet1[[#This Row],[AVERAGE AQI]]&lt;=200,"VERY BAD",Sheet1[[#This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AD374C-0CAD-4EB3-A71B-43F01A48667A}" name="Sheet1__2" displayName="Sheet1__2" ref="A1:AA30" tableType="queryTable" totalsRowCount="1">
  <autoFilter ref="A1:AA29" xr:uid="{D1AD374C-0CAD-4EB3-A71B-43F01A48667A}"/>
  <tableColumns count="27">
    <tableColumn id="1" xr3:uid="{4029B145-1F14-4CD3-AFA3-8AB574A6707B}" uniqueName="1" name="Date" queryTableFieldId="1"/>
    <tableColumn id="2" xr3:uid="{65C909D6-EC65-451C-BD73-65E071FF85E8}" uniqueName="2" name="00:00:00" queryTableFieldId="2"/>
    <tableColumn id="3" xr3:uid="{C2D617F9-8210-4C18-B48E-3BBB8D3F5B06}" uniqueName="3" name="01:00:00" queryTableFieldId="3"/>
    <tableColumn id="4" xr3:uid="{8EB6DF00-EB7C-431C-80F9-E4681B424BD2}" uniqueName="4" name="02:00:00" queryTableFieldId="4"/>
    <tableColumn id="5" xr3:uid="{F4988344-F786-4606-8D1E-1E94AB0C1AFD}" uniqueName="5" name="03:00:00" queryTableFieldId="5"/>
    <tableColumn id="6" xr3:uid="{C5D0667D-3FAB-497E-B4E3-CF93EEB0F4B0}" uniqueName="6" name="04:00:00" queryTableFieldId="6"/>
    <tableColumn id="7" xr3:uid="{6F0123AF-3ED5-428D-96BC-FD01139B6280}" uniqueName="7" name="05:00:00" queryTableFieldId="7"/>
    <tableColumn id="8" xr3:uid="{215BB807-482E-41E4-8FF8-2DC9A0550C31}" uniqueName="8" name="06:00:00" queryTableFieldId="8"/>
    <tableColumn id="9" xr3:uid="{85BD24D3-4359-4BED-B02E-428D9AA9D120}" uniqueName="9" name="07:00:00" queryTableFieldId="9"/>
    <tableColumn id="10" xr3:uid="{4B485F9D-C0DC-42A6-B3D5-20080F96E7B9}" uniqueName="10" name="08:00:00" queryTableFieldId="10"/>
    <tableColumn id="11" xr3:uid="{DD4D4F65-8E9D-4526-93ED-451AAF368558}" uniqueName="11" name="09:00:00" queryTableFieldId="11"/>
    <tableColumn id="12" xr3:uid="{C0EA458F-8DED-454F-A4BC-EFF5A0D59543}" uniqueName="12" name="10:00:00" queryTableFieldId="12"/>
    <tableColumn id="13" xr3:uid="{9B912AAC-AD1E-4E01-A690-EBEF72E786A7}" uniqueName="13" name="11:00:00" queryTableFieldId="13"/>
    <tableColumn id="14" xr3:uid="{C567FEEE-AB96-4A57-8E1C-DA33C36D6A06}" uniqueName="14" name="12:00:00" queryTableFieldId="14"/>
    <tableColumn id="15" xr3:uid="{6179E416-5381-4E2F-A0DB-217F1492E3E0}" uniqueName="15" name="13:00:00" queryTableFieldId="15"/>
    <tableColumn id="16" xr3:uid="{1B2C8C85-3E1A-48A4-ACB9-2BB1B44029EB}" uniqueName="16" name="14:00:00" queryTableFieldId="16"/>
    <tableColumn id="17" xr3:uid="{B54EFEC2-FA84-48D8-86B9-21D95307C3C6}" uniqueName="17" name="15:00:00" queryTableFieldId="17"/>
    <tableColumn id="18" xr3:uid="{40570D20-25A1-4471-899F-CC18685C02A4}" uniqueName="18" name="16:00:00" queryTableFieldId="18"/>
    <tableColumn id="19" xr3:uid="{859FE85B-CAA6-47ED-BFEA-48F2C2EF577E}" uniqueName="19" name="17:00:00" queryTableFieldId="19"/>
    <tableColumn id="20" xr3:uid="{D5874846-0965-4F83-B6DE-AE481A057D08}" uniqueName="20" name="18:00:00" queryTableFieldId="20"/>
    <tableColumn id="21" xr3:uid="{E713D794-5911-4DCA-831D-1AD796333BCE}" uniqueName="21" name="19:00:00" queryTableFieldId="21"/>
    <tableColumn id="22" xr3:uid="{0D3FA1FB-FA8B-4FA8-AEA1-07CD30B4E0F3}" uniqueName="22" name="20:00:00" queryTableFieldId="22"/>
    <tableColumn id="23" xr3:uid="{61E9564F-2925-41C6-A59D-BE889CE2CD03}" uniqueName="23" name="21:00:00" queryTableFieldId="23"/>
    <tableColumn id="24" xr3:uid="{310A3C19-4008-4AD2-B0AF-0B032ED44230}" uniqueName="24" name="22:00:00" queryTableFieldId="24"/>
    <tableColumn id="25" xr3:uid="{B71FCF4C-5A07-46E1-B9CF-BE195513BD94}" uniqueName="25" name="23:00:00" queryTableFieldId="25"/>
    <tableColumn id="26" xr3:uid="{24E4C0C7-F2D2-4075-8142-307265939662}" uniqueName="26" name="AVERAGE AQI" totalsRowFunction="average" queryTableFieldId="26" dataDxfId="68" totalsRowDxfId="67">
      <calculatedColumnFormula>AVERAGE(Sheet1__2[[#This Row],[00:00:00]:[23:00:00]])</calculatedColumnFormula>
    </tableColumn>
    <tableColumn id="27" xr3:uid="{77728C2C-B573-4865-AC9B-2507EA78D528}" uniqueName="27" name="QUALITY" queryTableFieldId="27" dataDxfId="66">
      <calculatedColumnFormula array="1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FB27F7-0994-4C27-B3EB-7CD2C88DE61D}" name="Sheet1__3" displayName="Sheet1__3" ref="A1:AA33" tableType="queryTable" totalsRowCount="1">
  <autoFilter ref="A1:AA32" xr:uid="{5FFB27F7-0994-4C27-B3EB-7CD2C88DE61D}"/>
  <tableColumns count="27">
    <tableColumn id="1" xr3:uid="{3E4AEA51-C613-4838-BA83-A986CCBDF212}" uniqueName="1" name="Date" queryTableFieldId="1"/>
    <tableColumn id="2" xr3:uid="{B5AEBA5C-1594-4BFD-9B2C-B484D60629F8}" uniqueName="2" name="00:00:00" queryTableFieldId="2"/>
    <tableColumn id="3" xr3:uid="{F3835A91-F27A-48A2-9609-81C7A9E61531}" uniqueName="3" name="01:00:00" queryTableFieldId="3"/>
    <tableColumn id="4" xr3:uid="{73C38731-4E69-42AD-BF04-661E4EC2A4F3}" uniqueName="4" name="02:00:00" queryTableFieldId="4"/>
    <tableColumn id="5" xr3:uid="{1AE8A916-9923-4CC8-9CC4-61AAA8BA5E55}" uniqueName="5" name="03:00:00" queryTableFieldId="5"/>
    <tableColumn id="6" xr3:uid="{C1B4C93E-826A-43EE-A16E-7A0F9D1DFA6C}" uniqueName="6" name="04:00:00" queryTableFieldId="6"/>
    <tableColumn id="7" xr3:uid="{741257D2-B042-4332-B19D-BC45DCD6D607}" uniqueName="7" name="05:00:00" queryTableFieldId="7"/>
    <tableColumn id="8" xr3:uid="{93F580B6-B1E1-4394-894B-A66439C60C6D}" uniqueName="8" name="06:00:00" queryTableFieldId="8"/>
    <tableColumn id="9" xr3:uid="{DD72EDF2-5B6F-4DDE-B6EF-2C2932491F96}" uniqueName="9" name="07:00:00" queryTableFieldId="9"/>
    <tableColumn id="10" xr3:uid="{8B753857-9539-4ABD-B90E-20F7E58E833D}" uniqueName="10" name="08:00:00" queryTableFieldId="10"/>
    <tableColumn id="11" xr3:uid="{49515DE9-C776-463B-B288-9FAEA0E8BEE6}" uniqueName="11" name="09:00:00" queryTableFieldId="11"/>
    <tableColumn id="12" xr3:uid="{8178C8E0-39B3-4773-8BB7-889F18A077CF}" uniqueName="12" name="10:00:00" queryTableFieldId="12"/>
    <tableColumn id="13" xr3:uid="{22F72E45-5950-46FE-922D-0F9D33DC4D19}" uniqueName="13" name="11:00:00" queryTableFieldId="13"/>
    <tableColumn id="14" xr3:uid="{EB04AE04-AB7E-4C55-ADE2-FF2EF144947A}" uniqueName="14" name="12:00:00" queryTableFieldId="14"/>
    <tableColumn id="15" xr3:uid="{79A947C9-7B0C-4849-A833-A813A806BB16}" uniqueName="15" name="13:00:00" queryTableFieldId="15"/>
    <tableColumn id="16" xr3:uid="{670FBF85-7C4D-4839-B1B6-E0E6AED0A920}" uniqueName="16" name="14:00:00" queryTableFieldId="16"/>
    <tableColumn id="17" xr3:uid="{85B05FE1-DA9B-4C9B-A506-8BD9B27E2D61}" uniqueName="17" name="15:00:00" queryTableFieldId="17"/>
    <tableColumn id="18" xr3:uid="{8F3FC72F-BC94-4FCD-9764-ADBBF541A27A}" uniqueName="18" name="16:00:00" queryTableFieldId="18"/>
    <tableColumn id="19" xr3:uid="{4A08F509-F89E-4AD4-A8D5-120683201F5C}" uniqueName="19" name="17:00:00" queryTableFieldId="19"/>
    <tableColumn id="20" xr3:uid="{C4B2F859-44C6-4BA1-B509-9687BCF39EE7}" uniqueName="20" name="18:00:00" queryTableFieldId="20"/>
    <tableColumn id="21" xr3:uid="{E9A8F646-411A-4DA6-A488-E4F516B8F31D}" uniqueName="21" name="19:00:00" queryTableFieldId="21"/>
    <tableColumn id="22" xr3:uid="{D8AECE03-52C6-4259-B2E5-B6D4C13D8588}" uniqueName="22" name="20:00:00" queryTableFieldId="22"/>
    <tableColumn id="23" xr3:uid="{E859927B-659C-4B92-87C8-9A7EBC59AC68}" uniqueName="23" name="21:00:00" queryTableFieldId="23"/>
    <tableColumn id="24" xr3:uid="{69845D43-7C60-4400-9E1B-1289A79B8E88}" uniqueName="24" name="22:00:00" queryTableFieldId="24"/>
    <tableColumn id="25" xr3:uid="{36E91828-8993-4A60-A4B0-A0DB1651DD2E}" uniqueName="25" name="23:00:00" queryTableFieldId="25"/>
    <tableColumn id="26" xr3:uid="{E3C95239-9317-4632-B1A7-2270E5F29B87}" uniqueName="26" name="AVERAGE AQI" totalsRowFunction="custom" queryTableFieldId="26" dataDxfId="65" totalsRowDxfId="64">
      <calculatedColumnFormula>AVERAGE(Sheet1__3[[#This Row],[00:00:00]:[23:00:00]])</calculatedColumnFormula>
      <totalsRowFormula>AVERAGE(Sheet1__3[AVERAGE AQI])</totalsRowFormula>
    </tableColumn>
    <tableColumn id="27" xr3:uid="{360956B2-3EA8-4439-8EF7-7F449DE2D9F5}" uniqueName="27" name="QUALTIY" queryTableFieldId="27" dataDxfId="63">
      <calculatedColumnFormula array="1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C93470-F19A-46BF-921D-BB15795FD193}" name="Sheet1__4" displayName="Sheet1__4" ref="A1:AA32" tableType="queryTable" totalsRowCount="1">
  <autoFilter ref="A1:AA31" xr:uid="{0AC93470-F19A-46BF-921D-BB15795FD193}"/>
  <tableColumns count="27">
    <tableColumn id="1" xr3:uid="{578EEF32-B5F9-4D02-922A-8E6633F39E84}" uniqueName="1" name="Date" queryTableFieldId="1"/>
    <tableColumn id="2" xr3:uid="{D5ED24D3-7EDB-407E-8DB1-14DFB96EC83D}" uniqueName="2" name="00:00:00" queryTableFieldId="2"/>
    <tableColumn id="3" xr3:uid="{2B1AB2E4-7EE3-49C4-9D37-82158CA509F5}" uniqueName="3" name="01:00:00" queryTableFieldId="3"/>
    <tableColumn id="4" xr3:uid="{454897FE-E7E7-45E8-B69F-757E46705A3D}" uniqueName="4" name="02:00:00" queryTableFieldId="4"/>
    <tableColumn id="5" xr3:uid="{7D985231-FAC1-4195-A7DB-55DF95F35F9C}" uniqueName="5" name="03:00:00" queryTableFieldId="5"/>
    <tableColumn id="6" xr3:uid="{724CDB37-276A-4E4C-8625-02C254566ECD}" uniqueName="6" name="04:00:00" queryTableFieldId="6"/>
    <tableColumn id="7" xr3:uid="{2CA4007E-77FB-4C2C-88D8-BA3038818759}" uniqueName="7" name="05:00:00" queryTableFieldId="7"/>
    <tableColumn id="8" xr3:uid="{FBE39021-EC4D-4A93-97E8-DB93214A5D84}" uniqueName="8" name="06:00:00" queryTableFieldId="8"/>
    <tableColumn id="9" xr3:uid="{0B2A210B-7112-45A5-8A2E-F7EEAC35A555}" uniqueName="9" name="07:00:00" queryTableFieldId="9"/>
    <tableColumn id="10" xr3:uid="{DDE12490-3797-4A24-BC81-D71CCEA9634B}" uniqueName="10" name="08:00:00" queryTableFieldId="10"/>
    <tableColumn id="11" xr3:uid="{BD67C4C0-46FF-40E7-B785-4DCA2AE075A6}" uniqueName="11" name="09:00:00" queryTableFieldId="11"/>
    <tableColumn id="12" xr3:uid="{D5DE375B-136D-493F-B57D-A69C35F00FD5}" uniqueName="12" name="10:00:00" queryTableFieldId="12"/>
    <tableColumn id="13" xr3:uid="{B7E3B1A3-BD0D-4184-A11C-4F34420199E0}" uniqueName="13" name="11:00:00" queryTableFieldId="13"/>
    <tableColumn id="14" xr3:uid="{13EAB058-082A-441E-8D78-697A797BA75E}" uniqueName="14" name="12:00:00" queryTableFieldId="14"/>
    <tableColumn id="15" xr3:uid="{23635FCB-1612-48D2-A8D9-12266E15C48E}" uniqueName="15" name="13:00:00" queryTableFieldId="15"/>
    <tableColumn id="16" xr3:uid="{6332C17C-C1BA-4C7F-AB49-A3851830DD84}" uniqueName="16" name="14:00:00" queryTableFieldId="16"/>
    <tableColumn id="17" xr3:uid="{C192A735-158E-4825-AEAE-D149BAC3CB9F}" uniqueName="17" name="15:00:00" queryTableFieldId="17"/>
    <tableColumn id="18" xr3:uid="{84DFD3A2-5ACA-424F-A285-3D021C1F4476}" uniqueName="18" name="16:00:00" queryTableFieldId="18"/>
    <tableColumn id="19" xr3:uid="{D59AA2C5-525C-48E6-951D-3384D6C37726}" uniqueName="19" name="17:00:00" queryTableFieldId="19"/>
    <tableColumn id="20" xr3:uid="{C5C36C54-132C-46DF-B56A-7E6C9C9743BF}" uniqueName="20" name="18:00:00" queryTableFieldId="20"/>
    <tableColumn id="21" xr3:uid="{3F5014A2-DA32-457D-80BD-CA919EEFEF45}" uniqueName="21" name="19:00:00" queryTableFieldId="21"/>
    <tableColumn id="22" xr3:uid="{4BB6EBAD-32B2-4928-A7A0-B3B63D6EB249}" uniqueName="22" name="20:00:00" queryTableFieldId="22"/>
    <tableColumn id="23" xr3:uid="{744D979B-030F-4EFB-B484-E097649B904C}" uniqueName="23" name="21:00:00" queryTableFieldId="23"/>
    <tableColumn id="24" xr3:uid="{CD72A93C-78EE-4DCA-B077-4F49D07351DC}" uniqueName="24" name="22:00:00" queryTableFieldId="24"/>
    <tableColumn id="25" xr3:uid="{CE88EB10-071C-42FA-BA2D-EA84E4F58684}" uniqueName="25" name="23:00:00" queryTableFieldId="25"/>
    <tableColumn id="26" xr3:uid="{40C4214B-CBCA-4243-9FD4-BF0EAF0B1863}" uniqueName="26" name="AVERAGE AQI" totalsRowFunction="custom" queryTableFieldId="26" dataDxfId="62" totalsRowDxfId="61">
      <calculatedColumnFormula>AVERAGE(Sheet1__4[[#This Row],[00:00:00]:[23:00:00]])</calculatedColumnFormula>
      <totalsRowFormula>AVERAGE(Sheet1__4[AVERAGE AQI])</totalsRowFormula>
    </tableColumn>
    <tableColumn id="27" xr3:uid="{A4767D18-1DFB-462A-8D73-EFF2351FE943}" uniqueName="27" name="QUALITY" queryTableFieldId="27" dataDxfId="60">
      <calculatedColumnFormula array="1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B7C10A-B3FA-487B-8C39-F37AAA5EDCAC}" name="Sheet1__5" displayName="Sheet1__5" ref="A1:AA33" tableType="queryTable" totalsRowCount="1">
  <autoFilter ref="A1:AA32" xr:uid="{14B7C10A-B3FA-487B-8C39-F37AAA5EDCAC}"/>
  <tableColumns count="27">
    <tableColumn id="1" xr3:uid="{9753EF09-D5EB-4B02-8ED7-2BC61880A715}" uniqueName="1" name="Date" queryTableFieldId="1"/>
    <tableColumn id="2" xr3:uid="{FF8EAA8B-B7B7-4399-A5CF-85598E3CACA6}" uniqueName="2" name="00:00:00" queryTableFieldId="2"/>
    <tableColumn id="3" xr3:uid="{92AB413C-045F-437D-A8CA-ABA070029579}" uniqueName="3" name="01:00:00" queryTableFieldId="3"/>
    <tableColumn id="4" xr3:uid="{273F7F6A-8D7A-42C4-A696-89EAADED7FC3}" uniqueName="4" name="02:00:00" queryTableFieldId="4"/>
    <tableColumn id="5" xr3:uid="{EDC6F7C1-D3D7-46AB-A14A-3C88DA540DC5}" uniqueName="5" name="03:00:00" queryTableFieldId="5"/>
    <tableColumn id="6" xr3:uid="{9CE3D9B2-211C-4509-9EFC-0BED033E6E2E}" uniqueName="6" name="04:00:00" queryTableFieldId="6"/>
    <tableColumn id="7" xr3:uid="{A4C1886E-891B-4679-BED3-7ACEF1A57BF1}" uniqueName="7" name="05:00:00" queryTableFieldId="7"/>
    <tableColumn id="8" xr3:uid="{A314DB71-91D8-4F1A-8B19-E86A48E653EC}" uniqueName="8" name="06:00:00" queryTableFieldId="8"/>
    <tableColumn id="9" xr3:uid="{FF76479B-2D09-4A56-B55F-2BD845BA608B}" uniqueName="9" name="07:00:00" queryTableFieldId="9"/>
    <tableColumn id="10" xr3:uid="{53E17BD2-25CE-4E0F-9960-FA6F21FDC3B3}" uniqueName="10" name="08:00:00" queryTableFieldId="10"/>
    <tableColumn id="11" xr3:uid="{3175EAD7-202A-444F-9E10-0A7AAB6B8C16}" uniqueName="11" name="09:00:00" queryTableFieldId="11"/>
    <tableColumn id="12" xr3:uid="{96567211-D602-46E9-A77A-43432636F49E}" uniqueName="12" name="10:00:00" queryTableFieldId="12"/>
    <tableColumn id="13" xr3:uid="{312F8832-5EA5-44EB-9BDC-D72916971E81}" uniqueName="13" name="11:00:00" queryTableFieldId="13"/>
    <tableColumn id="14" xr3:uid="{2ED4C835-790F-4A1D-9763-1E03FCB31555}" uniqueName="14" name="12:00:00" queryTableFieldId="14"/>
    <tableColumn id="15" xr3:uid="{628140D9-F916-4FF3-863F-E9BB2DC4EDE7}" uniqueName="15" name="13:00:00" queryTableFieldId="15"/>
    <tableColumn id="16" xr3:uid="{6D9988CD-94B8-482C-8F27-79987B068461}" uniqueName="16" name="14:00:00" queryTableFieldId="16"/>
    <tableColumn id="17" xr3:uid="{29FB052C-943C-4F06-A3E9-C570452ABF91}" uniqueName="17" name="15:00:00" queryTableFieldId="17"/>
    <tableColumn id="18" xr3:uid="{BB3C89F6-1FEC-4222-990F-C0948A6BB6B3}" uniqueName="18" name="16:00:00" queryTableFieldId="18"/>
    <tableColumn id="19" xr3:uid="{D6EFC6DE-CBA2-40E1-8385-D3F67511C6FF}" uniqueName="19" name="17:00:00" queryTableFieldId="19"/>
    <tableColumn id="20" xr3:uid="{6806B870-E3BE-41AB-999C-97C5C78738E4}" uniqueName="20" name="18:00:00" queryTableFieldId="20"/>
    <tableColumn id="21" xr3:uid="{39F1BDF3-48FB-4A72-B0C1-C8503F6D3FF6}" uniqueName="21" name="19:00:00" queryTableFieldId="21"/>
    <tableColumn id="22" xr3:uid="{CB1C7C47-C855-402D-9969-BC11122848EF}" uniqueName="22" name="20:00:00" queryTableFieldId="22"/>
    <tableColumn id="23" xr3:uid="{FA460F1D-525F-47AB-9007-589E38045AEC}" uniqueName="23" name="21:00:00" queryTableFieldId="23"/>
    <tableColumn id="24" xr3:uid="{1E18D4BF-06DE-4E89-AD3C-14A4FAD7A464}" uniqueName="24" name="22:00:00" queryTableFieldId="24"/>
    <tableColumn id="25" xr3:uid="{C1737889-9A41-452B-97A4-760557E3972F}" uniqueName="25" name="23:00:00" queryTableFieldId="25"/>
    <tableColumn id="26" xr3:uid="{1FEF71C6-2BB8-4855-A67B-E949F1D3EE43}" uniqueName="26" name="AVERAGE AQI" totalsRowFunction="custom" queryTableFieldId="26" dataDxfId="59" totalsRowDxfId="56">
      <calculatedColumnFormula>AVERAGE(Sheet1__5[[#This Row],[00:00:00]:[23:00:00]])</calculatedColumnFormula>
      <totalsRowFormula>AVERAGE(Sheet1__5[AVERAGE AQI])</totalsRowFormula>
    </tableColumn>
    <tableColumn id="27" xr3:uid="{115E6A69-5948-413D-BB27-1C6EA39FFDDA}" uniqueName="27" name="QUALITY" queryTableFieldId="27" dataDxfId="58" totalsRowDxfId="57">
      <calculatedColumnFormula array="1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6A3903-3F34-44CF-9091-56F1714BF5DF}" name="Sheet1__6" displayName="Sheet1__6" ref="A1:AA32" tableType="queryTable" totalsRowCount="1">
  <autoFilter ref="A1:AA31" xr:uid="{2C6A3903-3F34-44CF-9091-56F1714BF5DF}"/>
  <tableColumns count="27">
    <tableColumn id="1" xr3:uid="{166B93C8-F13A-4B23-B450-12BBFDB17F26}" uniqueName="1" name="Date" queryTableFieldId="1"/>
    <tableColumn id="2" xr3:uid="{A6F766F1-3A83-45E2-A547-506AC88ABE89}" uniqueName="2" name="00:00:00" queryTableFieldId="2"/>
    <tableColumn id="3" xr3:uid="{F4FC7776-B645-4ADE-AB0D-627B6FA40FA5}" uniqueName="3" name="01:00:00" queryTableFieldId="3"/>
    <tableColumn id="4" xr3:uid="{D5F57F77-5BEC-4084-BFF3-9B3A48E61D2C}" uniqueName="4" name="02:00:00" queryTableFieldId="4"/>
    <tableColumn id="5" xr3:uid="{1C848070-CCCB-4CE3-94D3-EBE88DA64B74}" uniqueName="5" name="03:00:00" queryTableFieldId="5"/>
    <tableColumn id="6" xr3:uid="{FCC48D11-89F7-4421-9A63-71D0070AE99C}" uniqueName="6" name="04:00:00" queryTableFieldId="6"/>
    <tableColumn id="7" xr3:uid="{A13B9396-6C32-4C9B-BA9B-1DF575FC8371}" uniqueName="7" name="05:00:00" queryTableFieldId="7"/>
    <tableColumn id="8" xr3:uid="{EF584385-828B-4D29-943C-56CFFD53B1B4}" uniqueName="8" name="06:00:00" queryTableFieldId="8"/>
    <tableColumn id="9" xr3:uid="{75AB7ACC-81C8-468A-A1CE-C33E9B0F5591}" uniqueName="9" name="07:00:00" queryTableFieldId="9"/>
    <tableColumn id="10" xr3:uid="{62E70624-F933-4492-9E12-127D3305B6D2}" uniqueName="10" name="08:00:00" queryTableFieldId="10"/>
    <tableColumn id="11" xr3:uid="{23D96949-BBFB-4E0E-BAFD-1D2222745B04}" uniqueName="11" name="09:00:00" queryTableFieldId="11"/>
    <tableColumn id="12" xr3:uid="{163E0AE5-E542-4FDA-A9F4-FC6C676F53B6}" uniqueName="12" name="10:00:00" queryTableFieldId="12"/>
    <tableColumn id="13" xr3:uid="{9E01A49C-419A-42EE-B076-47E95C6AE5C4}" uniqueName="13" name="11:00:00" queryTableFieldId="13"/>
    <tableColumn id="14" xr3:uid="{5C648CD1-1406-40E6-9C02-A2AD25AF5213}" uniqueName="14" name="12:00:00" queryTableFieldId="14"/>
    <tableColumn id="15" xr3:uid="{16D0CF2C-9646-4526-9039-23E32F93B5BD}" uniqueName="15" name="13:00:00" queryTableFieldId="15"/>
    <tableColumn id="16" xr3:uid="{8D529318-5FCC-45BE-A484-672D417072A3}" uniqueName="16" name="14:00:00" queryTableFieldId="16"/>
    <tableColumn id="17" xr3:uid="{1E381C42-F7B8-4E4C-890A-0C74C9BF0BD9}" uniqueName="17" name="15:00:00" queryTableFieldId="17"/>
    <tableColumn id="18" xr3:uid="{F2DF61EA-C284-45E5-9EBE-7BB0E086ED05}" uniqueName="18" name="16:00:00" queryTableFieldId="18"/>
    <tableColumn id="19" xr3:uid="{11D9B3E8-8A6E-4B9E-BEB6-B0826F099CE9}" uniqueName="19" name="17:00:00" queryTableFieldId="19"/>
    <tableColumn id="20" xr3:uid="{64D1F968-5E2F-4BCE-86AE-3F6DB19A6EBE}" uniqueName="20" name="18:00:00" queryTableFieldId="20"/>
    <tableColumn id="21" xr3:uid="{E825551A-5EE7-4EDB-B736-511D09D09DC4}" uniqueName="21" name="19:00:00" queryTableFieldId="21"/>
    <tableColumn id="22" xr3:uid="{E9E1901C-8B25-4271-BBD2-7558074A833A}" uniqueName="22" name="20:00:00" queryTableFieldId="22"/>
    <tableColumn id="23" xr3:uid="{4E13B6A7-08EC-4BC0-A024-9BC7360EB973}" uniqueName="23" name="21:00:00" queryTableFieldId="23"/>
    <tableColumn id="24" xr3:uid="{A322FD53-5772-4995-ABA1-F0D55707FD86}" uniqueName="24" name="22:00:00" queryTableFieldId="24"/>
    <tableColumn id="25" xr3:uid="{74FDED36-F09B-4207-9CAE-43E9F1E1AE42}" uniqueName="25" name="23:00:00" queryTableFieldId="25"/>
    <tableColumn id="26" xr3:uid="{61ADFC3F-84F5-41A3-A5A4-DA0D799FB0FA}" uniqueName="26" name="AVERAGE AQI" totalsRowFunction="custom" queryTableFieldId="26" dataDxfId="55" totalsRowDxfId="52">
      <calculatedColumnFormula>AVERAGE(Sheet1__6[[#This Row],[00:00:00]:[23:00:00]])</calculatedColumnFormula>
      <totalsRowFormula>AVERAGE(Sheet1__6[AVERAGE AQI])</totalsRowFormula>
    </tableColumn>
    <tableColumn id="27" xr3:uid="{977B9D01-79EA-420B-A23F-C822A9B4A679}" uniqueName="27" name="QUALITY" queryTableFieldId="27" dataDxfId="54" totalsRowDxfId="53">
      <calculatedColumnFormula array="1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6CCC20-15C6-4B7C-8751-551E6F51410F}" name="Sheet1__7" displayName="Sheet1__7" ref="A1:AA33" tableType="queryTable" totalsRowCount="1">
  <autoFilter ref="A1:AA32" xr:uid="{816CCC20-15C6-4B7C-8751-551E6F51410F}"/>
  <tableColumns count="27">
    <tableColumn id="1" xr3:uid="{D58361FE-703F-48A5-9D70-F07E6A4254C7}" uniqueName="1" name="Date" queryTableFieldId="1"/>
    <tableColumn id="2" xr3:uid="{5080DCA4-743B-4371-9336-5ED77F8A848B}" uniqueName="2" name="00:00:00" queryTableFieldId="2"/>
    <tableColumn id="3" xr3:uid="{77074F76-C157-4A79-B567-553894A084C4}" uniqueName="3" name="01:00:00" queryTableFieldId="3"/>
    <tableColumn id="4" xr3:uid="{45C9BB60-5C3D-47C1-A87A-C85EB47706B6}" uniqueName="4" name="02:00:00" queryTableFieldId="4"/>
    <tableColumn id="5" xr3:uid="{CF7C7B19-D3FA-487F-9BD9-D9EC867D3E79}" uniqueName="5" name="03:00:00" queryTableFieldId="5"/>
    <tableColumn id="6" xr3:uid="{E56A594F-3B8D-4CA4-A76F-600E7ED00745}" uniqueName="6" name="04:00:00" queryTableFieldId="6"/>
    <tableColumn id="7" xr3:uid="{2878174B-AA62-45AB-9E00-55DA84984FE4}" uniqueName="7" name="05:00:00" queryTableFieldId="7"/>
    <tableColumn id="8" xr3:uid="{E99987E8-2188-4514-8F7C-34F1EE4DAEA9}" uniqueName="8" name="06:00:00" queryTableFieldId="8"/>
    <tableColumn id="9" xr3:uid="{DFEE757A-EEF9-4C4F-B0D0-76FDD474A4D7}" uniqueName="9" name="07:00:00" queryTableFieldId="9"/>
    <tableColumn id="10" xr3:uid="{4D57583D-2365-4552-9D5A-77A34B896618}" uniqueName="10" name="08:00:00" queryTableFieldId="10"/>
    <tableColumn id="11" xr3:uid="{B7A3C775-4176-4221-B597-A62000CF834D}" uniqueName="11" name="09:00:00" queryTableFieldId="11"/>
    <tableColumn id="12" xr3:uid="{436A8C05-74A5-4D57-8546-4F7E373DD5FE}" uniqueName="12" name="10:00:00" queryTableFieldId="12"/>
    <tableColumn id="13" xr3:uid="{D8334853-535E-4023-8A2F-C2D63B100A25}" uniqueName="13" name="11:00:00" queryTableFieldId="13"/>
    <tableColumn id="14" xr3:uid="{42B562E5-FFD1-4E93-BF83-791EC453502E}" uniqueName="14" name="12:00:00" queryTableFieldId="14"/>
    <tableColumn id="15" xr3:uid="{2D4981CA-CF7D-4E03-9F98-4749E5FE8171}" uniqueName="15" name="13:00:00" queryTableFieldId="15"/>
    <tableColumn id="16" xr3:uid="{86B59DBD-3EE3-4CAF-9251-4F680A40BE31}" uniqueName="16" name="14:00:00" queryTableFieldId="16"/>
    <tableColumn id="17" xr3:uid="{D6C7B623-FF62-46A9-963F-28B6B5436DD9}" uniqueName="17" name="15:00:00" queryTableFieldId="17"/>
    <tableColumn id="18" xr3:uid="{58F8579B-1EDF-4B8A-A9E5-F934C1E879CC}" uniqueName="18" name="16:00:00" queryTableFieldId="18"/>
    <tableColumn id="19" xr3:uid="{40B3DC48-578F-4F0A-B9C2-050495662D8E}" uniqueName="19" name="17:00:00" queryTableFieldId="19"/>
    <tableColumn id="20" xr3:uid="{6E6DB398-CAAD-45F8-8D9A-857F85B48A3D}" uniqueName="20" name="18:00:00" queryTableFieldId="20"/>
    <tableColumn id="21" xr3:uid="{D61252FF-4F34-4C08-B565-4E2C0F34E943}" uniqueName="21" name="19:00:00" queryTableFieldId="21"/>
    <tableColumn id="22" xr3:uid="{A36F5875-B248-404A-8F8B-9EAA8D1478A0}" uniqueName="22" name="20:00:00" queryTableFieldId="22"/>
    <tableColumn id="23" xr3:uid="{2F0AE078-3120-43E2-B94F-BA3B29752117}" uniqueName="23" name="21:00:00" queryTableFieldId="23"/>
    <tableColumn id="24" xr3:uid="{975DF2B0-DA1A-4255-9586-22DC3697920F}" uniqueName="24" name="22:00:00" queryTableFieldId="24"/>
    <tableColumn id="25" xr3:uid="{DA1F3749-C939-4BA0-B4A4-4703A90D0FB1}" uniqueName="25" name="23:00:00" queryTableFieldId="25"/>
    <tableColumn id="26" xr3:uid="{C446E6CA-605F-4F39-BE58-F90CCDB4ED1C}" uniqueName="26" name="AVERAGE AQI" totalsRowFunction="custom" queryTableFieldId="26" dataDxfId="51" totalsRowDxfId="48">
      <calculatedColumnFormula>AVERAGE(Sheet1__7[[#This Row],[00:00:00]:[23:00:00]])</calculatedColumnFormula>
      <totalsRowFormula>AVERAGE(Sheet1__7[AVERAGE AQI])</totalsRowFormula>
    </tableColumn>
    <tableColumn id="27" xr3:uid="{50B09DB6-C968-4FAE-BA01-F05A4C97D6CF}" uniqueName="27" name="QUALITY" queryTableFieldId="27" dataDxfId="50" totalsRowDxfId="49">
      <calculatedColumnFormula array="1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C0E277-345F-4E4E-B73E-F4527B820911}" name="Sheet1__8" displayName="Sheet1__8" ref="A1:AA33" tableType="queryTable" totalsRowCount="1">
  <autoFilter ref="A1:AA32" xr:uid="{AEC0E277-345F-4E4E-B73E-F4527B820911}"/>
  <tableColumns count="27">
    <tableColumn id="1" xr3:uid="{B15D1669-5C75-48DD-920C-EF280DE24D44}" uniqueName="1" name="Date" queryTableFieldId="1"/>
    <tableColumn id="2" xr3:uid="{803040AB-2273-4EE3-A51E-397E158B9084}" uniqueName="2" name="00:00:00" queryTableFieldId="2"/>
    <tableColumn id="3" xr3:uid="{C7EC08DB-65F7-4D9F-9246-A478AA144525}" uniqueName="3" name="01:00:00" queryTableFieldId="3"/>
    <tableColumn id="4" xr3:uid="{CE7E6A1D-B21E-4114-9824-B53D6ABE71FF}" uniqueName="4" name="02:00:00" queryTableFieldId="4"/>
    <tableColumn id="5" xr3:uid="{907BDB99-AD1B-4346-908A-797B9D267C06}" uniqueName="5" name="03:00:00" queryTableFieldId="5"/>
    <tableColumn id="6" xr3:uid="{89082C66-398F-4460-A771-CDBD5F3DAF0B}" uniqueName="6" name="04:00:00" queryTableFieldId="6"/>
    <tableColumn id="7" xr3:uid="{082623BF-58E0-4152-95FB-CB53CC997FF8}" uniqueName="7" name="05:00:00" queryTableFieldId="7"/>
    <tableColumn id="8" xr3:uid="{6372AC6C-F4E7-4E7B-AA32-B335132651F4}" uniqueName="8" name="06:00:00" queryTableFieldId="8"/>
    <tableColumn id="9" xr3:uid="{B372AD42-89E3-474C-B24F-CC2A7A3CC35D}" uniqueName="9" name="07:00:00" queryTableFieldId="9"/>
    <tableColumn id="10" xr3:uid="{D005D044-9355-4B49-9C2C-B3C7C3E90DB4}" uniqueName="10" name="08:00:00" queryTableFieldId="10"/>
    <tableColumn id="11" xr3:uid="{41131ECC-6AEA-47AB-8319-7FD4C691CC85}" uniqueName="11" name="09:00:00" queryTableFieldId="11"/>
    <tableColumn id="12" xr3:uid="{8A1B1E15-60BC-4D2C-A9C2-39E83118FA8F}" uniqueName="12" name="10:00:00" queryTableFieldId="12"/>
    <tableColumn id="13" xr3:uid="{52137FF9-3278-4B5D-B8D7-603F4FC4D9E7}" uniqueName="13" name="11:00:00" queryTableFieldId="13"/>
    <tableColumn id="14" xr3:uid="{9A56FCFB-254A-40E2-95A2-AA70FF58F9B5}" uniqueName="14" name="12:00:00" queryTableFieldId="14"/>
    <tableColumn id="15" xr3:uid="{3555D07E-430F-4A3A-B28B-363FD73A3BB5}" uniqueName="15" name="13:00:00" queryTableFieldId="15"/>
    <tableColumn id="16" xr3:uid="{31C2F610-2BCB-43EE-A1E4-025918833DEE}" uniqueName="16" name="14:00:00" queryTableFieldId="16"/>
    <tableColumn id="17" xr3:uid="{B14C875A-D0A6-4D9A-B9EE-DB189276C294}" uniqueName="17" name="15:00:00" queryTableFieldId="17"/>
    <tableColumn id="18" xr3:uid="{62AFC30E-1C41-469B-ACB2-48A0608E1471}" uniqueName="18" name="16:00:00" queryTableFieldId="18"/>
    <tableColumn id="19" xr3:uid="{EAB5DF77-B4DF-4D7F-85AC-9D2FEE9D5567}" uniqueName="19" name="17:00:00" queryTableFieldId="19"/>
    <tableColumn id="20" xr3:uid="{EC47461F-0788-4836-8535-B4916E550300}" uniqueName="20" name="18:00:00" queryTableFieldId="20"/>
    <tableColumn id="21" xr3:uid="{CD896B8A-CEA9-4095-BB3F-60E28BEF8A0F}" uniqueName="21" name="19:00:00" queryTableFieldId="21"/>
    <tableColumn id="22" xr3:uid="{38580C46-ABA2-4E8E-B413-F7AA4400A8CA}" uniqueName="22" name="20:00:00" queryTableFieldId="22"/>
    <tableColumn id="23" xr3:uid="{D9159C94-6240-41EF-B7CB-900E5D724A02}" uniqueName="23" name="21:00:00" queryTableFieldId="23"/>
    <tableColumn id="24" xr3:uid="{A3F3D387-6D81-4471-A22A-B22C0760E890}" uniqueName="24" name="22:00:00" queryTableFieldId="24"/>
    <tableColumn id="25" xr3:uid="{2CF02812-F90D-4CD1-8EAC-D9D7FECEE4A4}" uniqueName="25" name="23:00:00" queryTableFieldId="25"/>
    <tableColumn id="26" xr3:uid="{19CB0B3E-5CA7-4CC5-98A2-127102801F3C}" uniqueName="26" name="AVERAGE AQI" totalsRowFunction="custom" queryTableFieldId="26" totalsRowDxfId="47">
      <calculatedColumnFormula>AVERAGE(Sheet1__8[[#This Row],[00:00:00]:[23:00:00]])</calculatedColumnFormula>
      <totalsRowFormula>AVERAGE(Sheet1__8[AVERAGE AQI])</totalsRowFormula>
    </tableColumn>
    <tableColumn id="27" xr3:uid="{331B181C-94E6-48EF-A793-2D557051B13A}" uniqueName="27" name="QUALITY " queryTableFieldId="27" dataDxfId="46">
      <calculatedColumnFormula array="1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F0118E4-EB7A-46D9-A208-ED43A5CE482F}" name="Sheet1__9" displayName="Sheet1__9" ref="A1:AA32" tableType="queryTable" totalsRowCount="1">
  <autoFilter ref="A1:AA31" xr:uid="{AF0118E4-EB7A-46D9-A208-ED43A5CE482F}"/>
  <tableColumns count="27">
    <tableColumn id="1" xr3:uid="{E3F7474A-D18C-422D-A2D0-3D783436664E}" uniqueName="1" name="Date" queryTableFieldId="1"/>
    <tableColumn id="2" xr3:uid="{AFD22F9D-FA27-40FD-821B-CFFC85B8FAEB}" uniqueName="2" name="00:00:00" queryTableFieldId="2"/>
    <tableColumn id="3" xr3:uid="{C1A424BC-9D0F-4362-B22E-858892ACC6EE}" uniqueName="3" name="01:00:00" queryTableFieldId="3"/>
    <tableColumn id="4" xr3:uid="{3DA6A7B6-847D-4287-A6E1-0A9B765FB1DB}" uniqueName="4" name="02:00:00" queryTableFieldId="4"/>
    <tableColumn id="5" xr3:uid="{7F16F93A-3665-4965-88EB-0B6820AE40F2}" uniqueName="5" name="03:00:00" queryTableFieldId="5"/>
    <tableColumn id="6" xr3:uid="{CB8B4494-30EC-40C0-AE6D-FC6B38C7C05F}" uniqueName="6" name="04:00:00" queryTableFieldId="6"/>
    <tableColumn id="7" xr3:uid="{9E32B52B-859B-40DD-A08D-A569ECC2251D}" uniqueName="7" name="05:00:00" queryTableFieldId="7"/>
    <tableColumn id="8" xr3:uid="{AB9A90C0-C1FC-450C-B741-1C74B2D44876}" uniqueName="8" name="06:00:00" queryTableFieldId="8"/>
    <tableColumn id="9" xr3:uid="{66B2F9EE-742F-422F-AB7C-54FBA1D1A9C1}" uniqueName="9" name="07:00:00" queryTableFieldId="9"/>
    <tableColumn id="10" xr3:uid="{6AA09228-6D47-43EB-89A1-8C64778E59C6}" uniqueName="10" name="08:00:00" queryTableFieldId="10"/>
    <tableColumn id="11" xr3:uid="{4E2A8263-25DE-463E-9446-396FD2C433B2}" uniqueName="11" name="09:00:00" queryTableFieldId="11"/>
    <tableColumn id="12" xr3:uid="{7AE214B3-C687-44C7-B40B-D222D4345D81}" uniqueName="12" name="10:00:00" queryTableFieldId="12"/>
    <tableColumn id="13" xr3:uid="{6287D55A-EB01-4978-8F6A-4760A3B4D0B8}" uniqueName="13" name="11:00:00" queryTableFieldId="13"/>
    <tableColumn id="14" xr3:uid="{D37DED1E-B6FF-4132-B1CE-A90D81E2C482}" uniqueName="14" name="12:00:00" queryTableFieldId="14"/>
    <tableColumn id="15" xr3:uid="{1E2BAE26-D739-4D58-A216-80540427AA0F}" uniqueName="15" name="13:00:00" queryTableFieldId="15"/>
    <tableColumn id="16" xr3:uid="{42BE30D2-4E46-47B0-A8D9-6A38880181CB}" uniqueName="16" name="14:00:00" queryTableFieldId="16"/>
    <tableColumn id="17" xr3:uid="{D9D0EBF9-D586-455D-9A86-1B799155BF47}" uniqueName="17" name="15:00:00" queryTableFieldId="17"/>
    <tableColumn id="18" xr3:uid="{95C15C30-8E82-44E0-A2F8-EE500BB6729C}" uniqueName="18" name="16:00:00" queryTableFieldId="18"/>
    <tableColumn id="19" xr3:uid="{CD9B0D7B-AAE6-44CD-9C5A-17A858E40103}" uniqueName="19" name="17:00:00" queryTableFieldId="19"/>
    <tableColumn id="20" xr3:uid="{DDD9C372-7F3A-48E7-9FCB-B061FDEA7B5E}" uniqueName="20" name="18:00:00" queryTableFieldId="20"/>
    <tableColumn id="21" xr3:uid="{5A46C5B1-BBBB-43CA-B221-5F172DB6A8EA}" uniqueName="21" name="19:00:00" queryTableFieldId="21"/>
    <tableColumn id="22" xr3:uid="{EA1D7998-FCA7-4B06-A0AD-7A3E3A0DF7F7}" uniqueName="22" name="20:00:00" queryTableFieldId="22"/>
    <tableColumn id="23" xr3:uid="{2C5CCBDD-4545-4896-BD96-3147B783F536}" uniqueName="23" name="21:00:00" queryTableFieldId="23"/>
    <tableColumn id="24" xr3:uid="{8A87429C-82E1-479C-9C78-357869084736}" uniqueName="24" name="22:00:00" queryTableFieldId="24"/>
    <tableColumn id="25" xr3:uid="{C17A54E4-6CE0-4B9C-A216-F34830CFC4D3}" uniqueName="25" name="23:00:00" queryTableFieldId="25"/>
    <tableColumn id="26" xr3:uid="{8869EEE8-601B-4E41-9EEC-6C6FF83B9E2B}" uniqueName="26" name="AVERAGE AQI" totalsRowFunction="custom" queryTableFieldId="26" dataDxfId="45" totalsRowDxfId="42">
      <calculatedColumnFormula>AVERAGE(Sheet1__9[[#This Row],[00:00:00]:[23:00:00]])</calculatedColumnFormula>
      <totalsRowFormula>AVERAGE(Sheet1__9[AVERAGE AQI])</totalsRowFormula>
    </tableColumn>
    <tableColumn id="27" xr3:uid="{BEAB2304-B3F7-41CB-A2CC-D2CEE4808962}" uniqueName="27" name="QUALITY" queryTableFieldId="27" dataDxfId="44" totalsRowDxfId="43">
      <calculatedColumnFormula array="1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26769D8-FAB0-451A-87C0-CB7DB55BD417}" name="Sheet1__10" displayName="Sheet1__10" ref="A1:AA33" tableType="queryTable" totalsRowCount="1">
  <autoFilter ref="A1:AA32" xr:uid="{A26769D8-FAB0-451A-87C0-CB7DB55BD417}"/>
  <tableColumns count="27">
    <tableColumn id="1" xr3:uid="{4FFD6C0C-8E8D-4465-8238-B94CA975C4A5}" uniqueName="1" name="Date" queryTableFieldId="1"/>
    <tableColumn id="2" xr3:uid="{5E8C770A-3D62-44DE-AC40-BD34ED98FC92}" uniqueName="2" name="00:00:00" queryTableFieldId="2"/>
    <tableColumn id="3" xr3:uid="{9BED362E-99E3-475B-A7F0-417787F8308C}" uniqueName="3" name="01:00:00" queryTableFieldId="3"/>
    <tableColumn id="4" xr3:uid="{5BE7D1AD-81B4-437B-BD53-E460CE728E66}" uniqueName="4" name="02:00:00" queryTableFieldId="4"/>
    <tableColumn id="5" xr3:uid="{A5F3300C-9B93-4174-8620-AD6C4F4B3D4C}" uniqueName="5" name="03:00:00" queryTableFieldId="5"/>
    <tableColumn id="6" xr3:uid="{4CE143CA-A2C9-413D-8C13-07752FF0FB74}" uniqueName="6" name="04:00:00" queryTableFieldId="6"/>
    <tableColumn id="7" xr3:uid="{B39E93C0-4AC7-4FBE-8AB6-D9B9A7C31582}" uniqueName="7" name="05:00:00" queryTableFieldId="7"/>
    <tableColumn id="8" xr3:uid="{A25E581B-C80C-4300-9540-280670B5A535}" uniqueName="8" name="06:00:00" queryTableFieldId="8"/>
    <tableColumn id="9" xr3:uid="{FCD118FA-3487-43BF-BEAC-2F7B5B07FC17}" uniqueName="9" name="07:00:00" queryTableFieldId="9"/>
    <tableColumn id="10" xr3:uid="{3C078931-49AF-42FD-82A1-AA46B106D66B}" uniqueName="10" name="08:00:00" queryTableFieldId="10"/>
    <tableColumn id="11" xr3:uid="{2E42481D-7A73-49F2-B4FB-CF648B162A09}" uniqueName="11" name="09:00:00" queryTableFieldId="11"/>
    <tableColumn id="12" xr3:uid="{010E33D5-4B18-4D1C-A1F2-9294FFBA126A}" uniqueName="12" name="10:00:00" queryTableFieldId="12"/>
    <tableColumn id="13" xr3:uid="{E6F913B0-96A6-4675-ABE2-9873D6D3B638}" uniqueName="13" name="11:00:00" queryTableFieldId="13"/>
    <tableColumn id="14" xr3:uid="{8D241C11-5822-47C9-A847-8EE48AFFC77C}" uniqueName="14" name="12:00:00" queryTableFieldId="14"/>
    <tableColumn id="15" xr3:uid="{7A8242A0-EBC3-4276-AE0D-25FD5313C153}" uniqueName="15" name="13:00:00" queryTableFieldId="15"/>
    <tableColumn id="16" xr3:uid="{2A9A32DB-D9DE-47FA-93BD-483F86F27873}" uniqueName="16" name="14:00:00" queryTableFieldId="16"/>
    <tableColumn id="17" xr3:uid="{C6FD6D1D-1A54-43C6-BA5E-C25AFC6E16A0}" uniqueName="17" name="15:00:00" queryTableFieldId="17"/>
    <tableColumn id="18" xr3:uid="{72A6CD6A-5C66-454B-94C9-6F96A4258658}" uniqueName="18" name="16:00:00" queryTableFieldId="18"/>
    <tableColumn id="19" xr3:uid="{948B7F03-E9E4-40B6-A0AB-4927011BDFDC}" uniqueName="19" name="17:00:00" queryTableFieldId="19"/>
    <tableColumn id="20" xr3:uid="{46C9ACC9-1E1B-44C6-8BCD-35D60F4096BE}" uniqueName="20" name="18:00:00" queryTableFieldId="20"/>
    <tableColumn id="21" xr3:uid="{3A9E65D4-BA9F-4A84-8786-75CE102EF7D2}" uniqueName="21" name="19:00:00" queryTableFieldId="21"/>
    <tableColumn id="22" xr3:uid="{5BF20110-FDD9-45A9-8726-990B6F842095}" uniqueName="22" name="20:00:00" queryTableFieldId="22"/>
    <tableColumn id="23" xr3:uid="{0DA03362-12DA-425F-A6AA-DDB4A36162D9}" uniqueName="23" name="21:00:00" queryTableFieldId="23"/>
    <tableColumn id="24" xr3:uid="{B00D4D37-DD94-4033-BA99-EA1C1DB241FA}" uniqueName="24" name="22:00:00" queryTableFieldId="24"/>
    <tableColumn id="25" xr3:uid="{347B18DD-D931-48D9-AB2D-C7F9E66A965E}" uniqueName="25" name="23:00:00" queryTableFieldId="25"/>
    <tableColumn id="26" xr3:uid="{D68DA2DD-5DCE-4F2E-9733-A99EEC9927E2}" uniqueName="26" name="AVERAGE AQI" totalsRowFunction="custom" queryTableFieldId="26" dataDxfId="41" totalsRowDxfId="38">
      <calculatedColumnFormula>AVERAGE(Sheet1__10[[#This Row],[00:00:00]:[23:00:00]])</calculatedColumnFormula>
      <totalsRowFormula>AVERAGE(Sheet1__10[AVERAGE AQI])</totalsRowFormula>
    </tableColumn>
    <tableColumn id="27" xr3:uid="{7EB67E24-44DF-4E7B-9B7C-AB69CBCD2F57}" uniqueName="27" name="QUALITY" queryTableFieldId="27" dataDxfId="40" totalsRowDxfId="39">
      <calculatedColumnFormula array="1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D0CCCD0-2132-4512-9D5E-4A06915C6D4E}" name="Sheet1__11" displayName="Sheet1__11" ref="A1:AA32" tableType="queryTable" totalsRowCount="1">
  <autoFilter ref="A1:AA31" xr:uid="{2D0CCCD0-2132-4512-9D5E-4A06915C6D4E}"/>
  <tableColumns count="27">
    <tableColumn id="1" xr3:uid="{FB51CC8A-3C30-4070-A999-F988A2C3B254}" uniqueName="1" name="Date" queryTableFieldId="1"/>
    <tableColumn id="2" xr3:uid="{2AE328D8-2DBD-4673-BDCB-15140935DFD3}" uniqueName="2" name="00:00:00" queryTableFieldId="2"/>
    <tableColumn id="3" xr3:uid="{96652C9C-5D5D-403C-B92D-B2B95C511423}" uniqueName="3" name="01:00:00" queryTableFieldId="3"/>
    <tableColumn id="4" xr3:uid="{7283C748-833E-49AE-BA6A-69C013CC7DE8}" uniqueName="4" name="02:00:00" queryTableFieldId="4"/>
    <tableColumn id="5" xr3:uid="{1BB91D2A-4334-4013-9A79-38CA2E3F36F5}" uniqueName="5" name="03:00:00" queryTableFieldId="5"/>
    <tableColumn id="6" xr3:uid="{34B56B46-2229-48CD-8E8D-EF208E9B13C5}" uniqueName="6" name="04:00:00" queryTableFieldId="6"/>
    <tableColumn id="7" xr3:uid="{400A7774-00C4-4E08-9ADE-21F35A081DC3}" uniqueName="7" name="05:00:00" queryTableFieldId="7"/>
    <tableColumn id="8" xr3:uid="{7125D4A9-F641-4F4A-A9E3-AC7CE53922D7}" uniqueName="8" name="06:00:00" queryTableFieldId="8"/>
    <tableColumn id="9" xr3:uid="{F4E10597-9138-4E59-8617-92C1FB0E2265}" uniqueName="9" name="07:00:00" queryTableFieldId="9"/>
    <tableColumn id="10" xr3:uid="{E02F0344-725E-4A94-945D-8D9E282B7244}" uniqueName="10" name="08:00:00" queryTableFieldId="10"/>
    <tableColumn id="11" xr3:uid="{27077B79-E917-4305-B3BD-6800DF7F1F7E}" uniqueName="11" name="09:00:00" queryTableFieldId="11"/>
    <tableColumn id="12" xr3:uid="{E86D38A8-F977-4554-BCAF-108D90C2A68C}" uniqueName="12" name="10:00:00" queryTableFieldId="12"/>
    <tableColumn id="13" xr3:uid="{AA184287-D3DC-40CC-8205-F903DA298A01}" uniqueName="13" name="11:00:00" queryTableFieldId="13"/>
    <tableColumn id="14" xr3:uid="{F9D0813E-E751-420E-ABA5-884DD1FCFD13}" uniqueName="14" name="12:00:00" queryTableFieldId="14"/>
    <tableColumn id="15" xr3:uid="{253E8439-503F-4B8D-94B0-76AFAB679BFF}" uniqueName="15" name="13:00:00" queryTableFieldId="15"/>
    <tableColumn id="16" xr3:uid="{BDE01CE1-B25D-42BB-928C-78312233D105}" uniqueName="16" name="14:00:00" queryTableFieldId="16"/>
    <tableColumn id="17" xr3:uid="{0DA67A5C-27E4-41D7-97D7-3140001F47EA}" uniqueName="17" name="15:00:00" queryTableFieldId="17"/>
    <tableColumn id="18" xr3:uid="{243DBFB5-3DF6-49C4-B887-137AC9DD9B5A}" uniqueName="18" name="16:00:00" queryTableFieldId="18"/>
    <tableColumn id="19" xr3:uid="{29E1D67A-368F-4ED7-8B10-F932F0F0946B}" uniqueName="19" name="17:00:00" queryTableFieldId="19"/>
    <tableColumn id="20" xr3:uid="{B76B0759-13EE-4B58-B085-36A1364ADA21}" uniqueName="20" name="18:00:00" queryTableFieldId="20"/>
    <tableColumn id="21" xr3:uid="{8F1A2041-DA03-49DA-8F36-BC35A2BB8C52}" uniqueName="21" name="19:00:00" queryTableFieldId="21"/>
    <tableColumn id="22" xr3:uid="{416FFB7A-A9B6-431A-860B-9BC402C359F7}" uniqueName="22" name="20:00:00" queryTableFieldId="22"/>
    <tableColumn id="23" xr3:uid="{5C99EDB6-906F-4DAA-81A6-493C5215284C}" uniqueName="23" name="21:00:00" queryTableFieldId="23"/>
    <tableColumn id="24" xr3:uid="{B0F3BF39-6D04-4826-B19F-BE2CAC81A8DC}" uniqueName="24" name="22:00:00" queryTableFieldId="24"/>
    <tableColumn id="25" xr3:uid="{A11D8FEA-E978-4C4C-9A92-656A1DA781C0}" uniqueName="25" name="23:00:00" queryTableFieldId="25"/>
    <tableColumn id="26" xr3:uid="{D6772DF0-A45E-4B26-B654-BF8C3B1277F3}" uniqueName="26" name="AVERAGE AQI" totalsRowFunction="custom" queryTableFieldId="26" dataDxfId="37" totalsRowDxfId="11">
      <calculatedColumnFormula>AVERAGE(Sheet1__11[[#This Row],[00:00:00]:[23:00:00]])</calculatedColumnFormula>
      <totalsRowFormula>AVERAGE(Sheet1__11[AVERAGE AQI])</totalsRowFormula>
    </tableColumn>
    <tableColumn id="27" xr3:uid="{BA4AC8E8-1A9B-4A60-9DE3-976793656014}" uniqueName="27" name="QUALITY" queryTableFieldId="27" dataDxfId="36" totalsRowDxfId="12">
      <calculatedColumnFormula array="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68DE4A4-CA4F-4BF1-A5A7-BCFCE489D8DD}" name="Sheet1__12" displayName="Sheet1__12" ref="A1:AA33" tableType="queryTable" totalsRowCount="1">
  <autoFilter ref="A1:AA32" xr:uid="{F68DE4A4-CA4F-4BF1-A5A7-BCFCE489D8DD}"/>
  <tableColumns count="27">
    <tableColumn id="1" xr3:uid="{6E5A02FE-A9E1-4FCE-BA9C-46D446BD4960}" uniqueName="1" name="Date" queryTableFieldId="1"/>
    <tableColumn id="2" xr3:uid="{35C78A16-5125-4CC9-9405-B35CFBDF0DAF}" uniqueName="2" name="00:00:00" queryTableFieldId="2"/>
    <tableColumn id="3" xr3:uid="{1DC59BC5-757C-45FD-BC6A-FCD371C84A4B}" uniqueName="3" name="01:00:00" queryTableFieldId="3"/>
    <tableColumn id="4" xr3:uid="{D48751A9-100F-4395-A515-7A1D81AF53FD}" uniqueName="4" name="02:00:00" queryTableFieldId="4"/>
    <tableColumn id="5" xr3:uid="{7589297B-8D29-41E5-B132-ED51E51A8518}" uniqueName="5" name="03:00:00" queryTableFieldId="5"/>
    <tableColumn id="6" xr3:uid="{8A779291-4E2C-408F-8C36-A58A1A4F42DC}" uniqueName="6" name="04:00:00" queryTableFieldId="6"/>
    <tableColumn id="7" xr3:uid="{8C7FDD15-95B6-40B5-9F0C-10B20A0F73FA}" uniqueName="7" name="05:00:00" queryTableFieldId="7"/>
    <tableColumn id="8" xr3:uid="{D751B88C-A429-483B-A983-F35016A2522E}" uniqueName="8" name="06:00:00" queryTableFieldId="8"/>
    <tableColumn id="9" xr3:uid="{1D6875CC-A517-4FB3-B045-2C5DF53319F2}" uniqueName="9" name="07:00:00" queryTableFieldId="9"/>
    <tableColumn id="10" xr3:uid="{25DA0A59-89DE-463F-A61B-4417AE58B61F}" uniqueName="10" name="08:00:00" queryTableFieldId="10"/>
    <tableColumn id="11" xr3:uid="{CD0032B9-0D20-4A26-BB0A-4D7760CA5BDF}" uniqueName="11" name="09:00:00" queryTableFieldId="11"/>
    <tableColumn id="12" xr3:uid="{FD133288-58B4-4F45-BB74-6A07E2C1A259}" uniqueName="12" name="10:00:00" queryTableFieldId="12"/>
    <tableColumn id="13" xr3:uid="{5181FF11-4BE8-4FB8-85CA-7DEF2744561E}" uniqueName="13" name="11:00:00" queryTableFieldId="13"/>
    <tableColumn id="14" xr3:uid="{A3F600F6-F734-46AA-94BE-C9B048CA1B8E}" uniqueName="14" name="12:00:00" queryTableFieldId="14"/>
    <tableColumn id="15" xr3:uid="{1E40B9E1-D170-4DC4-9293-88C283EE976C}" uniqueName="15" name="13:00:00" queryTableFieldId="15"/>
    <tableColumn id="16" xr3:uid="{54957E38-8812-4D22-B676-CBAFA8DC3E35}" uniqueName="16" name="14:00:00" queryTableFieldId="16"/>
    <tableColumn id="17" xr3:uid="{B3A2490D-ECD8-4A20-99B3-272EEE8E85CB}" uniqueName="17" name="15:00:00" queryTableFieldId="17"/>
    <tableColumn id="18" xr3:uid="{F0E9244C-C947-4C45-9C66-0683759F2AFB}" uniqueName="18" name="16:00:00" queryTableFieldId="18"/>
    <tableColumn id="19" xr3:uid="{DDB375B7-8D4D-4E36-9925-F1CC05661E09}" uniqueName="19" name="17:00:00" queryTableFieldId="19"/>
    <tableColumn id="20" xr3:uid="{0965C494-25CC-4949-9E9B-4887E93D222E}" uniqueName="20" name="18:00:00" queryTableFieldId="20"/>
    <tableColumn id="21" xr3:uid="{CE0496D2-13B5-4254-8388-020325BC9B6C}" uniqueName="21" name="19:00:00" queryTableFieldId="21"/>
    <tableColumn id="22" xr3:uid="{D8CF70D0-C80B-4478-9B5E-40366D831505}" uniqueName="22" name="20:00:00" queryTableFieldId="22"/>
    <tableColumn id="23" xr3:uid="{4315AC2D-49D9-45F7-AF0B-E87E903300F4}" uniqueName="23" name="21:00:00" queryTableFieldId="23"/>
    <tableColumn id="24" xr3:uid="{5D2DF3E8-97EF-453D-B3E9-BD029A829B8E}" uniqueName="24" name="22:00:00" queryTableFieldId="24"/>
    <tableColumn id="25" xr3:uid="{FD4601FD-5A31-4CCB-AFB2-9F0C6D2ECB0B}" uniqueName="25" name="23:00:00" queryTableFieldId="25"/>
    <tableColumn id="26" xr3:uid="{D51F8143-D900-4262-96F9-30BF7EC72FC7}" uniqueName="26" name="AVERAGE AQI" totalsRowFunction="custom" queryTableFieldId="26" dataDxfId="6" totalsRowDxfId="0">
      <calculatedColumnFormula>AVERAGE(Sheet1__12[[#This Row],[00:00:00]:[23:00:00]])</calculatedColumnFormula>
      <totalsRowFormula>AVERAGE(Sheet1__12[AVERAGE AQI])</totalsRowFormula>
    </tableColumn>
    <tableColumn id="27" xr3:uid="{6362D4B2-7311-42B2-9F76-13E683993E64}" uniqueName="27" name="QUALITY" queryTableFieldId="27" dataDxfId="5" totalsRowDxfId="1">
      <calculatedColumnFormula array="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6C37-E413-4431-838B-B8986866B9B7}">
  <dimension ref="A1:AA33"/>
  <sheetViews>
    <sheetView topLeftCell="U1" zoomScale="97" workbookViewId="0">
      <selection activeCell="Z2" sqref="Z2"/>
    </sheetView>
  </sheetViews>
  <sheetFormatPr defaultRowHeight="14.4" x14ac:dyDescent="0.3"/>
  <cols>
    <col min="1" max="25" width="10.6640625" bestFit="1" customWidth="1"/>
    <col min="26" max="26" width="11.5546875" bestFit="1" customWidth="1"/>
    <col min="27" max="27" width="10.88671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27</v>
      </c>
      <c r="AA1" t="s">
        <v>25</v>
      </c>
    </row>
    <row r="2" spans="1:27" x14ac:dyDescent="0.3">
      <c r="A2" s="1">
        <v>45658</v>
      </c>
      <c r="B2">
        <v>105</v>
      </c>
      <c r="C2">
        <v>105</v>
      </c>
      <c r="D2">
        <v>104</v>
      </c>
      <c r="E2">
        <v>104</v>
      </c>
      <c r="F2">
        <v>106</v>
      </c>
      <c r="G2">
        <v>107</v>
      </c>
      <c r="H2">
        <v>109</v>
      </c>
      <c r="I2">
        <v>110</v>
      </c>
      <c r="J2">
        <v>110</v>
      </c>
      <c r="K2">
        <v>110</v>
      </c>
      <c r="L2">
        <v>110</v>
      </c>
      <c r="M2">
        <v>110</v>
      </c>
      <c r="N2">
        <v>110</v>
      </c>
      <c r="O2">
        <v>109</v>
      </c>
      <c r="P2">
        <v>109</v>
      </c>
      <c r="Q2">
        <v>110</v>
      </c>
      <c r="R2">
        <v>110</v>
      </c>
      <c r="S2">
        <v>110</v>
      </c>
      <c r="T2">
        <v>109</v>
      </c>
      <c r="U2">
        <v>109</v>
      </c>
      <c r="V2">
        <v>109</v>
      </c>
      <c r="W2">
        <v>109</v>
      </c>
      <c r="X2">
        <v>109</v>
      </c>
      <c r="Y2">
        <v>110</v>
      </c>
      <c r="Z2" s="2">
        <f>AVERAGE(Sheet1[[#This Row],[00:00:00]:[23:00:00]])</f>
        <v>108.45833333333333</v>
      </c>
      <c r="AA2" t="str" cm="1">
        <f t="array" ref="AA2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3" spans="1:27" x14ac:dyDescent="0.3">
      <c r="A3" s="1">
        <v>45659</v>
      </c>
      <c r="B3">
        <v>110</v>
      </c>
      <c r="C3">
        <v>110</v>
      </c>
      <c r="D3">
        <v>109</v>
      </c>
      <c r="E3">
        <v>108</v>
      </c>
      <c r="F3">
        <v>107</v>
      </c>
      <c r="G3">
        <v>107</v>
      </c>
      <c r="H3">
        <v>108</v>
      </c>
      <c r="I3">
        <v>108</v>
      </c>
      <c r="J3">
        <v>108</v>
      </c>
      <c r="K3">
        <v>109</v>
      </c>
      <c r="L3">
        <v>109</v>
      </c>
      <c r="M3">
        <v>110</v>
      </c>
      <c r="N3">
        <v>111</v>
      </c>
      <c r="O3">
        <v>112</v>
      </c>
      <c r="P3">
        <v>111</v>
      </c>
      <c r="Q3">
        <v>110</v>
      </c>
      <c r="R3">
        <v>111</v>
      </c>
      <c r="S3">
        <v>110</v>
      </c>
      <c r="T3">
        <v>111</v>
      </c>
      <c r="U3">
        <v>112</v>
      </c>
      <c r="V3">
        <v>112</v>
      </c>
      <c r="W3">
        <v>111</v>
      </c>
      <c r="X3">
        <v>111</v>
      </c>
      <c r="Y3">
        <v>111</v>
      </c>
      <c r="Z3" s="2">
        <f>AVERAGE(Sheet1[[#This Row],[00:00:00]:[23:00:00]])</f>
        <v>109.83333333333333</v>
      </c>
      <c r="AA3" t="str" cm="1">
        <f t="array" ref="AA3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4" spans="1:27" x14ac:dyDescent="0.3">
      <c r="A4" s="1">
        <v>45660</v>
      </c>
      <c r="B4">
        <v>111</v>
      </c>
      <c r="C4">
        <v>111</v>
      </c>
      <c r="D4">
        <v>110</v>
      </c>
      <c r="E4">
        <v>111</v>
      </c>
      <c r="F4">
        <v>114</v>
      </c>
      <c r="G4">
        <v>114</v>
      </c>
      <c r="H4">
        <v>114</v>
      </c>
      <c r="I4">
        <v>113</v>
      </c>
      <c r="J4">
        <v>112</v>
      </c>
      <c r="K4">
        <v>111</v>
      </c>
      <c r="L4">
        <v>110</v>
      </c>
      <c r="M4">
        <v>109</v>
      </c>
      <c r="N4">
        <v>108</v>
      </c>
      <c r="O4">
        <v>108</v>
      </c>
      <c r="P4">
        <v>108</v>
      </c>
      <c r="Q4">
        <v>109</v>
      </c>
      <c r="R4">
        <v>110</v>
      </c>
      <c r="S4">
        <v>111</v>
      </c>
      <c r="T4">
        <v>112</v>
      </c>
      <c r="U4">
        <v>112</v>
      </c>
      <c r="V4">
        <v>113</v>
      </c>
      <c r="W4">
        <v>114</v>
      </c>
      <c r="X4">
        <v>115</v>
      </c>
      <c r="Y4">
        <v>117</v>
      </c>
      <c r="Z4" s="2">
        <f>AVERAGE(Sheet1[[#This Row],[00:00:00]:[23:00:00]])</f>
        <v>111.54166666666667</v>
      </c>
      <c r="AA4" t="str" cm="1">
        <f t="array" ref="AA4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5" spans="1:27" x14ac:dyDescent="0.3">
      <c r="A5" s="1">
        <v>45661</v>
      </c>
      <c r="B5">
        <v>118</v>
      </c>
      <c r="C5">
        <v>119</v>
      </c>
      <c r="D5">
        <v>120</v>
      </c>
      <c r="E5">
        <v>121</v>
      </c>
      <c r="F5">
        <v>122</v>
      </c>
      <c r="G5">
        <v>123</v>
      </c>
      <c r="H5">
        <v>124</v>
      </c>
      <c r="I5">
        <v>125</v>
      </c>
      <c r="K5">
        <v>127</v>
      </c>
      <c r="L5">
        <v>129</v>
      </c>
      <c r="M5">
        <v>130</v>
      </c>
      <c r="N5">
        <v>131</v>
      </c>
      <c r="O5">
        <v>131</v>
      </c>
      <c r="P5">
        <v>134</v>
      </c>
      <c r="Q5">
        <v>134</v>
      </c>
      <c r="R5">
        <v>134</v>
      </c>
      <c r="S5">
        <v>134</v>
      </c>
      <c r="T5">
        <v>133</v>
      </c>
      <c r="U5">
        <v>133</v>
      </c>
      <c r="V5">
        <v>134</v>
      </c>
      <c r="W5">
        <v>135</v>
      </c>
      <c r="X5">
        <v>119</v>
      </c>
      <c r="Y5">
        <v>119</v>
      </c>
      <c r="Z5" s="2">
        <f>AVERAGE(Sheet1[[#This Row],[00:00:00]:[23:00:00]])</f>
        <v>127.34782608695652</v>
      </c>
      <c r="AA5" t="str" cm="1">
        <f t="array" ref="AA5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6" spans="1:27" x14ac:dyDescent="0.3">
      <c r="A6" s="1">
        <v>45662</v>
      </c>
      <c r="B6">
        <v>120</v>
      </c>
      <c r="C6">
        <v>122</v>
      </c>
      <c r="D6">
        <v>122</v>
      </c>
      <c r="E6">
        <v>125</v>
      </c>
      <c r="F6">
        <v>123</v>
      </c>
      <c r="G6">
        <v>123</v>
      </c>
      <c r="H6">
        <v>122</v>
      </c>
      <c r="I6">
        <v>122</v>
      </c>
      <c r="J6">
        <v>122</v>
      </c>
      <c r="K6">
        <v>121</v>
      </c>
      <c r="L6">
        <v>121</v>
      </c>
      <c r="M6">
        <v>139</v>
      </c>
      <c r="N6">
        <v>140</v>
      </c>
      <c r="O6">
        <v>141</v>
      </c>
      <c r="P6">
        <v>140</v>
      </c>
      <c r="Q6">
        <v>146</v>
      </c>
      <c r="R6">
        <v>146</v>
      </c>
      <c r="S6">
        <v>145</v>
      </c>
      <c r="T6">
        <v>140</v>
      </c>
      <c r="U6">
        <v>140</v>
      </c>
      <c r="V6">
        <v>140</v>
      </c>
      <c r="W6">
        <v>137</v>
      </c>
      <c r="X6">
        <v>137</v>
      </c>
      <c r="Y6">
        <v>136</v>
      </c>
      <c r="Z6" s="2">
        <f>AVERAGE(Sheet1[[#This Row],[00:00:00]:[23:00:00]])</f>
        <v>132.08333333333334</v>
      </c>
      <c r="AA6" t="str" cm="1">
        <f t="array" ref="AA6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7" spans="1:27" x14ac:dyDescent="0.3">
      <c r="A7" s="1">
        <v>45663</v>
      </c>
      <c r="B7">
        <v>135</v>
      </c>
      <c r="C7">
        <v>134</v>
      </c>
      <c r="D7">
        <v>135</v>
      </c>
      <c r="E7">
        <v>134</v>
      </c>
      <c r="F7">
        <v>134</v>
      </c>
      <c r="G7">
        <v>135</v>
      </c>
      <c r="H7">
        <v>134</v>
      </c>
      <c r="I7">
        <v>134</v>
      </c>
      <c r="J7">
        <v>134</v>
      </c>
      <c r="K7">
        <v>133</v>
      </c>
      <c r="L7">
        <v>130</v>
      </c>
      <c r="M7">
        <v>130</v>
      </c>
      <c r="N7">
        <v>134</v>
      </c>
      <c r="O7">
        <v>150</v>
      </c>
      <c r="P7">
        <v>152</v>
      </c>
      <c r="Q7">
        <v>158</v>
      </c>
      <c r="R7">
        <v>154</v>
      </c>
      <c r="S7">
        <v>158</v>
      </c>
      <c r="T7">
        <v>150</v>
      </c>
      <c r="U7">
        <v>146</v>
      </c>
      <c r="V7">
        <v>146</v>
      </c>
      <c r="W7">
        <v>143</v>
      </c>
      <c r="X7">
        <v>143</v>
      </c>
      <c r="Y7">
        <v>138</v>
      </c>
      <c r="Z7" s="2">
        <f>AVERAGE(Sheet1[[#This Row],[00:00:00]:[23:00:00]])</f>
        <v>140.58333333333334</v>
      </c>
      <c r="AA7" t="str" cm="1">
        <f t="array" ref="AA7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8" spans="1:27" x14ac:dyDescent="0.3">
      <c r="A8" s="1">
        <v>45664</v>
      </c>
      <c r="B8">
        <v>137</v>
      </c>
      <c r="C8">
        <v>136</v>
      </c>
      <c r="D8">
        <v>136</v>
      </c>
      <c r="E8">
        <v>135</v>
      </c>
      <c r="F8">
        <v>136</v>
      </c>
      <c r="G8">
        <v>135</v>
      </c>
      <c r="H8">
        <v>136</v>
      </c>
      <c r="I8">
        <v>136</v>
      </c>
      <c r="J8">
        <v>136</v>
      </c>
      <c r="K8">
        <v>136</v>
      </c>
      <c r="L8">
        <v>136</v>
      </c>
      <c r="M8">
        <v>135</v>
      </c>
      <c r="N8">
        <v>135</v>
      </c>
      <c r="O8">
        <v>133</v>
      </c>
      <c r="P8">
        <v>132</v>
      </c>
      <c r="Q8">
        <v>132</v>
      </c>
      <c r="R8">
        <v>132</v>
      </c>
      <c r="S8">
        <v>133</v>
      </c>
      <c r="T8">
        <v>135</v>
      </c>
      <c r="U8">
        <v>134</v>
      </c>
      <c r="V8">
        <v>134</v>
      </c>
      <c r="W8">
        <v>132</v>
      </c>
      <c r="X8">
        <v>136</v>
      </c>
      <c r="Y8">
        <v>136</v>
      </c>
      <c r="Z8" s="2">
        <f>AVERAGE(Sheet1[[#This Row],[00:00:00]:[23:00:00]])</f>
        <v>134.75</v>
      </c>
      <c r="AA8" t="str" cm="1">
        <f t="array" ref="AA8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9" spans="1:27" x14ac:dyDescent="0.3">
      <c r="A9" s="1">
        <v>45665</v>
      </c>
      <c r="B9">
        <v>137</v>
      </c>
      <c r="C9">
        <v>136</v>
      </c>
      <c r="D9">
        <v>131</v>
      </c>
      <c r="E9">
        <v>131</v>
      </c>
      <c r="F9">
        <v>131</v>
      </c>
      <c r="G9">
        <v>131</v>
      </c>
      <c r="H9">
        <v>131</v>
      </c>
      <c r="I9">
        <v>130</v>
      </c>
      <c r="J9">
        <v>130</v>
      </c>
      <c r="K9">
        <v>130</v>
      </c>
      <c r="L9">
        <v>131</v>
      </c>
      <c r="M9">
        <v>131</v>
      </c>
      <c r="N9">
        <v>132</v>
      </c>
      <c r="O9">
        <v>132</v>
      </c>
      <c r="P9">
        <v>132</v>
      </c>
      <c r="Q9">
        <v>132</v>
      </c>
      <c r="R9">
        <v>132</v>
      </c>
      <c r="S9">
        <v>132</v>
      </c>
      <c r="T9">
        <v>132</v>
      </c>
      <c r="U9">
        <v>132</v>
      </c>
      <c r="V9">
        <v>133</v>
      </c>
      <c r="W9">
        <v>134</v>
      </c>
      <c r="X9">
        <v>136</v>
      </c>
      <c r="Y9">
        <v>129</v>
      </c>
      <c r="Z9" s="2">
        <f>AVERAGE(Sheet1[[#This Row],[00:00:00]:[23:00:00]])</f>
        <v>132</v>
      </c>
      <c r="AA9" t="str" cm="1">
        <f t="array" ref="AA9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0" spans="1:27" x14ac:dyDescent="0.3">
      <c r="A10" s="1">
        <v>45666</v>
      </c>
      <c r="B10">
        <v>141</v>
      </c>
      <c r="C10">
        <v>143</v>
      </c>
      <c r="D10">
        <v>141</v>
      </c>
      <c r="E10">
        <v>143</v>
      </c>
      <c r="F10">
        <v>144</v>
      </c>
      <c r="G10">
        <v>145</v>
      </c>
      <c r="H10">
        <v>146</v>
      </c>
      <c r="I10">
        <v>147</v>
      </c>
      <c r="J10">
        <v>148</v>
      </c>
      <c r="K10">
        <v>149</v>
      </c>
      <c r="L10">
        <v>149</v>
      </c>
      <c r="M10">
        <v>148</v>
      </c>
      <c r="N10">
        <v>148</v>
      </c>
      <c r="O10">
        <v>148</v>
      </c>
      <c r="P10">
        <v>148</v>
      </c>
      <c r="Q10">
        <v>148</v>
      </c>
      <c r="R10">
        <v>148</v>
      </c>
      <c r="S10">
        <v>150</v>
      </c>
      <c r="T10">
        <v>149</v>
      </c>
      <c r="U10">
        <v>150</v>
      </c>
      <c r="V10">
        <v>149</v>
      </c>
      <c r="W10">
        <v>150</v>
      </c>
      <c r="X10">
        <v>150</v>
      </c>
      <c r="Y10">
        <v>151</v>
      </c>
      <c r="Z10" s="2">
        <f>AVERAGE(Sheet1[[#This Row],[00:00:00]:[23:00:00]])</f>
        <v>147.20833333333334</v>
      </c>
      <c r="AA10" t="str" cm="1">
        <f t="array" ref="AA10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1" spans="1:27" x14ac:dyDescent="0.3">
      <c r="A11" s="1">
        <v>45667</v>
      </c>
      <c r="B11">
        <v>151</v>
      </c>
      <c r="C11">
        <v>152</v>
      </c>
      <c r="D11">
        <v>156</v>
      </c>
      <c r="E11">
        <v>157</v>
      </c>
      <c r="F11">
        <v>159</v>
      </c>
      <c r="G11">
        <v>162</v>
      </c>
      <c r="H11">
        <v>162</v>
      </c>
      <c r="I11">
        <v>165</v>
      </c>
      <c r="J11">
        <v>167</v>
      </c>
      <c r="K11">
        <v>168</v>
      </c>
      <c r="L11">
        <v>169</v>
      </c>
      <c r="M11">
        <v>171</v>
      </c>
      <c r="N11">
        <v>172</v>
      </c>
      <c r="O11">
        <v>173</v>
      </c>
      <c r="P11">
        <v>174</v>
      </c>
      <c r="Q11">
        <v>173</v>
      </c>
      <c r="R11">
        <v>172</v>
      </c>
      <c r="S11">
        <v>172</v>
      </c>
      <c r="T11">
        <v>172</v>
      </c>
      <c r="U11">
        <v>171</v>
      </c>
      <c r="V11">
        <v>171</v>
      </c>
      <c r="W11">
        <v>170</v>
      </c>
      <c r="X11">
        <v>169</v>
      </c>
      <c r="Y11">
        <v>168</v>
      </c>
      <c r="Z11" s="2">
        <f>AVERAGE(Sheet1[[#This Row],[00:00:00]:[23:00:00]])</f>
        <v>166.5</v>
      </c>
      <c r="AA11" t="str" cm="1">
        <f t="array" ref="AA11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2" spans="1:27" x14ac:dyDescent="0.3">
      <c r="A12" s="1">
        <v>45668</v>
      </c>
      <c r="B12">
        <v>169</v>
      </c>
      <c r="C12">
        <v>169</v>
      </c>
      <c r="D12">
        <v>168</v>
      </c>
      <c r="E12">
        <v>167</v>
      </c>
      <c r="F12">
        <v>164</v>
      </c>
      <c r="G12">
        <v>152</v>
      </c>
      <c r="H12">
        <v>153</v>
      </c>
      <c r="I12">
        <v>153</v>
      </c>
      <c r="J12">
        <v>154</v>
      </c>
      <c r="K12">
        <v>155</v>
      </c>
      <c r="L12">
        <v>156</v>
      </c>
      <c r="M12">
        <v>156</v>
      </c>
      <c r="N12">
        <v>159</v>
      </c>
      <c r="O12">
        <v>160</v>
      </c>
      <c r="P12">
        <v>160</v>
      </c>
      <c r="Q12">
        <v>164</v>
      </c>
      <c r="R12">
        <v>162</v>
      </c>
      <c r="S12">
        <v>162</v>
      </c>
      <c r="T12">
        <v>162</v>
      </c>
      <c r="U12">
        <v>162</v>
      </c>
      <c r="V12">
        <v>161</v>
      </c>
      <c r="W12">
        <v>160</v>
      </c>
      <c r="X12">
        <v>160</v>
      </c>
      <c r="Y12">
        <v>158</v>
      </c>
      <c r="Z12" s="2">
        <f>AVERAGE(Sheet1[[#This Row],[00:00:00]:[23:00:00]])</f>
        <v>160.25</v>
      </c>
      <c r="AA12" t="str" cm="1">
        <f t="array" ref="AA12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3" spans="1:27" x14ac:dyDescent="0.3">
      <c r="A13" s="1">
        <v>45669</v>
      </c>
      <c r="B13">
        <v>158</v>
      </c>
      <c r="C13">
        <v>156</v>
      </c>
      <c r="D13">
        <v>155</v>
      </c>
      <c r="E13">
        <v>153</v>
      </c>
      <c r="F13">
        <v>152</v>
      </c>
      <c r="G13">
        <v>150</v>
      </c>
      <c r="H13">
        <v>148</v>
      </c>
      <c r="I13">
        <v>146</v>
      </c>
      <c r="J13">
        <v>144</v>
      </c>
      <c r="K13">
        <v>143</v>
      </c>
      <c r="L13">
        <v>142</v>
      </c>
      <c r="M13">
        <v>141</v>
      </c>
      <c r="N13">
        <v>139</v>
      </c>
      <c r="O13">
        <v>137</v>
      </c>
      <c r="P13">
        <v>137</v>
      </c>
      <c r="Q13">
        <v>137</v>
      </c>
      <c r="R13">
        <v>137</v>
      </c>
      <c r="S13">
        <v>137</v>
      </c>
      <c r="T13">
        <v>139</v>
      </c>
      <c r="U13">
        <v>142</v>
      </c>
      <c r="V13">
        <v>142</v>
      </c>
      <c r="W13">
        <v>141</v>
      </c>
      <c r="X13">
        <v>142</v>
      </c>
      <c r="Y13">
        <v>142</v>
      </c>
      <c r="Z13" s="2">
        <f>AVERAGE(Sheet1[[#This Row],[00:00:00]:[23:00:00]])</f>
        <v>144.16666666666666</v>
      </c>
      <c r="AA13" t="str" cm="1">
        <f t="array" ref="AA13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4" spans="1:27" x14ac:dyDescent="0.3">
      <c r="A14" s="1">
        <v>45670</v>
      </c>
      <c r="B14">
        <v>142</v>
      </c>
      <c r="C14">
        <v>142</v>
      </c>
      <c r="D14">
        <v>141</v>
      </c>
      <c r="E14">
        <v>140</v>
      </c>
      <c r="F14">
        <v>139</v>
      </c>
      <c r="G14">
        <v>138</v>
      </c>
      <c r="H14">
        <v>138</v>
      </c>
      <c r="I14">
        <v>137</v>
      </c>
      <c r="J14">
        <v>136</v>
      </c>
      <c r="K14">
        <v>135</v>
      </c>
      <c r="L14">
        <v>135</v>
      </c>
      <c r="M14">
        <v>133</v>
      </c>
      <c r="N14">
        <v>133</v>
      </c>
      <c r="O14">
        <v>132</v>
      </c>
      <c r="P14">
        <v>131</v>
      </c>
      <c r="Q14">
        <v>131</v>
      </c>
      <c r="R14">
        <v>131</v>
      </c>
      <c r="S14">
        <v>130</v>
      </c>
      <c r="T14">
        <v>131</v>
      </c>
      <c r="U14">
        <v>131</v>
      </c>
      <c r="V14">
        <v>131</v>
      </c>
      <c r="W14">
        <v>132</v>
      </c>
      <c r="X14">
        <v>124</v>
      </c>
      <c r="Y14">
        <v>124</v>
      </c>
      <c r="Z14" s="2">
        <f>AVERAGE(Sheet1[[#This Row],[00:00:00]:[23:00:00]])</f>
        <v>134.04166666666666</v>
      </c>
      <c r="AA14" t="str" cm="1">
        <f t="array" ref="AA14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5" spans="1:27" x14ac:dyDescent="0.3">
      <c r="A15" s="1">
        <v>45671</v>
      </c>
      <c r="B15">
        <v>124</v>
      </c>
      <c r="C15">
        <v>124</v>
      </c>
      <c r="D15">
        <v>130</v>
      </c>
      <c r="E15">
        <v>131</v>
      </c>
      <c r="F15">
        <v>133</v>
      </c>
      <c r="G15">
        <v>134</v>
      </c>
      <c r="H15">
        <v>134</v>
      </c>
      <c r="I15">
        <v>134</v>
      </c>
      <c r="J15">
        <v>135</v>
      </c>
      <c r="K15">
        <v>136</v>
      </c>
      <c r="L15">
        <v>136</v>
      </c>
      <c r="M15">
        <v>137</v>
      </c>
      <c r="N15">
        <v>138</v>
      </c>
      <c r="O15">
        <v>137</v>
      </c>
      <c r="P15">
        <v>137</v>
      </c>
      <c r="Q15">
        <v>137</v>
      </c>
      <c r="R15">
        <v>136</v>
      </c>
      <c r="S15">
        <v>136</v>
      </c>
      <c r="T15">
        <v>134</v>
      </c>
      <c r="U15">
        <v>134</v>
      </c>
      <c r="V15">
        <v>133</v>
      </c>
      <c r="W15">
        <v>132</v>
      </c>
      <c r="X15">
        <v>130</v>
      </c>
      <c r="Y15">
        <v>130</v>
      </c>
      <c r="Z15" s="2">
        <f>AVERAGE(Sheet1[[#This Row],[00:00:00]:[23:00:00]])</f>
        <v>133.41666666666666</v>
      </c>
      <c r="AA15" t="str" cm="1">
        <f t="array" ref="AA15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6" spans="1:27" x14ac:dyDescent="0.3">
      <c r="A16" s="1">
        <v>45672</v>
      </c>
      <c r="B16">
        <v>128</v>
      </c>
      <c r="C16">
        <v>127</v>
      </c>
      <c r="D16">
        <v>127</v>
      </c>
      <c r="E16">
        <v>126</v>
      </c>
      <c r="F16">
        <v>126</v>
      </c>
      <c r="G16">
        <v>127</v>
      </c>
      <c r="H16">
        <v>126</v>
      </c>
      <c r="I16">
        <v>125</v>
      </c>
      <c r="J16">
        <v>124</v>
      </c>
      <c r="K16">
        <v>124</v>
      </c>
      <c r="L16">
        <v>126</v>
      </c>
      <c r="M16">
        <v>126</v>
      </c>
      <c r="N16">
        <v>125</v>
      </c>
      <c r="O16">
        <v>124</v>
      </c>
      <c r="P16">
        <v>124</v>
      </c>
      <c r="Q16">
        <v>125</v>
      </c>
      <c r="R16">
        <v>118</v>
      </c>
      <c r="S16">
        <v>125</v>
      </c>
      <c r="T16">
        <v>125</v>
      </c>
      <c r="U16">
        <v>124</v>
      </c>
      <c r="V16">
        <v>123</v>
      </c>
      <c r="W16">
        <v>124</v>
      </c>
      <c r="X16">
        <v>124</v>
      </c>
      <c r="Y16">
        <v>125</v>
      </c>
      <c r="Z16" s="2">
        <f>AVERAGE(Sheet1[[#This Row],[00:00:00]:[23:00:00]])</f>
        <v>124.91666666666667</v>
      </c>
      <c r="AA16" t="str" cm="1">
        <f t="array" ref="AA16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7" spans="1:27" x14ac:dyDescent="0.3">
      <c r="A17" s="1">
        <v>45673</v>
      </c>
      <c r="B17">
        <v>124</v>
      </c>
      <c r="C17">
        <v>124</v>
      </c>
      <c r="D17">
        <v>118</v>
      </c>
      <c r="E17">
        <v>118</v>
      </c>
      <c r="F17">
        <v>116</v>
      </c>
      <c r="G17">
        <v>115</v>
      </c>
      <c r="H17">
        <v>115</v>
      </c>
      <c r="I17">
        <v>116</v>
      </c>
      <c r="J17">
        <v>116</v>
      </c>
      <c r="K17">
        <v>117</v>
      </c>
      <c r="L17">
        <v>118</v>
      </c>
      <c r="M17">
        <v>119</v>
      </c>
      <c r="N17">
        <v>124</v>
      </c>
      <c r="O17">
        <v>126</v>
      </c>
      <c r="P17">
        <v>123</v>
      </c>
      <c r="Q17">
        <v>123</v>
      </c>
      <c r="R17">
        <v>123</v>
      </c>
      <c r="S17">
        <v>123</v>
      </c>
      <c r="T17">
        <v>123</v>
      </c>
      <c r="U17">
        <v>123</v>
      </c>
      <c r="V17">
        <v>124</v>
      </c>
      <c r="W17">
        <v>115</v>
      </c>
      <c r="X17">
        <v>121</v>
      </c>
      <c r="Y17">
        <v>121</v>
      </c>
      <c r="Z17" s="2">
        <f>AVERAGE(Sheet1[[#This Row],[00:00:00]:[23:00:00]])</f>
        <v>120.20833333333333</v>
      </c>
      <c r="AA17" t="str" cm="1">
        <f t="array" ref="AA17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8" spans="1:27" x14ac:dyDescent="0.3">
      <c r="A18" s="1">
        <v>45674</v>
      </c>
      <c r="B18">
        <v>121</v>
      </c>
      <c r="C18">
        <v>122</v>
      </c>
      <c r="D18">
        <v>122</v>
      </c>
      <c r="E18">
        <v>123</v>
      </c>
      <c r="F18">
        <v>123</v>
      </c>
      <c r="G18">
        <v>123</v>
      </c>
      <c r="H18">
        <v>124</v>
      </c>
      <c r="I18">
        <v>123</v>
      </c>
      <c r="J18">
        <v>122</v>
      </c>
      <c r="K18">
        <v>122</v>
      </c>
      <c r="L18">
        <v>122</v>
      </c>
      <c r="M18">
        <v>121</v>
      </c>
      <c r="N18">
        <v>121</v>
      </c>
      <c r="O18">
        <v>120</v>
      </c>
      <c r="P18">
        <v>120</v>
      </c>
      <c r="Q18">
        <v>122</v>
      </c>
      <c r="R18">
        <v>123</v>
      </c>
      <c r="S18">
        <v>124</v>
      </c>
      <c r="T18">
        <v>125</v>
      </c>
      <c r="U18">
        <v>126</v>
      </c>
      <c r="V18">
        <v>126</v>
      </c>
      <c r="W18">
        <v>127</v>
      </c>
      <c r="X18">
        <v>130</v>
      </c>
      <c r="Y18">
        <v>133</v>
      </c>
      <c r="Z18" s="2">
        <f>AVERAGE(Sheet1[[#This Row],[00:00:00]:[23:00:00]])</f>
        <v>123.54166666666667</v>
      </c>
      <c r="AA18" t="str" cm="1">
        <f t="array" ref="AA18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9" spans="1:27" x14ac:dyDescent="0.3">
      <c r="A19" s="1">
        <v>45675</v>
      </c>
      <c r="B19">
        <v>135</v>
      </c>
      <c r="C19">
        <v>136</v>
      </c>
      <c r="D19">
        <v>136</v>
      </c>
      <c r="E19">
        <v>136</v>
      </c>
      <c r="F19">
        <v>136</v>
      </c>
      <c r="G19">
        <v>136</v>
      </c>
      <c r="H19">
        <v>135</v>
      </c>
      <c r="I19">
        <v>136</v>
      </c>
      <c r="J19">
        <v>137</v>
      </c>
      <c r="K19">
        <v>137</v>
      </c>
      <c r="L19">
        <v>137</v>
      </c>
      <c r="M19">
        <v>137</v>
      </c>
      <c r="N19">
        <v>138</v>
      </c>
      <c r="O19">
        <v>141</v>
      </c>
      <c r="P19">
        <v>141</v>
      </c>
      <c r="Q19">
        <v>142</v>
      </c>
      <c r="R19">
        <v>140</v>
      </c>
      <c r="S19">
        <v>139</v>
      </c>
      <c r="T19">
        <v>140</v>
      </c>
      <c r="U19">
        <v>141</v>
      </c>
      <c r="V19">
        <v>142</v>
      </c>
      <c r="W19">
        <v>147</v>
      </c>
      <c r="X19">
        <v>148</v>
      </c>
      <c r="Y19">
        <v>148</v>
      </c>
      <c r="Z19" s="2">
        <f>AVERAGE(Sheet1[[#This Row],[00:00:00]:[23:00:00]])</f>
        <v>139.20833333333334</v>
      </c>
      <c r="AA19" t="str" cm="1">
        <f t="array" ref="AA19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0" spans="1:27" x14ac:dyDescent="0.3">
      <c r="A20" s="1">
        <v>45676</v>
      </c>
      <c r="B20">
        <v>148</v>
      </c>
      <c r="C20">
        <v>150</v>
      </c>
      <c r="D20">
        <v>151</v>
      </c>
      <c r="E20">
        <v>152</v>
      </c>
      <c r="F20">
        <v>154</v>
      </c>
      <c r="G20">
        <v>154</v>
      </c>
      <c r="H20">
        <v>155</v>
      </c>
      <c r="I20">
        <v>154</v>
      </c>
      <c r="J20">
        <v>154</v>
      </c>
      <c r="K20">
        <v>154</v>
      </c>
      <c r="L20">
        <v>155</v>
      </c>
      <c r="M20">
        <v>155</v>
      </c>
      <c r="N20">
        <v>155</v>
      </c>
      <c r="O20">
        <v>159</v>
      </c>
      <c r="P20">
        <v>160</v>
      </c>
      <c r="Q20">
        <v>160</v>
      </c>
      <c r="R20">
        <v>156</v>
      </c>
      <c r="S20">
        <v>156</v>
      </c>
      <c r="T20">
        <v>156</v>
      </c>
      <c r="U20">
        <v>156</v>
      </c>
      <c r="V20">
        <v>157</v>
      </c>
      <c r="W20">
        <v>157</v>
      </c>
      <c r="X20">
        <v>157</v>
      </c>
      <c r="Y20">
        <v>156</v>
      </c>
      <c r="Z20" s="2">
        <f>AVERAGE(Sheet1[[#This Row],[00:00:00]:[23:00:00]])</f>
        <v>155.04166666666666</v>
      </c>
      <c r="AA20" t="str" cm="1">
        <f t="array" ref="AA20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21" spans="1:27" x14ac:dyDescent="0.3">
      <c r="A21" s="1">
        <v>45677</v>
      </c>
      <c r="B21">
        <v>155</v>
      </c>
      <c r="C21">
        <v>154</v>
      </c>
      <c r="D21">
        <v>152</v>
      </c>
      <c r="E21">
        <v>155</v>
      </c>
      <c r="F21">
        <v>155</v>
      </c>
      <c r="G21">
        <v>155</v>
      </c>
      <c r="H21">
        <v>155</v>
      </c>
      <c r="I21">
        <v>156</v>
      </c>
      <c r="J21">
        <v>153</v>
      </c>
      <c r="K21">
        <v>159</v>
      </c>
      <c r="L21">
        <v>161</v>
      </c>
      <c r="M21">
        <v>162</v>
      </c>
      <c r="N21">
        <v>163</v>
      </c>
      <c r="O21">
        <v>163</v>
      </c>
      <c r="P21">
        <v>161</v>
      </c>
      <c r="Q21">
        <v>162</v>
      </c>
      <c r="R21">
        <v>162</v>
      </c>
      <c r="S21">
        <v>155</v>
      </c>
      <c r="T21">
        <v>155</v>
      </c>
      <c r="U21">
        <v>159</v>
      </c>
      <c r="V21">
        <v>157</v>
      </c>
      <c r="W21">
        <v>156</v>
      </c>
      <c r="X21">
        <v>155</v>
      </c>
      <c r="Y21">
        <v>155</v>
      </c>
      <c r="Z21" s="2">
        <f>AVERAGE(Sheet1[[#This Row],[00:00:00]:[23:00:00]])</f>
        <v>157.29166666666666</v>
      </c>
      <c r="AA21" t="str" cm="1">
        <f t="array" ref="AA21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22" spans="1:27" x14ac:dyDescent="0.3">
      <c r="A22" s="1">
        <v>45678</v>
      </c>
      <c r="B22">
        <v>156</v>
      </c>
      <c r="C22">
        <v>158</v>
      </c>
      <c r="D22">
        <v>159</v>
      </c>
      <c r="E22">
        <v>158</v>
      </c>
      <c r="F22">
        <v>158</v>
      </c>
      <c r="G22">
        <v>160</v>
      </c>
      <c r="H22">
        <v>161</v>
      </c>
      <c r="I22">
        <v>162</v>
      </c>
      <c r="J22">
        <v>162</v>
      </c>
      <c r="K22">
        <v>161</v>
      </c>
      <c r="L22">
        <v>161</v>
      </c>
      <c r="M22">
        <v>155</v>
      </c>
      <c r="N22">
        <v>163</v>
      </c>
      <c r="O22">
        <v>163</v>
      </c>
      <c r="P22">
        <v>171</v>
      </c>
      <c r="Q22">
        <v>171</v>
      </c>
      <c r="R22">
        <v>182</v>
      </c>
      <c r="S22">
        <v>182</v>
      </c>
      <c r="T22">
        <v>165</v>
      </c>
      <c r="U22">
        <v>171</v>
      </c>
      <c r="V22">
        <v>171</v>
      </c>
      <c r="W22">
        <v>171</v>
      </c>
      <c r="X22">
        <v>171</v>
      </c>
      <c r="Y22">
        <v>170</v>
      </c>
      <c r="Z22" s="2">
        <f>AVERAGE(Sheet1[[#This Row],[00:00:00]:[23:00:00]])</f>
        <v>165.08333333333334</v>
      </c>
      <c r="AA22" t="str" cm="1">
        <f t="array" ref="AA22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23" spans="1:27" x14ac:dyDescent="0.3">
      <c r="A23" s="1">
        <v>45679</v>
      </c>
      <c r="B23">
        <v>168</v>
      </c>
      <c r="C23">
        <v>166</v>
      </c>
      <c r="D23">
        <v>163</v>
      </c>
      <c r="E23">
        <v>166</v>
      </c>
      <c r="F23">
        <v>158</v>
      </c>
      <c r="G23">
        <v>158</v>
      </c>
      <c r="H23">
        <v>157</v>
      </c>
      <c r="I23">
        <v>155</v>
      </c>
      <c r="J23">
        <v>153</v>
      </c>
      <c r="K23">
        <v>152</v>
      </c>
      <c r="L23">
        <v>151</v>
      </c>
      <c r="M23">
        <v>151</v>
      </c>
      <c r="N23">
        <v>150</v>
      </c>
      <c r="O23">
        <v>149</v>
      </c>
      <c r="P23">
        <v>149</v>
      </c>
      <c r="Q23">
        <v>152</v>
      </c>
      <c r="R23">
        <v>148</v>
      </c>
      <c r="S23">
        <v>150</v>
      </c>
      <c r="T23">
        <v>148</v>
      </c>
      <c r="U23">
        <v>148</v>
      </c>
      <c r="V23">
        <v>146</v>
      </c>
      <c r="W23">
        <v>146</v>
      </c>
      <c r="X23">
        <v>146</v>
      </c>
      <c r="Y23">
        <v>148</v>
      </c>
      <c r="Z23" s="2">
        <f>AVERAGE(Sheet1[[#This Row],[00:00:00]:[23:00:00]])</f>
        <v>153.25</v>
      </c>
      <c r="AA23" t="str" cm="1">
        <f t="array" ref="AA23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24" spans="1:27" x14ac:dyDescent="0.3">
      <c r="A24" s="1">
        <v>45680</v>
      </c>
      <c r="B24">
        <v>147</v>
      </c>
      <c r="C24">
        <v>147</v>
      </c>
      <c r="D24">
        <v>146</v>
      </c>
      <c r="E24">
        <v>147</v>
      </c>
      <c r="F24">
        <v>148</v>
      </c>
      <c r="G24">
        <v>150</v>
      </c>
      <c r="H24">
        <v>151</v>
      </c>
      <c r="I24">
        <v>152</v>
      </c>
      <c r="J24">
        <v>152</v>
      </c>
      <c r="K24">
        <v>155</v>
      </c>
      <c r="L24">
        <v>156</v>
      </c>
      <c r="M24">
        <v>157</v>
      </c>
      <c r="N24">
        <v>158</v>
      </c>
      <c r="O24">
        <v>156</v>
      </c>
      <c r="P24">
        <v>157</v>
      </c>
      <c r="Q24">
        <v>169</v>
      </c>
      <c r="R24">
        <v>158</v>
      </c>
      <c r="S24">
        <v>168</v>
      </c>
      <c r="T24">
        <v>168</v>
      </c>
      <c r="U24">
        <v>168</v>
      </c>
      <c r="V24">
        <v>168</v>
      </c>
      <c r="W24">
        <v>169</v>
      </c>
      <c r="X24">
        <v>169</v>
      </c>
      <c r="Y24">
        <v>170</v>
      </c>
      <c r="Z24" s="2">
        <f>AVERAGE(Sheet1[[#This Row],[00:00:00]:[23:00:00]])</f>
        <v>157.75</v>
      </c>
      <c r="AA24" t="str" cm="1">
        <f t="array" ref="AA24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25" spans="1:27" x14ac:dyDescent="0.3">
      <c r="A25" s="1">
        <v>45681</v>
      </c>
      <c r="B25">
        <v>170</v>
      </c>
      <c r="C25">
        <v>172</v>
      </c>
      <c r="D25">
        <v>169</v>
      </c>
      <c r="E25">
        <v>169</v>
      </c>
      <c r="F25">
        <v>170</v>
      </c>
      <c r="G25">
        <v>171</v>
      </c>
      <c r="H25">
        <v>172</v>
      </c>
      <c r="I25">
        <v>173</v>
      </c>
      <c r="J25">
        <v>174</v>
      </c>
      <c r="K25">
        <v>176</v>
      </c>
      <c r="L25">
        <v>178</v>
      </c>
      <c r="M25">
        <v>179</v>
      </c>
      <c r="N25">
        <v>178</v>
      </c>
      <c r="O25">
        <v>178</v>
      </c>
      <c r="P25">
        <v>177</v>
      </c>
      <c r="Q25">
        <v>176</v>
      </c>
      <c r="R25">
        <v>175</v>
      </c>
      <c r="S25">
        <v>175</v>
      </c>
      <c r="T25">
        <v>175</v>
      </c>
      <c r="U25">
        <v>176</v>
      </c>
      <c r="V25">
        <v>168</v>
      </c>
      <c r="W25">
        <v>168</v>
      </c>
      <c r="X25">
        <v>167</v>
      </c>
      <c r="Y25">
        <v>166</v>
      </c>
      <c r="Z25" s="2">
        <f>AVERAGE(Sheet1[[#This Row],[00:00:00]:[23:00:00]])</f>
        <v>173</v>
      </c>
      <c r="AA25" t="str" cm="1">
        <f t="array" ref="AA25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26" spans="1:27" x14ac:dyDescent="0.3">
      <c r="A26" s="1">
        <v>45682</v>
      </c>
      <c r="B26">
        <v>165</v>
      </c>
      <c r="C26">
        <v>164</v>
      </c>
      <c r="D26">
        <v>163</v>
      </c>
      <c r="E26">
        <v>163</v>
      </c>
      <c r="F26">
        <v>154</v>
      </c>
      <c r="G26">
        <v>154</v>
      </c>
      <c r="H26">
        <v>155</v>
      </c>
      <c r="I26">
        <v>154</v>
      </c>
      <c r="J26">
        <v>154</v>
      </c>
      <c r="K26">
        <v>154</v>
      </c>
      <c r="L26">
        <v>153</v>
      </c>
      <c r="M26">
        <v>153</v>
      </c>
      <c r="N26">
        <v>153</v>
      </c>
      <c r="O26">
        <v>152</v>
      </c>
      <c r="P26">
        <v>151</v>
      </c>
      <c r="Q26">
        <v>150</v>
      </c>
      <c r="R26">
        <v>150</v>
      </c>
      <c r="S26">
        <v>149</v>
      </c>
      <c r="T26">
        <v>149</v>
      </c>
      <c r="U26">
        <v>149</v>
      </c>
      <c r="V26">
        <v>161</v>
      </c>
      <c r="W26">
        <v>160</v>
      </c>
      <c r="X26">
        <v>158</v>
      </c>
      <c r="Y26">
        <v>156</v>
      </c>
      <c r="Z26" s="2">
        <f>AVERAGE(Sheet1[[#This Row],[00:00:00]:[23:00:00]])</f>
        <v>155.16666666666666</v>
      </c>
      <c r="AA26" t="str" cm="1">
        <f t="array" ref="AA26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27" spans="1:27" x14ac:dyDescent="0.3">
      <c r="A27" s="1">
        <v>45683</v>
      </c>
      <c r="B27">
        <v>155</v>
      </c>
      <c r="C27">
        <v>153</v>
      </c>
      <c r="D27">
        <v>152</v>
      </c>
      <c r="E27">
        <v>151</v>
      </c>
      <c r="F27">
        <v>149</v>
      </c>
      <c r="G27">
        <v>148</v>
      </c>
      <c r="H27">
        <v>147</v>
      </c>
      <c r="I27">
        <v>146</v>
      </c>
      <c r="J27">
        <v>147</v>
      </c>
      <c r="K27">
        <v>152</v>
      </c>
      <c r="L27">
        <v>147</v>
      </c>
      <c r="M27">
        <v>147</v>
      </c>
      <c r="N27">
        <v>153</v>
      </c>
      <c r="O27">
        <v>147</v>
      </c>
      <c r="P27">
        <v>147</v>
      </c>
      <c r="Q27">
        <v>153</v>
      </c>
      <c r="R27">
        <v>148</v>
      </c>
      <c r="S27">
        <v>149</v>
      </c>
      <c r="T27">
        <v>150</v>
      </c>
      <c r="U27">
        <v>150</v>
      </c>
      <c r="V27">
        <v>151</v>
      </c>
      <c r="W27">
        <v>137</v>
      </c>
      <c r="X27">
        <v>137</v>
      </c>
      <c r="Y27">
        <v>136</v>
      </c>
      <c r="Z27" s="2">
        <f>AVERAGE(Sheet1[[#This Row],[00:00:00]:[23:00:00]])</f>
        <v>148</v>
      </c>
      <c r="AA27" t="str" cm="1">
        <f t="array" ref="AA27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8" spans="1:27" x14ac:dyDescent="0.3">
      <c r="A28" s="1">
        <v>45684</v>
      </c>
      <c r="B28">
        <v>136</v>
      </c>
      <c r="C28">
        <v>134</v>
      </c>
      <c r="D28">
        <v>134</v>
      </c>
      <c r="E28">
        <v>137</v>
      </c>
      <c r="F28">
        <v>136</v>
      </c>
      <c r="G28">
        <v>135</v>
      </c>
      <c r="H28">
        <v>134</v>
      </c>
      <c r="I28">
        <v>130</v>
      </c>
      <c r="J28">
        <v>129</v>
      </c>
      <c r="K28">
        <v>128</v>
      </c>
      <c r="L28">
        <v>128</v>
      </c>
      <c r="M28">
        <v>128</v>
      </c>
      <c r="N28">
        <v>130</v>
      </c>
      <c r="O28">
        <v>134</v>
      </c>
      <c r="P28">
        <v>166</v>
      </c>
      <c r="Q28">
        <v>154</v>
      </c>
      <c r="R28">
        <v>150</v>
      </c>
      <c r="S28">
        <v>144</v>
      </c>
      <c r="T28">
        <v>135</v>
      </c>
      <c r="U28">
        <v>137</v>
      </c>
      <c r="V28">
        <v>136</v>
      </c>
      <c r="W28">
        <v>139</v>
      </c>
      <c r="X28">
        <v>140</v>
      </c>
      <c r="Y28">
        <v>140</v>
      </c>
      <c r="Z28" s="2">
        <f>AVERAGE(Sheet1[[#This Row],[00:00:00]:[23:00:00]])</f>
        <v>137.25</v>
      </c>
      <c r="AA28" t="str" cm="1">
        <f t="array" ref="AA28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9" spans="1:27" x14ac:dyDescent="0.3">
      <c r="A29" s="1">
        <v>45685</v>
      </c>
      <c r="B29">
        <v>143</v>
      </c>
      <c r="C29">
        <v>145</v>
      </c>
      <c r="D29">
        <v>146</v>
      </c>
      <c r="E29">
        <v>149</v>
      </c>
      <c r="F29">
        <v>150</v>
      </c>
      <c r="G29">
        <v>162</v>
      </c>
      <c r="H29">
        <v>163</v>
      </c>
      <c r="I29">
        <v>155</v>
      </c>
      <c r="J29">
        <v>159</v>
      </c>
      <c r="K29">
        <v>162</v>
      </c>
      <c r="L29">
        <v>166</v>
      </c>
      <c r="M29">
        <v>169</v>
      </c>
      <c r="N29">
        <v>170</v>
      </c>
      <c r="O29">
        <v>177</v>
      </c>
      <c r="P29">
        <v>178</v>
      </c>
      <c r="Q29">
        <v>170</v>
      </c>
      <c r="R29">
        <v>175</v>
      </c>
      <c r="S29">
        <v>171</v>
      </c>
      <c r="T29">
        <v>170</v>
      </c>
      <c r="U29">
        <v>180</v>
      </c>
      <c r="V29">
        <v>171</v>
      </c>
      <c r="W29">
        <v>156</v>
      </c>
      <c r="X29">
        <v>151</v>
      </c>
      <c r="Y29">
        <v>148</v>
      </c>
      <c r="Z29" s="2">
        <f>AVERAGE(Sheet1[[#This Row],[00:00:00]:[23:00:00]])</f>
        <v>161.91666666666666</v>
      </c>
      <c r="AA29" t="str" cm="1">
        <f t="array" ref="AA29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30" spans="1:27" x14ac:dyDescent="0.3">
      <c r="A30" s="1">
        <v>45686</v>
      </c>
      <c r="B30">
        <v>145</v>
      </c>
      <c r="C30">
        <v>142</v>
      </c>
      <c r="D30">
        <v>139</v>
      </c>
      <c r="E30">
        <v>137</v>
      </c>
      <c r="F30">
        <v>140</v>
      </c>
      <c r="G30">
        <v>134</v>
      </c>
      <c r="H30">
        <v>134</v>
      </c>
      <c r="I30">
        <v>132</v>
      </c>
      <c r="J30">
        <v>130</v>
      </c>
      <c r="K30">
        <v>130</v>
      </c>
      <c r="L30">
        <v>128</v>
      </c>
      <c r="M30">
        <v>126</v>
      </c>
      <c r="N30">
        <v>124</v>
      </c>
      <c r="O30">
        <v>123</v>
      </c>
      <c r="P30">
        <v>122</v>
      </c>
      <c r="Q30">
        <v>130</v>
      </c>
      <c r="R30">
        <v>137</v>
      </c>
      <c r="S30">
        <v>156</v>
      </c>
      <c r="T30">
        <v>148</v>
      </c>
      <c r="U30">
        <v>138</v>
      </c>
      <c r="V30">
        <v>146</v>
      </c>
      <c r="W30">
        <v>134</v>
      </c>
      <c r="X30">
        <v>131</v>
      </c>
      <c r="Y30">
        <v>128</v>
      </c>
      <c r="Z30" s="2">
        <f>AVERAGE(Sheet1[[#This Row],[00:00:00]:[23:00:00]])</f>
        <v>134.75</v>
      </c>
      <c r="AA30" t="str" cm="1">
        <f t="array" ref="AA30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31" spans="1:27" x14ac:dyDescent="0.3">
      <c r="A31" s="1">
        <v>45687</v>
      </c>
      <c r="B31">
        <v>126</v>
      </c>
      <c r="C31">
        <v>126</v>
      </c>
      <c r="D31">
        <v>124</v>
      </c>
      <c r="E31">
        <v>118</v>
      </c>
      <c r="F31">
        <v>119</v>
      </c>
      <c r="G31">
        <v>121</v>
      </c>
      <c r="H31">
        <v>122</v>
      </c>
      <c r="I31">
        <v>123</v>
      </c>
      <c r="J31">
        <v>123</v>
      </c>
      <c r="K31">
        <v>124</v>
      </c>
      <c r="L31">
        <v>126</v>
      </c>
      <c r="M31">
        <v>126</v>
      </c>
      <c r="N31">
        <v>129</v>
      </c>
      <c r="O31">
        <v>142</v>
      </c>
      <c r="P31">
        <v>129</v>
      </c>
      <c r="Q31">
        <v>127</v>
      </c>
      <c r="R31">
        <v>129</v>
      </c>
      <c r="S31">
        <v>140</v>
      </c>
      <c r="U31">
        <v>160</v>
      </c>
      <c r="V31">
        <v>146</v>
      </c>
      <c r="W31">
        <v>139</v>
      </c>
      <c r="X31">
        <v>139</v>
      </c>
      <c r="Y31">
        <v>133</v>
      </c>
      <c r="Z31" s="2">
        <f>AVERAGE(Sheet1[[#This Row],[00:00:00]:[23:00:00]])</f>
        <v>130.04347826086956</v>
      </c>
      <c r="AA31" t="str" cm="1">
        <f t="array" ref="AA31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32" spans="1:27" x14ac:dyDescent="0.3">
      <c r="A32" s="1">
        <v>45688</v>
      </c>
      <c r="B32">
        <v>130</v>
      </c>
      <c r="C32">
        <v>125</v>
      </c>
      <c r="D32">
        <v>119</v>
      </c>
      <c r="E32">
        <v>124</v>
      </c>
      <c r="F32">
        <v>123</v>
      </c>
      <c r="G32">
        <v>123</v>
      </c>
      <c r="H32">
        <v>121</v>
      </c>
      <c r="I32">
        <v>120</v>
      </c>
      <c r="J32">
        <v>119</v>
      </c>
      <c r="K32">
        <v>120</v>
      </c>
      <c r="L32">
        <v>121</v>
      </c>
      <c r="M32">
        <v>120</v>
      </c>
      <c r="N32">
        <v>119</v>
      </c>
      <c r="O32">
        <v>127</v>
      </c>
      <c r="P32">
        <v>118</v>
      </c>
      <c r="Q32">
        <v>118</v>
      </c>
      <c r="R32">
        <v>119</v>
      </c>
      <c r="S32">
        <v>120</v>
      </c>
      <c r="T32">
        <v>119</v>
      </c>
      <c r="U32">
        <v>125</v>
      </c>
      <c r="V32">
        <v>126</v>
      </c>
      <c r="W32">
        <v>122</v>
      </c>
      <c r="X32">
        <v>127</v>
      </c>
      <c r="Y32">
        <v>127</v>
      </c>
      <c r="Z32" s="2">
        <f>AVERAGE(Sheet1[[#This Row],[00:00:00]:[23:00:00]])</f>
        <v>122.16666666666667</v>
      </c>
      <c r="AA32" t="str" cm="1">
        <f t="array" ref="AA32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33" spans="26:27" x14ac:dyDescent="0.3">
      <c r="Z33" s="2">
        <f>SUBTOTAL(101,Sheet1[AVERAGE AQI])</f>
        <v>140.02471949509115</v>
      </c>
      <c r="AA33" s="3"/>
    </row>
  </sheetData>
  <conditionalFormatting sqref="AA1:AA1048576">
    <cfRule type="containsText" dxfId="35" priority="1" operator="containsText" text="VERY BAD">
      <formula>NOT(ISERROR(SEARCH("VERY BAD",AA1)))</formula>
    </cfRule>
    <cfRule type="containsText" dxfId="34" priority="2" operator="containsText" text="BAD">
      <formula>NOT(ISERROR(SEARCH("BAD",AA1)))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C5E8-7BF5-4D93-82ED-0D4D56F7F8DA}">
  <dimension ref="A1:AA30"/>
  <sheetViews>
    <sheetView topLeftCell="N1" workbookViewId="0">
      <selection activeCell="Z2" sqref="Z2"/>
    </sheetView>
  </sheetViews>
  <sheetFormatPr defaultRowHeight="14.4" x14ac:dyDescent="0.3"/>
  <cols>
    <col min="1" max="25" width="10.33203125" bestFit="1" customWidth="1"/>
    <col min="26" max="26" width="11.21875" bestFit="1" customWidth="1"/>
    <col min="27" max="27" width="15.332031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27</v>
      </c>
      <c r="AA1" t="s">
        <v>25</v>
      </c>
    </row>
    <row r="2" spans="1:27" x14ac:dyDescent="0.3">
      <c r="A2" s="1">
        <v>45689</v>
      </c>
      <c r="B2">
        <v>119</v>
      </c>
      <c r="C2">
        <v>119</v>
      </c>
      <c r="D2">
        <v>123</v>
      </c>
      <c r="E2">
        <v>122</v>
      </c>
      <c r="F2">
        <v>120</v>
      </c>
      <c r="G2">
        <v>117</v>
      </c>
      <c r="H2">
        <v>116</v>
      </c>
      <c r="I2">
        <v>116</v>
      </c>
      <c r="J2">
        <v>115</v>
      </c>
      <c r="K2">
        <v>116</v>
      </c>
      <c r="L2">
        <v>115</v>
      </c>
      <c r="M2">
        <v>115</v>
      </c>
      <c r="N2">
        <v>114</v>
      </c>
      <c r="O2">
        <v>114</v>
      </c>
      <c r="P2">
        <v>129</v>
      </c>
      <c r="Q2">
        <v>128</v>
      </c>
      <c r="R2">
        <v>105</v>
      </c>
      <c r="S2">
        <v>114</v>
      </c>
      <c r="T2">
        <v>117</v>
      </c>
      <c r="U2">
        <v>116</v>
      </c>
      <c r="V2">
        <v>118</v>
      </c>
      <c r="W2">
        <v>116</v>
      </c>
      <c r="X2">
        <v>114</v>
      </c>
      <c r="Y2">
        <v>114</v>
      </c>
      <c r="Z2" s="2">
        <f>AVERAGE(Sheet1__2[[#This Row],[00:00:00]:[23:00:00]])</f>
        <v>117.16666666666667</v>
      </c>
      <c r="AA2" t="str" cm="1">
        <f t="array" ref="AA2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3" spans="1:27" x14ac:dyDescent="0.3">
      <c r="A3" s="1">
        <v>45690</v>
      </c>
      <c r="B3">
        <v>114</v>
      </c>
      <c r="C3">
        <v>115</v>
      </c>
      <c r="D3">
        <v>116</v>
      </c>
      <c r="E3">
        <v>116</v>
      </c>
      <c r="F3">
        <v>117</v>
      </c>
      <c r="G3">
        <v>112</v>
      </c>
      <c r="H3">
        <v>104</v>
      </c>
      <c r="I3">
        <v>110</v>
      </c>
      <c r="J3">
        <v>111</v>
      </c>
      <c r="K3">
        <v>107</v>
      </c>
      <c r="L3">
        <v>113</v>
      </c>
      <c r="M3">
        <v>114</v>
      </c>
      <c r="N3">
        <v>115</v>
      </c>
      <c r="O3">
        <v>116</v>
      </c>
      <c r="P3">
        <v>117</v>
      </c>
      <c r="Q3">
        <v>117</v>
      </c>
      <c r="R3">
        <v>116</v>
      </c>
      <c r="S3">
        <v>120</v>
      </c>
      <c r="T3">
        <v>129</v>
      </c>
      <c r="U3">
        <v>118</v>
      </c>
      <c r="V3">
        <v>117</v>
      </c>
      <c r="W3">
        <v>117</v>
      </c>
      <c r="X3">
        <v>118</v>
      </c>
      <c r="Y3">
        <v>118</v>
      </c>
      <c r="Z3" s="2">
        <f>AVERAGE(Sheet1__2[[#This Row],[00:00:00]:[23:00:00]])</f>
        <v>115.29166666666667</v>
      </c>
      <c r="AA3" t="str" cm="1">
        <f t="array" ref="AA3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4" spans="1:27" x14ac:dyDescent="0.3">
      <c r="A4" s="1">
        <v>45691</v>
      </c>
      <c r="B4">
        <v>117</v>
      </c>
      <c r="C4">
        <v>117</v>
      </c>
      <c r="D4">
        <v>118</v>
      </c>
      <c r="E4">
        <v>117</v>
      </c>
      <c r="F4">
        <v>117</v>
      </c>
      <c r="G4">
        <v>117</v>
      </c>
      <c r="H4">
        <v>118</v>
      </c>
      <c r="I4">
        <v>118</v>
      </c>
      <c r="J4">
        <v>118</v>
      </c>
      <c r="K4">
        <v>118</v>
      </c>
      <c r="L4">
        <v>118</v>
      </c>
      <c r="M4">
        <v>118</v>
      </c>
      <c r="N4">
        <v>118</v>
      </c>
      <c r="O4">
        <v>119</v>
      </c>
      <c r="P4">
        <v>122</v>
      </c>
      <c r="Q4">
        <v>122</v>
      </c>
      <c r="R4">
        <v>120</v>
      </c>
      <c r="S4">
        <v>119</v>
      </c>
      <c r="T4">
        <v>131</v>
      </c>
      <c r="U4">
        <v>133</v>
      </c>
      <c r="V4">
        <v>124</v>
      </c>
      <c r="W4">
        <v>121</v>
      </c>
      <c r="X4">
        <v>121</v>
      </c>
      <c r="Y4">
        <v>121</v>
      </c>
      <c r="Z4" s="2">
        <f>AVERAGE(Sheet1__2[[#This Row],[00:00:00]:[23:00:00]])</f>
        <v>120.08333333333333</v>
      </c>
      <c r="AA4" t="str" cm="1">
        <f t="array" ref="AA4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5" spans="1:27" x14ac:dyDescent="0.3">
      <c r="A5" s="1">
        <v>45692</v>
      </c>
      <c r="B5">
        <v>122</v>
      </c>
      <c r="C5">
        <v>122</v>
      </c>
      <c r="D5">
        <v>120</v>
      </c>
      <c r="E5">
        <v>120</v>
      </c>
      <c r="F5">
        <v>120</v>
      </c>
      <c r="G5">
        <v>119</v>
      </c>
      <c r="H5">
        <v>119</v>
      </c>
      <c r="I5">
        <v>118</v>
      </c>
      <c r="J5">
        <v>117</v>
      </c>
      <c r="K5">
        <v>117</v>
      </c>
      <c r="L5">
        <v>117</v>
      </c>
      <c r="M5">
        <v>113</v>
      </c>
      <c r="N5">
        <v>113</v>
      </c>
      <c r="O5">
        <v>113</v>
      </c>
      <c r="P5">
        <v>112</v>
      </c>
      <c r="Q5">
        <v>112</v>
      </c>
      <c r="R5">
        <v>112</v>
      </c>
      <c r="S5">
        <v>124</v>
      </c>
      <c r="T5">
        <v>129</v>
      </c>
      <c r="U5">
        <v>119</v>
      </c>
      <c r="V5">
        <v>115</v>
      </c>
      <c r="W5">
        <v>115</v>
      </c>
      <c r="X5">
        <v>122</v>
      </c>
      <c r="Y5">
        <v>123</v>
      </c>
      <c r="Z5" s="2">
        <f>AVERAGE(Sheet1__2[[#This Row],[00:00:00]:[23:00:00]])</f>
        <v>118.04166666666667</v>
      </c>
      <c r="AA5" t="str" cm="1">
        <f t="array" ref="AA5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6" spans="1:27" x14ac:dyDescent="0.3">
      <c r="A6" s="1">
        <v>45693</v>
      </c>
      <c r="B6">
        <v>120</v>
      </c>
      <c r="C6">
        <v>118</v>
      </c>
      <c r="D6">
        <v>116</v>
      </c>
      <c r="E6">
        <v>116</v>
      </c>
      <c r="F6">
        <v>116</v>
      </c>
      <c r="G6">
        <v>116</v>
      </c>
      <c r="H6">
        <v>116</v>
      </c>
      <c r="I6">
        <v>116</v>
      </c>
      <c r="J6">
        <v>117</v>
      </c>
      <c r="K6">
        <v>117</v>
      </c>
      <c r="L6">
        <v>118</v>
      </c>
      <c r="M6">
        <v>117</v>
      </c>
      <c r="N6">
        <v>116</v>
      </c>
      <c r="O6">
        <v>116</v>
      </c>
      <c r="P6">
        <v>116</v>
      </c>
      <c r="Q6">
        <v>117</v>
      </c>
      <c r="R6">
        <v>118</v>
      </c>
      <c r="S6">
        <v>119</v>
      </c>
      <c r="T6">
        <v>123</v>
      </c>
      <c r="U6">
        <v>121</v>
      </c>
      <c r="V6">
        <v>122</v>
      </c>
      <c r="W6">
        <v>123</v>
      </c>
      <c r="X6">
        <v>123</v>
      </c>
      <c r="Y6">
        <v>124</v>
      </c>
      <c r="Z6" s="2">
        <f>AVERAGE(Sheet1__2[[#This Row],[00:00:00]:[23:00:00]])</f>
        <v>118.375</v>
      </c>
      <c r="AA6" t="str" cm="1">
        <f t="array" ref="AA6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7" spans="1:27" x14ac:dyDescent="0.3">
      <c r="A7" s="1">
        <v>45694</v>
      </c>
      <c r="B7">
        <v>125</v>
      </c>
      <c r="C7">
        <v>126</v>
      </c>
      <c r="D7">
        <v>127</v>
      </c>
      <c r="E7">
        <v>128</v>
      </c>
      <c r="F7">
        <v>128</v>
      </c>
      <c r="G7">
        <v>128</v>
      </c>
      <c r="H7">
        <v>129</v>
      </c>
      <c r="I7">
        <v>123</v>
      </c>
      <c r="J7">
        <v>129</v>
      </c>
      <c r="K7">
        <v>129</v>
      </c>
      <c r="L7">
        <v>129</v>
      </c>
      <c r="M7">
        <v>128</v>
      </c>
      <c r="N7">
        <v>128</v>
      </c>
      <c r="O7">
        <v>128</v>
      </c>
      <c r="P7">
        <v>128</v>
      </c>
      <c r="Q7">
        <v>128</v>
      </c>
      <c r="R7">
        <v>128</v>
      </c>
      <c r="S7">
        <v>128</v>
      </c>
      <c r="T7">
        <v>128</v>
      </c>
      <c r="U7">
        <v>129</v>
      </c>
      <c r="V7">
        <v>130</v>
      </c>
      <c r="W7">
        <v>135</v>
      </c>
      <c r="X7">
        <v>136</v>
      </c>
      <c r="Y7">
        <v>133</v>
      </c>
      <c r="Z7" s="2">
        <f>AVERAGE(Sheet1__2[[#This Row],[00:00:00]:[23:00:00]])</f>
        <v>128.66666666666666</v>
      </c>
      <c r="AA7" t="str" cm="1">
        <f t="array" ref="AA7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8" spans="1:27" x14ac:dyDescent="0.3">
      <c r="A8" s="1">
        <v>45695</v>
      </c>
      <c r="B8">
        <v>129</v>
      </c>
      <c r="C8">
        <v>130</v>
      </c>
      <c r="D8">
        <v>135</v>
      </c>
      <c r="E8">
        <v>138</v>
      </c>
      <c r="F8">
        <v>139</v>
      </c>
      <c r="G8">
        <v>140</v>
      </c>
      <c r="H8">
        <v>133</v>
      </c>
      <c r="I8">
        <v>141</v>
      </c>
      <c r="J8">
        <v>142</v>
      </c>
      <c r="K8">
        <v>144</v>
      </c>
      <c r="L8">
        <v>145</v>
      </c>
      <c r="M8">
        <v>147</v>
      </c>
      <c r="N8">
        <v>149</v>
      </c>
      <c r="O8">
        <v>149</v>
      </c>
      <c r="P8">
        <v>151</v>
      </c>
      <c r="Q8">
        <v>152</v>
      </c>
      <c r="R8">
        <v>153</v>
      </c>
      <c r="S8">
        <v>151</v>
      </c>
      <c r="T8">
        <v>149</v>
      </c>
      <c r="U8">
        <v>146</v>
      </c>
      <c r="V8">
        <v>145</v>
      </c>
      <c r="W8">
        <v>144</v>
      </c>
      <c r="X8">
        <v>142</v>
      </c>
      <c r="Y8">
        <v>142</v>
      </c>
      <c r="Z8" s="2">
        <f>AVERAGE(Sheet1__2[[#This Row],[00:00:00]:[23:00:00]])</f>
        <v>143.16666666666666</v>
      </c>
      <c r="AA8" t="str" cm="1">
        <f t="array" ref="AA8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9" spans="1:27" x14ac:dyDescent="0.3">
      <c r="A9" s="1">
        <v>45696</v>
      </c>
      <c r="B9">
        <v>140</v>
      </c>
      <c r="C9">
        <v>138</v>
      </c>
      <c r="D9">
        <v>136</v>
      </c>
      <c r="E9">
        <v>134</v>
      </c>
      <c r="F9">
        <v>132</v>
      </c>
      <c r="G9">
        <v>130</v>
      </c>
      <c r="H9">
        <v>128</v>
      </c>
      <c r="I9">
        <v>122</v>
      </c>
      <c r="J9">
        <v>125</v>
      </c>
      <c r="K9">
        <v>125</v>
      </c>
      <c r="L9">
        <v>126</v>
      </c>
      <c r="M9">
        <v>127</v>
      </c>
      <c r="N9">
        <v>129</v>
      </c>
      <c r="O9">
        <v>130</v>
      </c>
      <c r="P9">
        <v>130</v>
      </c>
      <c r="Q9">
        <v>130</v>
      </c>
      <c r="R9">
        <v>130</v>
      </c>
      <c r="S9">
        <v>130</v>
      </c>
      <c r="T9">
        <v>131</v>
      </c>
      <c r="U9">
        <v>130</v>
      </c>
      <c r="V9">
        <v>131</v>
      </c>
      <c r="W9">
        <v>141</v>
      </c>
      <c r="X9">
        <v>133</v>
      </c>
      <c r="Y9">
        <v>134</v>
      </c>
      <c r="Z9" s="2">
        <f>AVERAGE(Sheet1__2[[#This Row],[00:00:00]:[23:00:00]])</f>
        <v>130.91666666666666</v>
      </c>
      <c r="AA9" t="str" cm="1">
        <f t="array" ref="AA9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0" spans="1:27" x14ac:dyDescent="0.3">
      <c r="A10" s="1">
        <v>45697</v>
      </c>
      <c r="B10">
        <v>135</v>
      </c>
      <c r="C10">
        <v>137</v>
      </c>
      <c r="D10">
        <v>131</v>
      </c>
      <c r="E10">
        <v>139</v>
      </c>
      <c r="F10">
        <v>140</v>
      </c>
      <c r="G10">
        <v>142</v>
      </c>
      <c r="H10">
        <v>143</v>
      </c>
      <c r="I10">
        <v>144</v>
      </c>
      <c r="J10">
        <v>145</v>
      </c>
      <c r="K10">
        <v>145</v>
      </c>
      <c r="L10">
        <v>145</v>
      </c>
      <c r="M10">
        <v>144</v>
      </c>
      <c r="N10">
        <v>149</v>
      </c>
      <c r="O10">
        <v>144</v>
      </c>
      <c r="P10">
        <v>143</v>
      </c>
      <c r="Q10">
        <v>143</v>
      </c>
      <c r="R10">
        <v>152</v>
      </c>
      <c r="S10">
        <v>144</v>
      </c>
      <c r="T10">
        <v>144</v>
      </c>
      <c r="U10">
        <v>143</v>
      </c>
      <c r="V10">
        <v>143</v>
      </c>
      <c r="W10">
        <v>142</v>
      </c>
      <c r="X10">
        <v>140</v>
      </c>
      <c r="Y10">
        <v>139</v>
      </c>
      <c r="Z10" s="2">
        <f>AVERAGE(Sheet1__2[[#This Row],[00:00:00]:[23:00:00]])</f>
        <v>142.33333333333334</v>
      </c>
      <c r="AA10" t="str" cm="1">
        <f t="array" ref="AA10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1" spans="1:27" x14ac:dyDescent="0.3">
      <c r="A11" s="1">
        <v>45698</v>
      </c>
      <c r="B11">
        <v>138</v>
      </c>
      <c r="C11">
        <v>137</v>
      </c>
      <c r="D11">
        <v>137</v>
      </c>
      <c r="E11">
        <v>137</v>
      </c>
      <c r="F11">
        <v>136</v>
      </c>
      <c r="G11">
        <v>135</v>
      </c>
      <c r="H11">
        <v>135</v>
      </c>
      <c r="I11">
        <v>134</v>
      </c>
      <c r="J11">
        <v>134</v>
      </c>
      <c r="K11">
        <v>135</v>
      </c>
      <c r="L11">
        <v>136</v>
      </c>
      <c r="M11">
        <v>136</v>
      </c>
      <c r="N11">
        <v>135</v>
      </c>
      <c r="O11">
        <v>154</v>
      </c>
      <c r="P11">
        <v>146</v>
      </c>
      <c r="Q11">
        <v>138</v>
      </c>
      <c r="R11">
        <v>142</v>
      </c>
      <c r="S11">
        <v>141</v>
      </c>
      <c r="T11">
        <v>137</v>
      </c>
      <c r="U11">
        <v>138</v>
      </c>
      <c r="V11">
        <v>138</v>
      </c>
      <c r="W11">
        <v>137</v>
      </c>
      <c r="X11">
        <v>137</v>
      </c>
      <c r="Y11">
        <v>136</v>
      </c>
      <c r="Z11" s="2">
        <f>AVERAGE(Sheet1__2[[#This Row],[00:00:00]:[23:00:00]])</f>
        <v>137.875</v>
      </c>
      <c r="AA11" t="str" cm="1">
        <f t="array" ref="AA11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2" spans="1:27" x14ac:dyDescent="0.3">
      <c r="A12" s="1">
        <v>45699</v>
      </c>
      <c r="B12">
        <v>135</v>
      </c>
      <c r="C12">
        <v>135</v>
      </c>
      <c r="D12">
        <v>134</v>
      </c>
      <c r="E12">
        <v>134</v>
      </c>
      <c r="F12">
        <v>134</v>
      </c>
      <c r="G12">
        <v>129</v>
      </c>
      <c r="H12">
        <v>130</v>
      </c>
      <c r="I12">
        <v>129</v>
      </c>
      <c r="J12">
        <v>129</v>
      </c>
      <c r="K12">
        <v>128</v>
      </c>
      <c r="L12">
        <v>128</v>
      </c>
      <c r="M12">
        <v>128</v>
      </c>
      <c r="N12">
        <v>128</v>
      </c>
      <c r="O12">
        <v>132</v>
      </c>
      <c r="P12">
        <v>131</v>
      </c>
      <c r="Q12">
        <v>131</v>
      </c>
      <c r="R12">
        <v>126</v>
      </c>
      <c r="S12">
        <v>126</v>
      </c>
      <c r="T12">
        <v>128</v>
      </c>
      <c r="U12">
        <v>138</v>
      </c>
      <c r="V12">
        <v>136</v>
      </c>
      <c r="W12">
        <v>130</v>
      </c>
      <c r="X12">
        <v>135</v>
      </c>
      <c r="Y12">
        <v>134</v>
      </c>
      <c r="Z12" s="2">
        <f>AVERAGE(Sheet1__2[[#This Row],[00:00:00]:[23:00:00]])</f>
        <v>131.16666666666666</v>
      </c>
      <c r="AA12" t="str" cm="1">
        <f t="array" ref="AA12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3" spans="1:27" x14ac:dyDescent="0.3">
      <c r="A13" s="1">
        <v>45700</v>
      </c>
      <c r="B13">
        <v>131</v>
      </c>
      <c r="C13">
        <v>127</v>
      </c>
      <c r="D13">
        <v>127</v>
      </c>
      <c r="E13">
        <v>127</v>
      </c>
      <c r="F13">
        <v>128</v>
      </c>
      <c r="G13">
        <v>128</v>
      </c>
      <c r="H13">
        <v>128</v>
      </c>
      <c r="I13">
        <v>128</v>
      </c>
      <c r="J13">
        <v>128</v>
      </c>
      <c r="K13">
        <v>129</v>
      </c>
      <c r="L13">
        <v>130</v>
      </c>
      <c r="M13">
        <v>131</v>
      </c>
      <c r="N13">
        <v>131</v>
      </c>
      <c r="O13">
        <v>131</v>
      </c>
      <c r="P13">
        <v>131</v>
      </c>
      <c r="Q13">
        <v>131</v>
      </c>
      <c r="R13">
        <v>130</v>
      </c>
      <c r="S13">
        <v>131</v>
      </c>
      <c r="T13">
        <v>130</v>
      </c>
      <c r="U13">
        <v>130</v>
      </c>
      <c r="V13">
        <v>128</v>
      </c>
      <c r="W13">
        <v>127</v>
      </c>
      <c r="X13">
        <v>129</v>
      </c>
      <c r="Y13">
        <v>125</v>
      </c>
      <c r="Z13" s="2">
        <f>AVERAGE(Sheet1__2[[#This Row],[00:00:00]:[23:00:00]])</f>
        <v>129</v>
      </c>
      <c r="AA13" t="str" cm="1">
        <f t="array" ref="AA13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4" spans="1:27" x14ac:dyDescent="0.3">
      <c r="A14" s="1">
        <v>45701</v>
      </c>
      <c r="B14">
        <v>126</v>
      </c>
      <c r="C14">
        <v>126</v>
      </c>
      <c r="D14">
        <v>129</v>
      </c>
      <c r="E14">
        <v>128</v>
      </c>
      <c r="F14">
        <v>130</v>
      </c>
      <c r="G14">
        <v>131</v>
      </c>
      <c r="H14">
        <v>131</v>
      </c>
      <c r="I14">
        <v>131</v>
      </c>
      <c r="J14">
        <v>132</v>
      </c>
      <c r="K14">
        <v>132</v>
      </c>
      <c r="L14">
        <v>132</v>
      </c>
      <c r="M14">
        <v>130</v>
      </c>
      <c r="N14">
        <v>130</v>
      </c>
      <c r="O14">
        <v>138</v>
      </c>
      <c r="P14">
        <v>129</v>
      </c>
      <c r="Q14">
        <v>130</v>
      </c>
      <c r="R14">
        <v>130</v>
      </c>
      <c r="S14">
        <v>132</v>
      </c>
      <c r="T14">
        <v>134</v>
      </c>
      <c r="U14">
        <v>136</v>
      </c>
      <c r="V14">
        <v>138</v>
      </c>
      <c r="W14">
        <v>141</v>
      </c>
      <c r="X14">
        <v>143</v>
      </c>
      <c r="Y14">
        <v>144</v>
      </c>
      <c r="Z14" s="2">
        <f>AVERAGE(Sheet1__2[[#This Row],[00:00:00]:[23:00:00]])</f>
        <v>132.625</v>
      </c>
      <c r="AA14" t="str" cm="1">
        <f t="array" ref="AA14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5" spans="1:27" x14ac:dyDescent="0.3">
      <c r="A15" s="1">
        <v>45702</v>
      </c>
      <c r="B15">
        <v>144</v>
      </c>
      <c r="C15">
        <v>144</v>
      </c>
      <c r="D15">
        <v>135</v>
      </c>
      <c r="E15">
        <v>136</v>
      </c>
      <c r="F15">
        <v>137</v>
      </c>
      <c r="G15">
        <v>138</v>
      </c>
      <c r="H15">
        <v>138</v>
      </c>
      <c r="I15">
        <v>138</v>
      </c>
      <c r="J15">
        <v>139</v>
      </c>
      <c r="K15">
        <v>138</v>
      </c>
      <c r="L15">
        <v>138</v>
      </c>
      <c r="M15">
        <v>138</v>
      </c>
      <c r="N15">
        <v>137</v>
      </c>
      <c r="O15">
        <v>137</v>
      </c>
      <c r="P15">
        <v>136</v>
      </c>
      <c r="Q15">
        <v>137</v>
      </c>
      <c r="R15">
        <v>145</v>
      </c>
      <c r="S15">
        <v>144</v>
      </c>
      <c r="T15">
        <v>142</v>
      </c>
      <c r="U15">
        <v>142</v>
      </c>
      <c r="V15">
        <v>140</v>
      </c>
      <c r="W15">
        <v>140</v>
      </c>
      <c r="X15">
        <v>138</v>
      </c>
      <c r="Y15">
        <v>138</v>
      </c>
      <c r="Z15" s="2">
        <f>AVERAGE(Sheet1__2[[#This Row],[00:00:00]:[23:00:00]])</f>
        <v>139.125</v>
      </c>
      <c r="AA15" t="str" cm="1">
        <f t="array" ref="AA15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6" spans="1:27" x14ac:dyDescent="0.3">
      <c r="A16" s="1">
        <v>45703</v>
      </c>
      <c r="B16">
        <v>138</v>
      </c>
      <c r="C16">
        <v>137</v>
      </c>
      <c r="D16">
        <v>137</v>
      </c>
      <c r="E16">
        <v>138</v>
      </c>
      <c r="F16">
        <v>139</v>
      </c>
      <c r="G16">
        <v>138</v>
      </c>
      <c r="H16">
        <v>138</v>
      </c>
      <c r="I16">
        <v>138</v>
      </c>
      <c r="J16">
        <v>139</v>
      </c>
      <c r="K16">
        <v>139</v>
      </c>
      <c r="L16">
        <v>147</v>
      </c>
      <c r="M16">
        <v>148</v>
      </c>
      <c r="N16">
        <v>150</v>
      </c>
      <c r="O16">
        <v>149</v>
      </c>
      <c r="P16">
        <v>149</v>
      </c>
      <c r="Q16">
        <v>149</v>
      </c>
      <c r="R16">
        <v>149</v>
      </c>
      <c r="S16">
        <v>149</v>
      </c>
      <c r="T16">
        <v>148</v>
      </c>
      <c r="U16">
        <v>147</v>
      </c>
      <c r="V16">
        <v>147</v>
      </c>
      <c r="W16">
        <v>146</v>
      </c>
      <c r="X16">
        <v>144</v>
      </c>
      <c r="Y16">
        <v>144</v>
      </c>
      <c r="Z16" s="2">
        <f>AVERAGE(Sheet1__2[[#This Row],[00:00:00]:[23:00:00]])</f>
        <v>143.625</v>
      </c>
      <c r="AA16" t="str" cm="1">
        <f t="array" ref="AA16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7" spans="1:27" x14ac:dyDescent="0.3">
      <c r="A17" s="1">
        <v>45704</v>
      </c>
      <c r="B17">
        <v>143</v>
      </c>
      <c r="C17">
        <v>143</v>
      </c>
      <c r="D17">
        <v>143</v>
      </c>
      <c r="E17">
        <v>145</v>
      </c>
      <c r="F17">
        <v>146</v>
      </c>
      <c r="G17">
        <v>145</v>
      </c>
      <c r="H17">
        <v>143</v>
      </c>
      <c r="I17">
        <v>143</v>
      </c>
      <c r="J17">
        <v>142</v>
      </c>
      <c r="K17">
        <v>139</v>
      </c>
      <c r="L17">
        <v>141</v>
      </c>
      <c r="M17">
        <v>141</v>
      </c>
      <c r="N17">
        <v>140</v>
      </c>
      <c r="O17">
        <v>139</v>
      </c>
      <c r="P17">
        <v>139</v>
      </c>
      <c r="Q17">
        <v>146</v>
      </c>
      <c r="R17">
        <v>139</v>
      </c>
      <c r="S17">
        <v>137</v>
      </c>
      <c r="T17">
        <v>137</v>
      </c>
      <c r="U17">
        <v>136</v>
      </c>
      <c r="V17">
        <v>134</v>
      </c>
      <c r="W17">
        <v>131</v>
      </c>
      <c r="X17">
        <v>128</v>
      </c>
      <c r="Y17">
        <v>123</v>
      </c>
      <c r="Z17" s="2">
        <f>AVERAGE(Sheet1__2[[#This Row],[00:00:00]:[23:00:00]])</f>
        <v>139.29166666666666</v>
      </c>
      <c r="AA17" t="str" cm="1">
        <f t="array" ref="AA17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8" spans="1:27" x14ac:dyDescent="0.3">
      <c r="A18" s="1">
        <v>45705</v>
      </c>
      <c r="B18">
        <v>120</v>
      </c>
      <c r="C18">
        <v>118</v>
      </c>
      <c r="D18">
        <v>119</v>
      </c>
      <c r="E18">
        <v>120</v>
      </c>
      <c r="F18">
        <v>118</v>
      </c>
      <c r="G18">
        <v>117</v>
      </c>
      <c r="H18">
        <v>124</v>
      </c>
      <c r="I18">
        <v>116</v>
      </c>
      <c r="J18">
        <v>115</v>
      </c>
      <c r="K18">
        <v>115</v>
      </c>
      <c r="L18">
        <v>115</v>
      </c>
      <c r="M18">
        <v>116</v>
      </c>
      <c r="N18">
        <v>116</v>
      </c>
      <c r="O18">
        <v>117</v>
      </c>
      <c r="P18">
        <v>119</v>
      </c>
      <c r="Q18">
        <v>123</v>
      </c>
      <c r="R18">
        <v>125</v>
      </c>
      <c r="S18">
        <v>126</v>
      </c>
      <c r="T18">
        <v>128</v>
      </c>
      <c r="U18">
        <v>137</v>
      </c>
      <c r="V18">
        <v>138</v>
      </c>
      <c r="W18">
        <v>130</v>
      </c>
      <c r="X18">
        <v>129</v>
      </c>
      <c r="Y18">
        <v>131</v>
      </c>
      <c r="Z18" s="2">
        <f>AVERAGE(Sheet1__2[[#This Row],[00:00:00]:[23:00:00]])</f>
        <v>122.16666666666667</v>
      </c>
      <c r="AA18" t="str" cm="1">
        <f t="array" ref="AA18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9" spans="1:27" x14ac:dyDescent="0.3">
      <c r="A19" s="1">
        <v>45706</v>
      </c>
      <c r="B19">
        <v>131</v>
      </c>
      <c r="C19">
        <v>130</v>
      </c>
      <c r="D19">
        <v>140</v>
      </c>
      <c r="E19">
        <v>135</v>
      </c>
      <c r="F19">
        <v>137</v>
      </c>
      <c r="G19">
        <v>137</v>
      </c>
      <c r="H19">
        <v>138</v>
      </c>
      <c r="I19">
        <v>139</v>
      </c>
      <c r="J19">
        <v>140</v>
      </c>
      <c r="K19">
        <v>141</v>
      </c>
      <c r="L19">
        <v>141</v>
      </c>
      <c r="M19">
        <v>141</v>
      </c>
      <c r="N19">
        <v>141</v>
      </c>
      <c r="O19">
        <v>140</v>
      </c>
      <c r="P19">
        <v>140</v>
      </c>
      <c r="Q19">
        <v>152</v>
      </c>
      <c r="R19">
        <v>165</v>
      </c>
      <c r="S19">
        <v>159</v>
      </c>
      <c r="T19">
        <v>151</v>
      </c>
      <c r="U19">
        <v>151</v>
      </c>
      <c r="V19">
        <v>152</v>
      </c>
      <c r="W19">
        <v>148</v>
      </c>
      <c r="X19">
        <v>146</v>
      </c>
      <c r="Y19">
        <v>141</v>
      </c>
      <c r="Z19" s="2">
        <f>AVERAGE(Sheet1__2[[#This Row],[00:00:00]:[23:00:00]])</f>
        <v>143.16666666666666</v>
      </c>
      <c r="AA19" t="str" cm="1">
        <f t="array" ref="AA19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0" spans="1:27" x14ac:dyDescent="0.3">
      <c r="A20" s="1">
        <v>45707</v>
      </c>
      <c r="B20">
        <v>133</v>
      </c>
      <c r="C20">
        <v>131</v>
      </c>
      <c r="D20">
        <v>134</v>
      </c>
      <c r="E20">
        <v>133</v>
      </c>
      <c r="F20">
        <v>133</v>
      </c>
      <c r="G20">
        <v>132</v>
      </c>
      <c r="H20">
        <v>132</v>
      </c>
      <c r="I20">
        <v>133</v>
      </c>
      <c r="J20">
        <v>134</v>
      </c>
      <c r="K20">
        <v>133</v>
      </c>
      <c r="L20">
        <v>133</v>
      </c>
      <c r="M20">
        <v>134</v>
      </c>
      <c r="N20">
        <v>138</v>
      </c>
      <c r="O20">
        <v>136</v>
      </c>
      <c r="P20">
        <v>151</v>
      </c>
      <c r="Q20">
        <v>151</v>
      </c>
      <c r="R20">
        <v>143</v>
      </c>
      <c r="S20">
        <v>139</v>
      </c>
      <c r="T20">
        <v>139</v>
      </c>
      <c r="U20">
        <v>139</v>
      </c>
      <c r="V20">
        <v>139</v>
      </c>
      <c r="W20">
        <v>137</v>
      </c>
      <c r="X20">
        <v>137</v>
      </c>
      <c r="Y20">
        <v>130</v>
      </c>
      <c r="Z20" s="2">
        <f>AVERAGE(Sheet1__2[[#This Row],[00:00:00]:[23:00:00]])</f>
        <v>136.41666666666666</v>
      </c>
      <c r="AA20" t="str" cm="1">
        <f t="array" ref="AA20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1" spans="1:27" x14ac:dyDescent="0.3">
      <c r="A21" s="1">
        <v>45708</v>
      </c>
      <c r="B21">
        <v>133</v>
      </c>
      <c r="C21">
        <v>128</v>
      </c>
      <c r="D21">
        <v>128</v>
      </c>
      <c r="E21">
        <v>128</v>
      </c>
      <c r="F21">
        <v>129</v>
      </c>
      <c r="G21">
        <v>129</v>
      </c>
      <c r="H21">
        <v>129</v>
      </c>
      <c r="I21">
        <v>130</v>
      </c>
      <c r="J21">
        <v>130</v>
      </c>
      <c r="K21">
        <v>129</v>
      </c>
      <c r="L21">
        <v>129</v>
      </c>
      <c r="M21">
        <v>127</v>
      </c>
      <c r="N21">
        <v>126</v>
      </c>
      <c r="O21">
        <v>125</v>
      </c>
      <c r="P21">
        <v>132</v>
      </c>
      <c r="Q21">
        <v>128</v>
      </c>
      <c r="R21">
        <v>127</v>
      </c>
      <c r="S21">
        <v>126</v>
      </c>
      <c r="T21">
        <v>127</v>
      </c>
      <c r="U21">
        <v>127</v>
      </c>
      <c r="V21">
        <v>123</v>
      </c>
      <c r="W21">
        <v>122</v>
      </c>
      <c r="X21">
        <v>122</v>
      </c>
      <c r="Y21">
        <v>122</v>
      </c>
      <c r="Z21" s="2">
        <f>AVERAGE(Sheet1__2[[#This Row],[00:00:00]:[23:00:00]])</f>
        <v>127.33333333333333</v>
      </c>
      <c r="AA21" t="str" cm="1">
        <f t="array" ref="AA21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2" spans="1:27" x14ac:dyDescent="0.3">
      <c r="A22" s="1">
        <v>45709</v>
      </c>
      <c r="B22">
        <v>124</v>
      </c>
      <c r="C22">
        <v>127</v>
      </c>
      <c r="D22">
        <v>131</v>
      </c>
      <c r="E22">
        <v>132</v>
      </c>
      <c r="F22">
        <v>131</v>
      </c>
      <c r="G22">
        <v>131</v>
      </c>
      <c r="H22">
        <v>132</v>
      </c>
      <c r="I22">
        <v>133</v>
      </c>
      <c r="J22">
        <v>135</v>
      </c>
      <c r="K22">
        <v>136</v>
      </c>
      <c r="L22">
        <v>136</v>
      </c>
      <c r="M22">
        <v>136</v>
      </c>
      <c r="N22">
        <v>136</v>
      </c>
      <c r="O22">
        <v>136</v>
      </c>
      <c r="P22">
        <v>136</v>
      </c>
      <c r="Q22">
        <v>136</v>
      </c>
      <c r="R22">
        <v>136</v>
      </c>
      <c r="S22">
        <v>135</v>
      </c>
      <c r="T22">
        <v>135</v>
      </c>
      <c r="U22">
        <v>135</v>
      </c>
      <c r="V22">
        <v>136</v>
      </c>
      <c r="W22">
        <v>137</v>
      </c>
      <c r="X22">
        <v>136</v>
      </c>
      <c r="Y22">
        <v>136</v>
      </c>
      <c r="Z22" s="2">
        <f>AVERAGE(Sheet1__2[[#This Row],[00:00:00]:[23:00:00]])</f>
        <v>133.91666666666666</v>
      </c>
      <c r="AA22" t="str" cm="1">
        <f t="array" ref="AA22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3" spans="1:27" x14ac:dyDescent="0.3">
      <c r="A23" s="1">
        <v>45710</v>
      </c>
      <c r="B23">
        <v>136</v>
      </c>
      <c r="C23">
        <v>137</v>
      </c>
      <c r="D23">
        <v>139</v>
      </c>
      <c r="E23">
        <v>136</v>
      </c>
      <c r="F23">
        <v>137</v>
      </c>
      <c r="G23">
        <v>137</v>
      </c>
      <c r="H23">
        <v>136</v>
      </c>
      <c r="I23">
        <v>134</v>
      </c>
      <c r="J23">
        <v>134</v>
      </c>
      <c r="K23">
        <v>133</v>
      </c>
      <c r="L23">
        <v>132</v>
      </c>
      <c r="M23">
        <v>132</v>
      </c>
      <c r="N23">
        <v>131</v>
      </c>
      <c r="O23">
        <v>131</v>
      </c>
      <c r="P23">
        <v>133</v>
      </c>
      <c r="Q23">
        <v>133</v>
      </c>
      <c r="R23">
        <v>133</v>
      </c>
      <c r="S23">
        <v>134</v>
      </c>
      <c r="T23">
        <v>136</v>
      </c>
      <c r="U23">
        <v>130</v>
      </c>
      <c r="V23">
        <v>129</v>
      </c>
      <c r="W23">
        <v>128</v>
      </c>
      <c r="X23">
        <v>127</v>
      </c>
      <c r="Y23">
        <v>127</v>
      </c>
      <c r="Z23" s="2">
        <f>AVERAGE(Sheet1__2[[#This Row],[00:00:00]:[23:00:00]])</f>
        <v>133.125</v>
      </c>
      <c r="AA23" t="str" cm="1">
        <f t="array" ref="AA23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4" spans="1:27" x14ac:dyDescent="0.3">
      <c r="A24" s="1">
        <v>45711</v>
      </c>
      <c r="B24">
        <v>128</v>
      </c>
      <c r="C24">
        <v>131</v>
      </c>
      <c r="D24">
        <v>130</v>
      </c>
      <c r="E24">
        <v>129</v>
      </c>
      <c r="F24">
        <v>130</v>
      </c>
      <c r="G24">
        <v>131</v>
      </c>
      <c r="H24">
        <v>132</v>
      </c>
      <c r="I24">
        <v>133</v>
      </c>
      <c r="J24">
        <v>133</v>
      </c>
      <c r="K24">
        <v>133</v>
      </c>
      <c r="L24">
        <v>133</v>
      </c>
      <c r="M24">
        <v>133</v>
      </c>
      <c r="N24">
        <v>132</v>
      </c>
      <c r="O24">
        <v>133</v>
      </c>
      <c r="P24">
        <v>132</v>
      </c>
      <c r="Q24">
        <v>131</v>
      </c>
      <c r="R24">
        <v>131</v>
      </c>
      <c r="S24">
        <v>139</v>
      </c>
      <c r="T24">
        <v>133</v>
      </c>
      <c r="U24">
        <v>134</v>
      </c>
      <c r="V24">
        <v>135</v>
      </c>
      <c r="W24">
        <v>133</v>
      </c>
      <c r="X24">
        <v>133</v>
      </c>
      <c r="Y24">
        <v>133</v>
      </c>
      <c r="Z24" s="2">
        <f>AVERAGE(Sheet1__2[[#This Row],[00:00:00]:[23:00:00]])</f>
        <v>132.29166666666666</v>
      </c>
      <c r="AA24" t="str" cm="1">
        <f t="array" ref="AA24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5" spans="1:27" x14ac:dyDescent="0.3">
      <c r="A25" s="1">
        <v>45712</v>
      </c>
      <c r="B25">
        <v>134</v>
      </c>
      <c r="C25">
        <v>132</v>
      </c>
      <c r="D25">
        <v>123</v>
      </c>
      <c r="E25">
        <v>123</v>
      </c>
      <c r="F25">
        <v>121</v>
      </c>
      <c r="G25">
        <v>122</v>
      </c>
      <c r="H25">
        <v>121</v>
      </c>
      <c r="I25">
        <v>120</v>
      </c>
      <c r="J25">
        <v>120</v>
      </c>
      <c r="K25">
        <v>120</v>
      </c>
      <c r="L25">
        <v>120</v>
      </c>
      <c r="M25">
        <v>120</v>
      </c>
      <c r="N25">
        <v>122</v>
      </c>
      <c r="O25">
        <v>122</v>
      </c>
      <c r="P25">
        <v>123</v>
      </c>
      <c r="Q25">
        <v>124</v>
      </c>
      <c r="R25">
        <v>124</v>
      </c>
      <c r="S25">
        <v>134</v>
      </c>
      <c r="T25">
        <v>135</v>
      </c>
      <c r="U25">
        <v>128</v>
      </c>
      <c r="V25">
        <v>129</v>
      </c>
      <c r="W25">
        <v>125</v>
      </c>
      <c r="X25">
        <v>125</v>
      </c>
      <c r="Y25">
        <v>124</v>
      </c>
      <c r="Z25" s="2">
        <f>AVERAGE(Sheet1__2[[#This Row],[00:00:00]:[23:00:00]])</f>
        <v>124.625</v>
      </c>
      <c r="AA25" t="str" cm="1">
        <f t="array" ref="AA25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6" spans="1:27" x14ac:dyDescent="0.3">
      <c r="A26" s="1">
        <v>45713</v>
      </c>
      <c r="B26">
        <v>125</v>
      </c>
      <c r="C26">
        <v>127</v>
      </c>
      <c r="D26">
        <v>125</v>
      </c>
      <c r="E26">
        <v>126</v>
      </c>
      <c r="F26">
        <v>127</v>
      </c>
      <c r="G26">
        <v>128</v>
      </c>
      <c r="H26">
        <v>129</v>
      </c>
      <c r="I26">
        <v>129</v>
      </c>
      <c r="J26">
        <v>130</v>
      </c>
      <c r="K26">
        <v>131</v>
      </c>
      <c r="L26">
        <v>131</v>
      </c>
      <c r="M26">
        <v>130</v>
      </c>
      <c r="N26">
        <v>129</v>
      </c>
      <c r="O26">
        <v>128</v>
      </c>
      <c r="P26">
        <v>128</v>
      </c>
      <c r="Q26">
        <v>129</v>
      </c>
      <c r="R26">
        <v>130</v>
      </c>
      <c r="S26">
        <v>130</v>
      </c>
      <c r="T26">
        <v>132</v>
      </c>
      <c r="U26">
        <v>132</v>
      </c>
      <c r="V26">
        <v>132</v>
      </c>
      <c r="W26">
        <v>131</v>
      </c>
      <c r="X26">
        <v>134</v>
      </c>
      <c r="Y26">
        <v>130</v>
      </c>
      <c r="Z26" s="2">
        <f>AVERAGE(Sheet1__2[[#This Row],[00:00:00]:[23:00:00]])</f>
        <v>129.29166666666666</v>
      </c>
      <c r="AA26" t="str" cm="1">
        <f t="array" ref="AA26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7" spans="1:27" x14ac:dyDescent="0.3">
      <c r="A27" s="1">
        <v>45714</v>
      </c>
      <c r="B27">
        <v>132</v>
      </c>
      <c r="C27">
        <v>132</v>
      </c>
      <c r="D27">
        <v>132</v>
      </c>
      <c r="E27">
        <v>133</v>
      </c>
      <c r="F27">
        <v>135</v>
      </c>
      <c r="G27">
        <v>135</v>
      </c>
      <c r="H27">
        <v>133</v>
      </c>
      <c r="I27">
        <v>132</v>
      </c>
      <c r="J27">
        <v>130</v>
      </c>
      <c r="K27">
        <v>130</v>
      </c>
      <c r="L27">
        <v>130</v>
      </c>
      <c r="M27">
        <v>130</v>
      </c>
      <c r="N27">
        <v>133</v>
      </c>
      <c r="O27">
        <v>134</v>
      </c>
      <c r="P27">
        <v>137</v>
      </c>
      <c r="Q27">
        <v>134</v>
      </c>
      <c r="R27">
        <v>135</v>
      </c>
      <c r="S27">
        <v>135</v>
      </c>
      <c r="T27">
        <v>137</v>
      </c>
      <c r="U27">
        <v>139</v>
      </c>
      <c r="V27">
        <v>137</v>
      </c>
      <c r="W27">
        <v>137</v>
      </c>
      <c r="X27">
        <v>139</v>
      </c>
      <c r="Y27">
        <v>140</v>
      </c>
      <c r="Z27" s="2">
        <f>AVERAGE(Sheet1__2[[#This Row],[00:00:00]:[23:00:00]])</f>
        <v>134.20833333333334</v>
      </c>
      <c r="AA27" t="str" cm="1">
        <f t="array" ref="AA27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8" spans="1:27" x14ac:dyDescent="0.3">
      <c r="A28" s="1">
        <v>45715</v>
      </c>
      <c r="B28">
        <v>141</v>
      </c>
      <c r="C28">
        <v>144</v>
      </c>
      <c r="D28">
        <v>146</v>
      </c>
      <c r="E28">
        <v>147</v>
      </c>
      <c r="F28">
        <v>152</v>
      </c>
      <c r="G28">
        <v>148</v>
      </c>
      <c r="H28">
        <v>149</v>
      </c>
      <c r="I28">
        <v>149</v>
      </c>
      <c r="J28">
        <v>149</v>
      </c>
      <c r="K28">
        <v>148</v>
      </c>
      <c r="L28">
        <v>146</v>
      </c>
      <c r="M28">
        <v>147</v>
      </c>
      <c r="N28">
        <v>147</v>
      </c>
      <c r="O28">
        <v>147</v>
      </c>
      <c r="P28">
        <v>148</v>
      </c>
      <c r="Q28">
        <v>147</v>
      </c>
      <c r="R28">
        <v>147</v>
      </c>
      <c r="S28">
        <v>148</v>
      </c>
      <c r="T28">
        <v>148</v>
      </c>
      <c r="U28">
        <v>148</v>
      </c>
      <c r="V28">
        <v>146</v>
      </c>
      <c r="W28">
        <v>144</v>
      </c>
      <c r="X28">
        <v>143</v>
      </c>
      <c r="Y28">
        <v>141</v>
      </c>
      <c r="Z28" s="2">
        <f>AVERAGE(Sheet1__2[[#This Row],[00:00:00]:[23:00:00]])</f>
        <v>146.66666666666666</v>
      </c>
      <c r="AA28" t="str" cm="1">
        <f t="array" ref="AA28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9" spans="1:27" x14ac:dyDescent="0.3">
      <c r="A29" s="1">
        <v>45716</v>
      </c>
      <c r="B29">
        <v>139</v>
      </c>
      <c r="C29">
        <v>137</v>
      </c>
      <c r="D29">
        <v>134</v>
      </c>
      <c r="E29">
        <v>132</v>
      </c>
      <c r="F29">
        <v>130</v>
      </c>
      <c r="G29">
        <v>124</v>
      </c>
      <c r="H29">
        <v>122</v>
      </c>
      <c r="I29">
        <v>120</v>
      </c>
      <c r="J29">
        <v>120</v>
      </c>
      <c r="K29">
        <v>119</v>
      </c>
      <c r="L29">
        <v>120</v>
      </c>
      <c r="M29">
        <v>125</v>
      </c>
      <c r="N29">
        <v>130</v>
      </c>
      <c r="O29">
        <v>151</v>
      </c>
      <c r="P29">
        <v>142</v>
      </c>
      <c r="Q29">
        <v>134</v>
      </c>
      <c r="R29">
        <v>135</v>
      </c>
      <c r="S29">
        <v>136</v>
      </c>
      <c r="T29">
        <v>137</v>
      </c>
      <c r="U29">
        <v>139</v>
      </c>
      <c r="V29">
        <v>137</v>
      </c>
      <c r="W29">
        <v>133</v>
      </c>
      <c r="X29">
        <v>136</v>
      </c>
      <c r="Y29">
        <v>128</v>
      </c>
      <c r="Z29" s="2">
        <f>AVERAGE(Sheet1__2[[#This Row],[00:00:00]:[23:00:00]])</f>
        <v>131.66666666666666</v>
      </c>
      <c r="AA29" t="str" cm="1">
        <f t="array" ref="AA29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30" spans="1:27" x14ac:dyDescent="0.3">
      <c r="Z30" s="2">
        <f>SUBTOTAL(101,Sheet1__2[AVERAGE AQI])</f>
        <v>131.48660714285711</v>
      </c>
    </row>
  </sheetData>
  <conditionalFormatting sqref="AA1:AA1048576">
    <cfRule type="containsText" dxfId="33" priority="1" operator="containsText" text="BAD">
      <formula>NOT(ISERROR(SEARCH("BAD",AA1)))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3B04A-B2AD-42CB-8818-4DA6F0253F2A}">
  <dimension ref="A1:AA33"/>
  <sheetViews>
    <sheetView topLeftCell="S1" workbookViewId="0">
      <selection activeCell="Z2" sqref="Z2"/>
    </sheetView>
  </sheetViews>
  <sheetFormatPr defaultRowHeight="14.4" x14ac:dyDescent="0.3"/>
  <cols>
    <col min="1" max="25" width="10.33203125" bestFit="1" customWidth="1"/>
    <col min="26" max="26" width="11.21875" bestFit="1" customWidth="1"/>
    <col min="27" max="27" width="15.332031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27</v>
      </c>
      <c r="AA1" t="s">
        <v>26</v>
      </c>
    </row>
    <row r="2" spans="1:27" x14ac:dyDescent="0.3">
      <c r="A2" s="1">
        <v>45717</v>
      </c>
      <c r="B2">
        <v>126</v>
      </c>
      <c r="C2">
        <v>126</v>
      </c>
      <c r="D2">
        <v>129</v>
      </c>
      <c r="E2">
        <v>131</v>
      </c>
      <c r="F2">
        <v>133</v>
      </c>
      <c r="G2">
        <v>135</v>
      </c>
      <c r="H2">
        <v>136</v>
      </c>
      <c r="I2">
        <v>139</v>
      </c>
      <c r="J2">
        <v>141</v>
      </c>
      <c r="K2">
        <v>142</v>
      </c>
      <c r="L2">
        <v>142</v>
      </c>
      <c r="M2">
        <v>142</v>
      </c>
      <c r="N2">
        <v>156</v>
      </c>
      <c r="O2">
        <v>155</v>
      </c>
      <c r="P2">
        <v>148</v>
      </c>
      <c r="Q2">
        <v>151</v>
      </c>
      <c r="R2">
        <v>161</v>
      </c>
      <c r="S2">
        <v>156</v>
      </c>
      <c r="T2">
        <v>161</v>
      </c>
      <c r="U2">
        <v>164</v>
      </c>
      <c r="V2">
        <v>164</v>
      </c>
      <c r="W2">
        <v>155</v>
      </c>
      <c r="X2">
        <v>151</v>
      </c>
      <c r="Y2">
        <v>146</v>
      </c>
      <c r="Z2" s="2">
        <f>AVERAGE(Sheet1__3[[#This Row],[00:00:00]:[23:00:00]])</f>
        <v>145.41666666666666</v>
      </c>
      <c r="AA2" t="str" cm="1">
        <f t="array" ref="AA2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" spans="1:27" x14ac:dyDescent="0.3">
      <c r="A3" s="1">
        <v>45718</v>
      </c>
      <c r="B3">
        <v>141</v>
      </c>
      <c r="C3">
        <v>135</v>
      </c>
      <c r="D3">
        <v>130</v>
      </c>
      <c r="E3">
        <v>126</v>
      </c>
      <c r="F3">
        <v>124</v>
      </c>
      <c r="G3">
        <v>122</v>
      </c>
      <c r="H3">
        <v>120</v>
      </c>
      <c r="I3">
        <v>118</v>
      </c>
      <c r="J3">
        <v>116</v>
      </c>
      <c r="K3">
        <v>116</v>
      </c>
      <c r="L3">
        <v>114</v>
      </c>
      <c r="M3">
        <v>119</v>
      </c>
      <c r="N3">
        <v>119</v>
      </c>
      <c r="O3">
        <v>122</v>
      </c>
      <c r="P3">
        <v>126</v>
      </c>
      <c r="Q3">
        <v>125</v>
      </c>
      <c r="R3">
        <v>138</v>
      </c>
      <c r="S3">
        <v>138</v>
      </c>
      <c r="T3">
        <v>139</v>
      </c>
      <c r="U3">
        <v>134</v>
      </c>
      <c r="V3">
        <v>138</v>
      </c>
      <c r="W3">
        <v>134</v>
      </c>
      <c r="X3">
        <v>127</v>
      </c>
      <c r="Y3">
        <v>129</v>
      </c>
      <c r="Z3" s="2">
        <f>AVERAGE(Sheet1__3[[#This Row],[00:00:00]:[23:00:00]])</f>
        <v>127.08333333333333</v>
      </c>
      <c r="AA3" t="str" cm="1">
        <f t="array" ref="AA3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4" spans="1:27" x14ac:dyDescent="0.3">
      <c r="A4" s="1">
        <v>45719</v>
      </c>
      <c r="B4">
        <v>128</v>
      </c>
      <c r="C4">
        <v>122</v>
      </c>
      <c r="D4">
        <v>117</v>
      </c>
      <c r="E4">
        <v>115</v>
      </c>
      <c r="F4">
        <v>114</v>
      </c>
      <c r="G4">
        <v>113</v>
      </c>
      <c r="H4">
        <v>110</v>
      </c>
      <c r="I4">
        <v>110</v>
      </c>
      <c r="J4">
        <v>109</v>
      </c>
      <c r="K4">
        <v>109</v>
      </c>
      <c r="L4">
        <v>109</v>
      </c>
      <c r="M4">
        <v>116</v>
      </c>
      <c r="N4">
        <v>121</v>
      </c>
      <c r="O4">
        <v>148</v>
      </c>
      <c r="P4">
        <v>148</v>
      </c>
      <c r="Q4">
        <v>142</v>
      </c>
      <c r="R4">
        <v>135</v>
      </c>
      <c r="S4">
        <v>122</v>
      </c>
      <c r="T4">
        <v>125</v>
      </c>
      <c r="U4">
        <v>126</v>
      </c>
      <c r="V4">
        <v>123</v>
      </c>
      <c r="W4">
        <v>118</v>
      </c>
      <c r="X4">
        <v>121</v>
      </c>
      <c r="Y4">
        <v>119</v>
      </c>
      <c r="Z4" s="2">
        <f>AVERAGE(Sheet1__3[[#This Row],[00:00:00]:[23:00:00]])</f>
        <v>121.66666666666667</v>
      </c>
      <c r="AA4" t="str" cm="1">
        <f t="array" ref="AA4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5" spans="1:27" x14ac:dyDescent="0.3">
      <c r="A5" s="1">
        <v>45720</v>
      </c>
      <c r="B5">
        <v>116</v>
      </c>
      <c r="C5">
        <v>116</v>
      </c>
      <c r="D5">
        <v>118</v>
      </c>
      <c r="E5">
        <v>121</v>
      </c>
      <c r="F5">
        <v>123</v>
      </c>
      <c r="G5">
        <v>123</v>
      </c>
      <c r="H5">
        <v>123</v>
      </c>
      <c r="I5">
        <v>122</v>
      </c>
      <c r="J5">
        <v>121</v>
      </c>
      <c r="K5">
        <v>121</v>
      </c>
      <c r="L5">
        <v>115</v>
      </c>
      <c r="M5">
        <v>111</v>
      </c>
      <c r="N5">
        <v>112</v>
      </c>
      <c r="O5">
        <v>112</v>
      </c>
      <c r="P5">
        <v>117</v>
      </c>
      <c r="Q5">
        <v>113</v>
      </c>
      <c r="R5">
        <v>133</v>
      </c>
      <c r="S5">
        <v>126</v>
      </c>
      <c r="T5">
        <v>132</v>
      </c>
      <c r="U5">
        <v>132</v>
      </c>
      <c r="V5">
        <v>140</v>
      </c>
      <c r="W5">
        <v>142</v>
      </c>
      <c r="X5">
        <v>140</v>
      </c>
      <c r="Y5">
        <v>140</v>
      </c>
      <c r="Z5" s="2">
        <f>AVERAGE(Sheet1__3[[#This Row],[00:00:00]:[23:00:00]])</f>
        <v>123.70833333333333</v>
      </c>
      <c r="AA5" t="str" cm="1">
        <f t="array" ref="AA5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6" spans="1:27" x14ac:dyDescent="0.3">
      <c r="A6" s="1">
        <v>45721</v>
      </c>
      <c r="B6">
        <v>139</v>
      </c>
      <c r="C6">
        <v>138</v>
      </c>
      <c r="D6">
        <v>137</v>
      </c>
      <c r="E6">
        <v>139</v>
      </c>
      <c r="F6">
        <v>140</v>
      </c>
      <c r="G6">
        <v>139</v>
      </c>
      <c r="H6">
        <v>136</v>
      </c>
      <c r="I6">
        <v>135</v>
      </c>
      <c r="J6">
        <v>133</v>
      </c>
      <c r="K6">
        <v>134</v>
      </c>
      <c r="L6">
        <v>133</v>
      </c>
      <c r="M6">
        <v>138</v>
      </c>
      <c r="N6">
        <v>137</v>
      </c>
      <c r="O6">
        <v>137</v>
      </c>
      <c r="P6">
        <v>136</v>
      </c>
      <c r="Q6">
        <v>145</v>
      </c>
      <c r="R6">
        <v>150</v>
      </c>
      <c r="S6">
        <v>153</v>
      </c>
      <c r="T6">
        <v>153</v>
      </c>
      <c r="U6">
        <v>154</v>
      </c>
      <c r="V6">
        <v>155</v>
      </c>
      <c r="W6">
        <v>153</v>
      </c>
      <c r="X6">
        <v>151</v>
      </c>
      <c r="Y6">
        <v>151</v>
      </c>
      <c r="Z6" s="2">
        <f>AVERAGE(Sheet1__3[[#This Row],[00:00:00]:[23:00:00]])</f>
        <v>142.33333333333334</v>
      </c>
      <c r="AA6" t="str" cm="1">
        <f t="array" ref="AA6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7" spans="1:27" x14ac:dyDescent="0.3">
      <c r="A7" s="1">
        <v>45722</v>
      </c>
      <c r="B7">
        <v>151</v>
      </c>
      <c r="C7">
        <v>148</v>
      </c>
      <c r="D7">
        <v>138</v>
      </c>
      <c r="E7">
        <v>137</v>
      </c>
      <c r="G7">
        <v>131</v>
      </c>
      <c r="H7">
        <v>130</v>
      </c>
      <c r="I7">
        <v>128</v>
      </c>
      <c r="J7">
        <v>129</v>
      </c>
      <c r="K7">
        <v>129</v>
      </c>
      <c r="L7">
        <v>131</v>
      </c>
      <c r="M7">
        <v>132</v>
      </c>
      <c r="N7">
        <v>140</v>
      </c>
      <c r="O7">
        <v>143</v>
      </c>
      <c r="P7">
        <v>145</v>
      </c>
      <c r="Q7">
        <v>145</v>
      </c>
      <c r="R7">
        <v>142</v>
      </c>
      <c r="S7">
        <v>152</v>
      </c>
      <c r="T7">
        <v>153</v>
      </c>
      <c r="U7">
        <v>151</v>
      </c>
      <c r="V7">
        <v>149</v>
      </c>
      <c r="W7">
        <v>149</v>
      </c>
      <c r="X7">
        <v>144</v>
      </c>
      <c r="Y7">
        <v>130</v>
      </c>
      <c r="Z7" s="2">
        <f>AVERAGE(Sheet1__3[[#This Row],[00:00:00]:[23:00:00]])</f>
        <v>140.30434782608697</v>
      </c>
      <c r="AA7" t="str" cm="1">
        <f t="array" ref="AA7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8" spans="1:27" x14ac:dyDescent="0.3">
      <c r="A8" s="1">
        <v>45723</v>
      </c>
      <c r="B8">
        <v>124</v>
      </c>
      <c r="C8">
        <v>127</v>
      </c>
      <c r="D8">
        <v>132</v>
      </c>
      <c r="E8">
        <v>137</v>
      </c>
      <c r="F8">
        <v>142</v>
      </c>
      <c r="G8">
        <v>148</v>
      </c>
      <c r="H8">
        <v>150</v>
      </c>
      <c r="I8">
        <v>149</v>
      </c>
      <c r="J8">
        <v>148</v>
      </c>
      <c r="K8">
        <v>146</v>
      </c>
      <c r="L8">
        <v>146</v>
      </c>
      <c r="M8">
        <v>147</v>
      </c>
      <c r="N8">
        <v>147</v>
      </c>
      <c r="O8">
        <v>147</v>
      </c>
      <c r="P8">
        <v>150</v>
      </c>
      <c r="Q8">
        <v>153</v>
      </c>
      <c r="R8">
        <v>153</v>
      </c>
      <c r="S8">
        <v>159</v>
      </c>
      <c r="T8">
        <v>154</v>
      </c>
      <c r="U8">
        <v>155</v>
      </c>
      <c r="V8">
        <v>155</v>
      </c>
      <c r="W8">
        <v>151</v>
      </c>
      <c r="X8">
        <v>151</v>
      </c>
      <c r="Y8">
        <v>151</v>
      </c>
      <c r="Z8" s="2">
        <f>AVERAGE(Sheet1__3[[#This Row],[00:00:00]:[23:00:00]])</f>
        <v>146.75</v>
      </c>
      <c r="AA8" t="str" cm="1">
        <f t="array" ref="AA8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9" spans="1:27" x14ac:dyDescent="0.3">
      <c r="A9" s="1">
        <v>45724</v>
      </c>
      <c r="B9">
        <v>152</v>
      </c>
      <c r="C9">
        <v>152</v>
      </c>
      <c r="D9">
        <v>153</v>
      </c>
      <c r="E9">
        <v>153</v>
      </c>
      <c r="F9">
        <v>154</v>
      </c>
      <c r="G9">
        <v>153</v>
      </c>
      <c r="H9">
        <v>153</v>
      </c>
      <c r="I9">
        <v>150</v>
      </c>
      <c r="J9">
        <v>148</v>
      </c>
      <c r="K9">
        <v>147</v>
      </c>
      <c r="L9">
        <v>146</v>
      </c>
      <c r="M9">
        <v>171</v>
      </c>
      <c r="N9">
        <v>178</v>
      </c>
      <c r="O9">
        <v>173</v>
      </c>
      <c r="P9">
        <v>177</v>
      </c>
      <c r="Q9">
        <v>179</v>
      </c>
      <c r="R9">
        <v>181</v>
      </c>
      <c r="S9">
        <v>161</v>
      </c>
      <c r="T9">
        <v>171</v>
      </c>
      <c r="U9">
        <v>172</v>
      </c>
      <c r="V9">
        <v>175</v>
      </c>
      <c r="W9">
        <v>167</v>
      </c>
      <c r="X9">
        <v>166</v>
      </c>
      <c r="Y9">
        <v>161</v>
      </c>
      <c r="Z9" s="2">
        <f>AVERAGE(Sheet1__3[[#This Row],[00:00:00]:[23:00:00]])</f>
        <v>162.20833333333334</v>
      </c>
      <c r="AA9" t="str" cm="1">
        <f t="array" ref="AA9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VERY BAD</v>
      </c>
    </row>
    <row r="10" spans="1:27" x14ac:dyDescent="0.3">
      <c r="A10" s="1">
        <v>45725</v>
      </c>
      <c r="B10">
        <v>158</v>
      </c>
      <c r="C10">
        <v>150</v>
      </c>
      <c r="D10">
        <v>149</v>
      </c>
      <c r="E10">
        <v>150</v>
      </c>
      <c r="F10">
        <v>150</v>
      </c>
      <c r="G10">
        <v>150</v>
      </c>
      <c r="H10">
        <v>150</v>
      </c>
      <c r="I10">
        <v>150</v>
      </c>
      <c r="J10">
        <v>150</v>
      </c>
      <c r="K10">
        <v>149</v>
      </c>
      <c r="L10">
        <v>149</v>
      </c>
      <c r="M10">
        <v>150</v>
      </c>
      <c r="N10">
        <v>156</v>
      </c>
      <c r="O10">
        <v>155</v>
      </c>
      <c r="P10">
        <v>148</v>
      </c>
      <c r="Q10">
        <v>147</v>
      </c>
      <c r="R10">
        <v>148</v>
      </c>
      <c r="S10">
        <v>151</v>
      </c>
      <c r="T10">
        <v>148</v>
      </c>
      <c r="U10">
        <v>146</v>
      </c>
      <c r="V10">
        <v>143</v>
      </c>
      <c r="W10">
        <v>140</v>
      </c>
      <c r="X10">
        <v>141</v>
      </c>
      <c r="Y10">
        <v>138</v>
      </c>
      <c r="Z10" s="2">
        <f>AVERAGE(Sheet1__3[[#This Row],[00:00:00]:[23:00:00]])</f>
        <v>148.58333333333334</v>
      </c>
      <c r="AA10" t="str" cm="1">
        <f t="array" ref="AA10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1" spans="1:27" x14ac:dyDescent="0.3">
      <c r="A11" s="1">
        <v>45726</v>
      </c>
      <c r="B11">
        <v>137</v>
      </c>
      <c r="C11">
        <v>137</v>
      </c>
      <c r="D11">
        <v>138</v>
      </c>
      <c r="E11">
        <v>137</v>
      </c>
      <c r="F11">
        <v>136</v>
      </c>
      <c r="G11">
        <v>135</v>
      </c>
      <c r="H11">
        <v>133</v>
      </c>
      <c r="I11">
        <v>132</v>
      </c>
      <c r="J11">
        <v>133</v>
      </c>
      <c r="K11">
        <v>133</v>
      </c>
      <c r="L11">
        <v>132</v>
      </c>
      <c r="M11">
        <v>132</v>
      </c>
      <c r="N11">
        <v>140</v>
      </c>
      <c r="O11">
        <v>144</v>
      </c>
      <c r="P11">
        <v>144</v>
      </c>
      <c r="Q11">
        <v>144</v>
      </c>
      <c r="R11">
        <v>146</v>
      </c>
      <c r="S11">
        <v>148</v>
      </c>
      <c r="T11">
        <v>149</v>
      </c>
      <c r="U11">
        <v>156</v>
      </c>
      <c r="V11">
        <v>154</v>
      </c>
      <c r="W11">
        <v>151</v>
      </c>
      <c r="X11">
        <v>149</v>
      </c>
      <c r="Y11">
        <v>141</v>
      </c>
      <c r="Z11" s="2">
        <f>AVERAGE(Sheet1__3[[#This Row],[00:00:00]:[23:00:00]])</f>
        <v>140.875</v>
      </c>
      <c r="AA11" t="str" cm="1">
        <f t="array" ref="AA11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2" spans="1:27" x14ac:dyDescent="0.3">
      <c r="A12" s="1">
        <v>45727</v>
      </c>
      <c r="B12">
        <v>142</v>
      </c>
      <c r="C12">
        <v>146</v>
      </c>
      <c r="D12">
        <v>149</v>
      </c>
      <c r="E12">
        <v>152</v>
      </c>
      <c r="F12">
        <v>143</v>
      </c>
      <c r="G12">
        <v>155</v>
      </c>
      <c r="H12">
        <v>157</v>
      </c>
      <c r="I12">
        <v>149</v>
      </c>
      <c r="J12">
        <v>159</v>
      </c>
      <c r="K12">
        <v>158</v>
      </c>
      <c r="L12">
        <v>157</v>
      </c>
      <c r="M12">
        <v>156</v>
      </c>
      <c r="N12">
        <v>156</v>
      </c>
      <c r="O12">
        <v>155</v>
      </c>
      <c r="P12">
        <v>155</v>
      </c>
      <c r="Q12">
        <v>155</v>
      </c>
      <c r="R12">
        <v>155</v>
      </c>
      <c r="S12">
        <v>156</v>
      </c>
      <c r="T12">
        <v>158</v>
      </c>
      <c r="U12">
        <v>158</v>
      </c>
      <c r="V12">
        <v>163</v>
      </c>
      <c r="W12">
        <v>165</v>
      </c>
      <c r="Z12" s="2">
        <f>AVERAGE(Sheet1__3[[#This Row],[00:00:00]:[23:00:00]])</f>
        <v>154.5</v>
      </c>
      <c r="AA12" t="str" cm="1">
        <f t="array" ref="AA12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VERY BAD</v>
      </c>
    </row>
    <row r="13" spans="1:27" x14ac:dyDescent="0.3">
      <c r="A13" s="1">
        <v>45728</v>
      </c>
      <c r="B13">
        <v>165</v>
      </c>
      <c r="C13">
        <v>164</v>
      </c>
      <c r="D13">
        <v>166</v>
      </c>
      <c r="E13">
        <v>164</v>
      </c>
      <c r="F13">
        <v>164</v>
      </c>
      <c r="G13">
        <v>161</v>
      </c>
      <c r="H13">
        <v>158</v>
      </c>
      <c r="I13">
        <v>156</v>
      </c>
      <c r="J13">
        <v>156</v>
      </c>
      <c r="K13">
        <v>156</v>
      </c>
      <c r="L13">
        <v>156</v>
      </c>
      <c r="M13">
        <v>166</v>
      </c>
      <c r="N13">
        <v>174</v>
      </c>
      <c r="O13">
        <v>175</v>
      </c>
      <c r="P13">
        <v>171</v>
      </c>
      <c r="Q13">
        <v>165</v>
      </c>
      <c r="R13">
        <v>164</v>
      </c>
      <c r="S13">
        <v>156</v>
      </c>
      <c r="T13">
        <v>155</v>
      </c>
      <c r="U13">
        <v>158</v>
      </c>
      <c r="V13">
        <v>155</v>
      </c>
      <c r="W13">
        <v>149</v>
      </c>
      <c r="X13">
        <v>144</v>
      </c>
      <c r="Y13">
        <v>141</v>
      </c>
      <c r="Z13" s="2">
        <f>AVERAGE(Sheet1__3[[#This Row],[00:00:00]:[23:00:00]])</f>
        <v>159.95833333333334</v>
      </c>
      <c r="AA13" t="str" cm="1">
        <f t="array" ref="AA13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VERY BAD</v>
      </c>
    </row>
    <row r="14" spans="1:27" x14ac:dyDescent="0.3">
      <c r="A14" s="1">
        <v>45729</v>
      </c>
      <c r="B14">
        <v>137</v>
      </c>
      <c r="C14">
        <v>134</v>
      </c>
      <c r="D14">
        <v>130</v>
      </c>
      <c r="E14">
        <v>128</v>
      </c>
      <c r="F14">
        <v>126</v>
      </c>
      <c r="G14">
        <v>124</v>
      </c>
      <c r="H14">
        <v>122</v>
      </c>
      <c r="I14">
        <v>120</v>
      </c>
      <c r="J14">
        <v>119</v>
      </c>
      <c r="K14">
        <v>118</v>
      </c>
      <c r="L14">
        <v>118</v>
      </c>
      <c r="M14">
        <v>130</v>
      </c>
      <c r="N14">
        <v>149</v>
      </c>
      <c r="O14">
        <v>158</v>
      </c>
      <c r="P14">
        <v>168</v>
      </c>
      <c r="Q14">
        <v>161</v>
      </c>
      <c r="R14">
        <v>165</v>
      </c>
      <c r="S14">
        <v>145</v>
      </c>
      <c r="T14">
        <v>157</v>
      </c>
      <c r="U14">
        <v>152</v>
      </c>
      <c r="V14">
        <v>148</v>
      </c>
      <c r="W14">
        <v>141</v>
      </c>
      <c r="X14">
        <v>137</v>
      </c>
      <c r="Y14">
        <v>138</v>
      </c>
      <c r="Z14" s="2">
        <f>AVERAGE(Sheet1__3[[#This Row],[00:00:00]:[23:00:00]])</f>
        <v>138.54166666666666</v>
      </c>
      <c r="AA14" t="str" cm="1">
        <f t="array" ref="AA14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5" spans="1:27" x14ac:dyDescent="0.3">
      <c r="A15" s="1">
        <v>45730</v>
      </c>
      <c r="B15">
        <v>130</v>
      </c>
      <c r="C15">
        <v>127</v>
      </c>
      <c r="D15">
        <v>126</v>
      </c>
      <c r="E15">
        <v>126</v>
      </c>
      <c r="F15">
        <v>124</v>
      </c>
      <c r="G15">
        <v>125</v>
      </c>
      <c r="H15">
        <v>125</v>
      </c>
      <c r="I15">
        <v>125</v>
      </c>
      <c r="J15">
        <v>125</v>
      </c>
      <c r="K15">
        <v>124</v>
      </c>
      <c r="L15">
        <v>124</v>
      </c>
      <c r="M15">
        <v>136</v>
      </c>
      <c r="N15">
        <v>133</v>
      </c>
      <c r="O15">
        <v>149</v>
      </c>
      <c r="P15">
        <v>150</v>
      </c>
      <c r="Q15">
        <v>150</v>
      </c>
      <c r="R15">
        <v>138</v>
      </c>
      <c r="S15">
        <v>135</v>
      </c>
      <c r="T15">
        <v>139</v>
      </c>
      <c r="U15">
        <v>164</v>
      </c>
      <c r="V15">
        <v>149</v>
      </c>
      <c r="W15">
        <v>133</v>
      </c>
      <c r="X15">
        <v>135</v>
      </c>
      <c r="Y15">
        <v>130</v>
      </c>
      <c r="Z15" s="2">
        <f>AVERAGE(Sheet1__3[[#This Row],[00:00:00]:[23:00:00]])</f>
        <v>134.25</v>
      </c>
      <c r="AA15" t="str" cm="1">
        <f t="array" ref="AA15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6" spans="1:27" x14ac:dyDescent="0.3">
      <c r="A16" s="1">
        <v>45731</v>
      </c>
      <c r="B16">
        <v>125</v>
      </c>
      <c r="C16">
        <v>121</v>
      </c>
      <c r="D16">
        <v>116</v>
      </c>
      <c r="E16">
        <v>111</v>
      </c>
      <c r="F16">
        <v>105</v>
      </c>
      <c r="G16">
        <v>97</v>
      </c>
      <c r="H16">
        <v>94</v>
      </c>
      <c r="I16">
        <v>92</v>
      </c>
      <c r="J16">
        <v>91</v>
      </c>
      <c r="K16">
        <v>90</v>
      </c>
      <c r="L16">
        <v>90</v>
      </c>
      <c r="M16">
        <v>102</v>
      </c>
      <c r="N16">
        <v>109</v>
      </c>
      <c r="O16">
        <v>109</v>
      </c>
      <c r="P16">
        <v>113</v>
      </c>
      <c r="Q16">
        <v>124</v>
      </c>
      <c r="R16">
        <v>138</v>
      </c>
      <c r="S16">
        <v>145</v>
      </c>
      <c r="T16">
        <v>115</v>
      </c>
      <c r="U16">
        <v>120</v>
      </c>
      <c r="V16">
        <v>121</v>
      </c>
      <c r="W16">
        <v>119</v>
      </c>
      <c r="X16">
        <v>113</v>
      </c>
      <c r="Y16">
        <v>110</v>
      </c>
      <c r="Z16" s="2">
        <f>AVERAGE(Sheet1__3[[#This Row],[00:00:00]:[23:00:00]])</f>
        <v>111.25</v>
      </c>
      <c r="AA16" t="str" cm="1">
        <f t="array" ref="AA16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7" spans="1:27" x14ac:dyDescent="0.3">
      <c r="A17" s="1">
        <v>45732</v>
      </c>
      <c r="B17">
        <v>103</v>
      </c>
      <c r="C17">
        <v>97</v>
      </c>
      <c r="D17">
        <v>90</v>
      </c>
      <c r="E17">
        <v>92</v>
      </c>
      <c r="F17">
        <v>90</v>
      </c>
      <c r="G17">
        <v>89</v>
      </c>
      <c r="H17">
        <v>89</v>
      </c>
      <c r="I17">
        <v>89</v>
      </c>
      <c r="J17">
        <v>88</v>
      </c>
      <c r="K17">
        <v>87</v>
      </c>
      <c r="L17">
        <v>87</v>
      </c>
      <c r="M17">
        <v>86</v>
      </c>
      <c r="N17">
        <v>98</v>
      </c>
      <c r="O17">
        <v>113</v>
      </c>
      <c r="P17">
        <v>124</v>
      </c>
      <c r="Q17">
        <v>124</v>
      </c>
      <c r="R17">
        <v>128</v>
      </c>
      <c r="S17">
        <v>108</v>
      </c>
      <c r="T17">
        <v>107</v>
      </c>
      <c r="U17">
        <v>119</v>
      </c>
      <c r="V17">
        <v>127</v>
      </c>
      <c r="W17">
        <v>130</v>
      </c>
      <c r="X17">
        <v>135</v>
      </c>
      <c r="Y17">
        <v>131</v>
      </c>
      <c r="Z17" s="2">
        <f>AVERAGE(Sheet1__3[[#This Row],[00:00:00]:[23:00:00]])</f>
        <v>105.45833333333333</v>
      </c>
      <c r="AA17" t="str" cm="1">
        <f t="array" ref="AA17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8" spans="1:27" x14ac:dyDescent="0.3">
      <c r="A18" s="1">
        <v>45733</v>
      </c>
      <c r="B18">
        <v>127</v>
      </c>
      <c r="C18">
        <v>123</v>
      </c>
      <c r="D18">
        <v>121</v>
      </c>
      <c r="E18">
        <v>120</v>
      </c>
      <c r="F18">
        <v>121</v>
      </c>
      <c r="G18">
        <v>122</v>
      </c>
      <c r="H18">
        <v>123</v>
      </c>
      <c r="I18">
        <v>122</v>
      </c>
      <c r="J18">
        <v>122</v>
      </c>
      <c r="K18">
        <v>113</v>
      </c>
      <c r="L18">
        <v>117</v>
      </c>
      <c r="M18">
        <v>118</v>
      </c>
      <c r="N18">
        <v>126</v>
      </c>
      <c r="O18">
        <v>127</v>
      </c>
      <c r="P18">
        <v>117</v>
      </c>
      <c r="Q18">
        <v>118</v>
      </c>
      <c r="R18">
        <v>118</v>
      </c>
      <c r="S18">
        <v>120</v>
      </c>
      <c r="T18">
        <v>125</v>
      </c>
      <c r="U18">
        <v>125</v>
      </c>
      <c r="V18">
        <v>119</v>
      </c>
      <c r="W18">
        <v>118</v>
      </c>
      <c r="X18">
        <v>112</v>
      </c>
      <c r="Y18">
        <v>109</v>
      </c>
      <c r="Z18" s="2">
        <f>AVERAGE(Sheet1__3[[#This Row],[00:00:00]:[23:00:00]])</f>
        <v>120.125</v>
      </c>
      <c r="AA18" t="str" cm="1">
        <f t="array" ref="AA18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9" spans="1:27" x14ac:dyDescent="0.3">
      <c r="A19" s="1">
        <v>45734</v>
      </c>
      <c r="B19">
        <v>108</v>
      </c>
      <c r="C19">
        <v>106</v>
      </c>
      <c r="D19">
        <v>104</v>
      </c>
      <c r="F19">
        <v>100</v>
      </c>
      <c r="G19">
        <v>97</v>
      </c>
      <c r="H19">
        <v>96</v>
      </c>
      <c r="I19">
        <v>94</v>
      </c>
      <c r="J19">
        <v>95</v>
      </c>
      <c r="K19">
        <v>92</v>
      </c>
      <c r="L19">
        <v>92</v>
      </c>
      <c r="M19">
        <v>92</v>
      </c>
      <c r="N19">
        <v>94</v>
      </c>
      <c r="O19">
        <v>100</v>
      </c>
      <c r="P19">
        <v>111</v>
      </c>
      <c r="R19">
        <v>115</v>
      </c>
      <c r="S19">
        <v>107</v>
      </c>
      <c r="T19">
        <v>107</v>
      </c>
      <c r="U19">
        <v>152</v>
      </c>
      <c r="V19">
        <v>152</v>
      </c>
      <c r="W19">
        <v>118</v>
      </c>
      <c r="X19">
        <v>110</v>
      </c>
      <c r="Y19">
        <v>104</v>
      </c>
      <c r="Z19" s="2">
        <f>AVERAGE(Sheet1__3[[#This Row],[00:00:00]:[23:00:00]])</f>
        <v>106.63636363636364</v>
      </c>
      <c r="AA19" t="str" cm="1">
        <f t="array" ref="AA19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0" spans="1:27" x14ac:dyDescent="0.3">
      <c r="A20" s="1">
        <v>45735</v>
      </c>
      <c r="B20">
        <v>100</v>
      </c>
      <c r="C20">
        <v>96</v>
      </c>
      <c r="D20">
        <v>96</v>
      </c>
      <c r="E20">
        <v>99</v>
      </c>
      <c r="F20">
        <v>92</v>
      </c>
      <c r="G20">
        <v>92</v>
      </c>
      <c r="H20">
        <v>92</v>
      </c>
      <c r="I20">
        <v>92</v>
      </c>
      <c r="J20">
        <v>92</v>
      </c>
      <c r="K20">
        <v>96</v>
      </c>
      <c r="L20">
        <v>96</v>
      </c>
      <c r="M20">
        <v>108</v>
      </c>
      <c r="N20">
        <v>118</v>
      </c>
      <c r="O20">
        <v>142</v>
      </c>
      <c r="P20">
        <v>159</v>
      </c>
      <c r="Q20">
        <v>121</v>
      </c>
      <c r="R20">
        <v>121</v>
      </c>
      <c r="S20">
        <v>117</v>
      </c>
      <c r="T20">
        <v>126</v>
      </c>
      <c r="U20">
        <v>152</v>
      </c>
      <c r="V20">
        <v>143</v>
      </c>
      <c r="W20">
        <v>136</v>
      </c>
      <c r="X20">
        <v>132</v>
      </c>
      <c r="Y20">
        <v>130</v>
      </c>
      <c r="Z20" s="2">
        <f>AVERAGE(Sheet1__3[[#This Row],[00:00:00]:[23:00:00]])</f>
        <v>114.5</v>
      </c>
      <c r="AA20" t="str" cm="1">
        <f t="array" ref="AA20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1" spans="1:27" x14ac:dyDescent="0.3">
      <c r="A21" s="1">
        <v>45736</v>
      </c>
      <c r="B21">
        <v>131</v>
      </c>
      <c r="C21">
        <v>127</v>
      </c>
      <c r="D21">
        <v>122</v>
      </c>
      <c r="E21">
        <v>117</v>
      </c>
      <c r="F21">
        <v>109</v>
      </c>
      <c r="G21">
        <v>104</v>
      </c>
      <c r="H21">
        <v>104</v>
      </c>
      <c r="I21">
        <v>104</v>
      </c>
      <c r="J21">
        <v>104</v>
      </c>
      <c r="K21">
        <v>104</v>
      </c>
      <c r="L21">
        <v>104</v>
      </c>
      <c r="M21">
        <v>110</v>
      </c>
      <c r="N21">
        <v>110</v>
      </c>
      <c r="O21">
        <v>105</v>
      </c>
      <c r="P21">
        <v>105</v>
      </c>
      <c r="Q21">
        <v>105</v>
      </c>
      <c r="R21">
        <v>104</v>
      </c>
      <c r="S21">
        <v>104</v>
      </c>
      <c r="T21">
        <v>104</v>
      </c>
      <c r="U21">
        <v>103</v>
      </c>
      <c r="V21">
        <v>101</v>
      </c>
      <c r="W21">
        <v>99</v>
      </c>
      <c r="X21">
        <v>95</v>
      </c>
      <c r="Y21">
        <v>94</v>
      </c>
      <c r="Z21" s="2">
        <f>AVERAGE(Sheet1__3[[#This Row],[00:00:00]:[23:00:00]])</f>
        <v>107.04166666666667</v>
      </c>
      <c r="AA21" t="str" cm="1">
        <f t="array" ref="AA21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2" spans="1:27" x14ac:dyDescent="0.3">
      <c r="A22" s="1">
        <v>45737</v>
      </c>
      <c r="B22">
        <v>94</v>
      </c>
      <c r="C22">
        <v>93</v>
      </c>
      <c r="D22">
        <v>93</v>
      </c>
      <c r="E22">
        <v>93</v>
      </c>
      <c r="F22">
        <v>93</v>
      </c>
      <c r="G22">
        <v>93</v>
      </c>
      <c r="H22">
        <v>88</v>
      </c>
      <c r="I22">
        <v>88</v>
      </c>
      <c r="J22">
        <v>89</v>
      </c>
      <c r="K22">
        <v>89</v>
      </c>
      <c r="L22">
        <v>89</v>
      </c>
      <c r="M22">
        <v>88</v>
      </c>
      <c r="N22">
        <v>97</v>
      </c>
      <c r="O22">
        <v>113</v>
      </c>
      <c r="P22">
        <v>133</v>
      </c>
      <c r="Q22">
        <v>133</v>
      </c>
      <c r="R22">
        <v>103</v>
      </c>
      <c r="S22">
        <v>105</v>
      </c>
      <c r="T22">
        <v>105</v>
      </c>
      <c r="U22">
        <v>121</v>
      </c>
      <c r="V22">
        <v>121</v>
      </c>
      <c r="W22">
        <v>112</v>
      </c>
      <c r="X22">
        <v>107</v>
      </c>
      <c r="Y22">
        <v>101</v>
      </c>
      <c r="Z22" s="2">
        <f>AVERAGE(Sheet1__3[[#This Row],[00:00:00]:[23:00:00]])</f>
        <v>101.70833333333333</v>
      </c>
      <c r="AA22" t="str" cm="1">
        <f t="array" ref="AA22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3" spans="1:27" x14ac:dyDescent="0.3">
      <c r="A23" s="1">
        <v>45738</v>
      </c>
      <c r="B23">
        <v>100</v>
      </c>
      <c r="C23">
        <v>100</v>
      </c>
      <c r="D23">
        <v>99</v>
      </c>
      <c r="E23">
        <v>97</v>
      </c>
      <c r="F23">
        <v>97</v>
      </c>
      <c r="G23">
        <v>97</v>
      </c>
      <c r="H23">
        <v>97</v>
      </c>
      <c r="I23">
        <v>96</v>
      </c>
      <c r="J23">
        <v>95</v>
      </c>
      <c r="K23">
        <v>96</v>
      </c>
      <c r="L23">
        <v>96</v>
      </c>
      <c r="M23">
        <v>109</v>
      </c>
      <c r="N23">
        <v>126</v>
      </c>
      <c r="O23">
        <v>126</v>
      </c>
      <c r="P23">
        <v>132</v>
      </c>
      <c r="Q23">
        <v>133</v>
      </c>
      <c r="R23">
        <v>145</v>
      </c>
      <c r="S23">
        <v>131</v>
      </c>
      <c r="T23">
        <v>127</v>
      </c>
      <c r="U23">
        <v>129</v>
      </c>
      <c r="V23">
        <v>127</v>
      </c>
      <c r="W23">
        <v>124</v>
      </c>
      <c r="X23">
        <v>123</v>
      </c>
      <c r="Y23">
        <v>118</v>
      </c>
      <c r="Z23" s="2">
        <f>AVERAGE(Sheet1__3[[#This Row],[00:00:00]:[23:00:00]])</f>
        <v>113.33333333333333</v>
      </c>
      <c r="AA23" t="str" cm="1">
        <f t="array" ref="AA23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4" spans="1:27" x14ac:dyDescent="0.3">
      <c r="A24" s="1">
        <v>45739</v>
      </c>
      <c r="B24">
        <v>112</v>
      </c>
      <c r="C24">
        <v>106</v>
      </c>
      <c r="D24">
        <v>112</v>
      </c>
      <c r="E24">
        <v>114</v>
      </c>
      <c r="F24">
        <v>110</v>
      </c>
      <c r="G24">
        <v>113</v>
      </c>
      <c r="H24">
        <v>115</v>
      </c>
      <c r="I24">
        <v>125</v>
      </c>
      <c r="J24">
        <v>126</v>
      </c>
      <c r="K24">
        <v>128</v>
      </c>
      <c r="L24">
        <v>119</v>
      </c>
      <c r="M24">
        <v>126</v>
      </c>
      <c r="N24">
        <v>146</v>
      </c>
      <c r="O24">
        <v>130</v>
      </c>
      <c r="P24">
        <v>127</v>
      </c>
      <c r="Q24">
        <v>126</v>
      </c>
      <c r="R24">
        <v>135</v>
      </c>
      <c r="S24">
        <v>134</v>
      </c>
      <c r="T24">
        <v>132</v>
      </c>
      <c r="U24">
        <v>132</v>
      </c>
      <c r="V24">
        <v>133</v>
      </c>
      <c r="W24">
        <v>127</v>
      </c>
      <c r="X24">
        <v>126</v>
      </c>
      <c r="Y24">
        <v>120</v>
      </c>
      <c r="Z24" s="2">
        <f>AVERAGE(Sheet1__3[[#This Row],[00:00:00]:[23:00:00]])</f>
        <v>123.91666666666667</v>
      </c>
      <c r="AA24" t="str" cm="1">
        <f t="array" ref="AA24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5" spans="1:27" x14ac:dyDescent="0.3">
      <c r="A25" s="1">
        <v>45740</v>
      </c>
      <c r="B25">
        <v>119</v>
      </c>
      <c r="C25">
        <v>113</v>
      </c>
      <c r="D25">
        <v>107</v>
      </c>
      <c r="E25">
        <v>104</v>
      </c>
      <c r="F25">
        <v>100</v>
      </c>
      <c r="G25">
        <v>97</v>
      </c>
      <c r="H25">
        <v>94</v>
      </c>
      <c r="I25">
        <v>92</v>
      </c>
      <c r="J25">
        <v>90</v>
      </c>
      <c r="K25">
        <v>89</v>
      </c>
      <c r="L25">
        <v>89</v>
      </c>
      <c r="N25">
        <v>86</v>
      </c>
      <c r="O25">
        <v>99</v>
      </c>
      <c r="P25">
        <v>105</v>
      </c>
      <c r="Q25">
        <v>106</v>
      </c>
      <c r="R25">
        <v>107</v>
      </c>
      <c r="S25">
        <v>111</v>
      </c>
      <c r="T25">
        <v>111</v>
      </c>
      <c r="U25">
        <v>116</v>
      </c>
      <c r="V25">
        <v>117</v>
      </c>
      <c r="W25">
        <v>117</v>
      </c>
      <c r="X25">
        <v>106</v>
      </c>
      <c r="Y25">
        <v>104</v>
      </c>
      <c r="Z25" s="2">
        <f>AVERAGE(Sheet1__3[[#This Row],[00:00:00]:[23:00:00]])</f>
        <v>103.43478260869566</v>
      </c>
      <c r="AA25" t="str" cm="1">
        <f t="array" ref="AA25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6" spans="1:27" x14ac:dyDescent="0.3">
      <c r="A26" s="1">
        <v>45741</v>
      </c>
      <c r="B26">
        <v>102</v>
      </c>
      <c r="C26">
        <v>100</v>
      </c>
      <c r="D26">
        <v>98</v>
      </c>
      <c r="E26">
        <v>99</v>
      </c>
      <c r="F26">
        <v>99</v>
      </c>
      <c r="H26">
        <v>102</v>
      </c>
      <c r="I26">
        <v>105</v>
      </c>
      <c r="J26">
        <v>107</v>
      </c>
      <c r="K26">
        <v>110</v>
      </c>
      <c r="L26">
        <v>111</v>
      </c>
      <c r="M26">
        <v>112</v>
      </c>
      <c r="N26">
        <v>113</v>
      </c>
      <c r="O26">
        <v>114</v>
      </c>
      <c r="P26">
        <v>114</v>
      </c>
      <c r="Q26">
        <v>114</v>
      </c>
      <c r="R26">
        <v>123</v>
      </c>
      <c r="S26">
        <v>123</v>
      </c>
      <c r="T26">
        <v>124</v>
      </c>
      <c r="U26">
        <v>133</v>
      </c>
      <c r="V26">
        <v>126</v>
      </c>
      <c r="W26">
        <v>126</v>
      </c>
      <c r="X26">
        <v>124</v>
      </c>
      <c r="Y26">
        <v>124</v>
      </c>
      <c r="Z26" s="2">
        <f>AVERAGE(Sheet1__3[[#This Row],[00:00:00]:[23:00:00]])</f>
        <v>113.17391304347827</v>
      </c>
      <c r="AA26" t="str" cm="1">
        <f t="array" ref="AA26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7" spans="1:27" x14ac:dyDescent="0.3">
      <c r="A27" s="1">
        <v>45742</v>
      </c>
      <c r="B27">
        <v>123</v>
      </c>
      <c r="C27">
        <v>124</v>
      </c>
      <c r="D27">
        <v>122</v>
      </c>
      <c r="E27">
        <v>122</v>
      </c>
      <c r="F27">
        <v>113</v>
      </c>
      <c r="G27">
        <v>111</v>
      </c>
      <c r="H27">
        <v>109</v>
      </c>
      <c r="I27">
        <v>107</v>
      </c>
      <c r="J27">
        <v>106</v>
      </c>
      <c r="K27">
        <v>106</v>
      </c>
      <c r="L27">
        <v>105</v>
      </c>
      <c r="M27">
        <v>116</v>
      </c>
      <c r="N27">
        <v>116</v>
      </c>
      <c r="O27">
        <v>116</v>
      </c>
      <c r="P27">
        <v>142</v>
      </c>
      <c r="Q27">
        <v>142</v>
      </c>
      <c r="R27">
        <v>176</v>
      </c>
      <c r="S27">
        <v>166</v>
      </c>
      <c r="T27">
        <v>153</v>
      </c>
      <c r="U27">
        <v>145</v>
      </c>
      <c r="V27">
        <v>146</v>
      </c>
      <c r="W27">
        <v>144</v>
      </c>
      <c r="X27">
        <v>133</v>
      </c>
      <c r="Y27">
        <v>128</v>
      </c>
      <c r="Z27" s="2">
        <f>AVERAGE(Sheet1__3[[#This Row],[00:00:00]:[23:00:00]])</f>
        <v>127.95833333333333</v>
      </c>
      <c r="AA27" t="str" cm="1">
        <f t="array" ref="AA27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8" spans="1:27" x14ac:dyDescent="0.3">
      <c r="A28" s="1">
        <v>45743</v>
      </c>
      <c r="B28">
        <v>122</v>
      </c>
      <c r="C28">
        <v>117</v>
      </c>
      <c r="D28">
        <v>109</v>
      </c>
      <c r="E28">
        <v>105</v>
      </c>
      <c r="F28">
        <v>104</v>
      </c>
      <c r="G28">
        <v>104</v>
      </c>
      <c r="H28">
        <v>103</v>
      </c>
      <c r="I28">
        <v>104</v>
      </c>
      <c r="J28">
        <v>103</v>
      </c>
      <c r="K28">
        <v>103</v>
      </c>
      <c r="L28">
        <v>95</v>
      </c>
      <c r="M28">
        <v>96</v>
      </c>
      <c r="N28">
        <v>96</v>
      </c>
      <c r="O28">
        <v>98</v>
      </c>
      <c r="P28">
        <v>98</v>
      </c>
      <c r="Q28">
        <v>98</v>
      </c>
      <c r="R28">
        <v>109</v>
      </c>
      <c r="S28">
        <v>110</v>
      </c>
      <c r="T28">
        <v>125</v>
      </c>
      <c r="U28">
        <v>124</v>
      </c>
      <c r="V28">
        <v>115</v>
      </c>
      <c r="W28">
        <v>117</v>
      </c>
      <c r="X28">
        <v>117</v>
      </c>
      <c r="Y28">
        <v>116</v>
      </c>
      <c r="Z28" s="2">
        <f>AVERAGE(Sheet1__3[[#This Row],[00:00:00]:[23:00:00]])</f>
        <v>107.83333333333333</v>
      </c>
      <c r="AA28" t="str" cm="1">
        <f t="array" ref="AA28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9" spans="1:27" x14ac:dyDescent="0.3">
      <c r="A29" s="1">
        <v>45744</v>
      </c>
      <c r="B29">
        <v>114</v>
      </c>
      <c r="C29">
        <v>112</v>
      </c>
      <c r="D29">
        <v>109</v>
      </c>
      <c r="E29">
        <v>107</v>
      </c>
      <c r="F29">
        <v>108</v>
      </c>
      <c r="G29">
        <v>108</v>
      </c>
      <c r="H29">
        <v>108</v>
      </c>
      <c r="I29">
        <v>109</v>
      </c>
      <c r="J29">
        <v>109</v>
      </c>
      <c r="K29">
        <v>109</v>
      </c>
      <c r="L29">
        <v>109</v>
      </c>
      <c r="M29">
        <v>109</v>
      </c>
      <c r="N29">
        <v>118</v>
      </c>
      <c r="O29">
        <v>120</v>
      </c>
      <c r="P29">
        <v>130</v>
      </c>
      <c r="Q29">
        <v>138</v>
      </c>
      <c r="R29">
        <v>151</v>
      </c>
      <c r="S29">
        <v>151</v>
      </c>
      <c r="T29">
        <v>131</v>
      </c>
      <c r="U29">
        <v>130</v>
      </c>
      <c r="V29">
        <v>133</v>
      </c>
      <c r="W29">
        <v>130</v>
      </c>
      <c r="X29">
        <v>127</v>
      </c>
      <c r="Y29">
        <v>126</v>
      </c>
      <c r="Z29" s="2">
        <f>AVERAGE(Sheet1__3[[#This Row],[00:00:00]:[23:00:00]])</f>
        <v>120.66666666666667</v>
      </c>
      <c r="AA29" t="str" cm="1">
        <f t="array" ref="AA29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0" spans="1:27" x14ac:dyDescent="0.3">
      <c r="A30" s="1">
        <v>45745</v>
      </c>
      <c r="B30">
        <v>120</v>
      </c>
      <c r="C30">
        <v>116</v>
      </c>
      <c r="D30">
        <v>114</v>
      </c>
      <c r="E30">
        <v>113</v>
      </c>
      <c r="F30">
        <v>112</v>
      </c>
      <c r="G30">
        <v>111</v>
      </c>
      <c r="H30">
        <v>112</v>
      </c>
      <c r="I30">
        <v>112</v>
      </c>
      <c r="J30">
        <v>113</v>
      </c>
      <c r="K30">
        <v>114</v>
      </c>
      <c r="L30">
        <v>115</v>
      </c>
      <c r="M30">
        <v>116</v>
      </c>
      <c r="N30">
        <v>124</v>
      </c>
      <c r="O30">
        <v>127</v>
      </c>
      <c r="P30">
        <v>121</v>
      </c>
      <c r="Q30">
        <v>127</v>
      </c>
      <c r="R30">
        <v>126</v>
      </c>
      <c r="S30">
        <v>128</v>
      </c>
      <c r="T30">
        <v>124</v>
      </c>
      <c r="U30">
        <v>125</v>
      </c>
      <c r="V30">
        <v>148</v>
      </c>
      <c r="W30">
        <v>129</v>
      </c>
      <c r="X30">
        <v>127</v>
      </c>
      <c r="Y30">
        <v>128</v>
      </c>
      <c r="Z30" s="2">
        <f>AVERAGE(Sheet1__3[[#This Row],[00:00:00]:[23:00:00]])</f>
        <v>120.91666666666667</v>
      </c>
      <c r="AA30" t="str" cm="1">
        <f t="array" ref="AA30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1" spans="1:27" x14ac:dyDescent="0.3">
      <c r="A31" s="1">
        <v>45746</v>
      </c>
      <c r="B31">
        <v>123</v>
      </c>
      <c r="C31">
        <v>120</v>
      </c>
      <c r="D31">
        <v>118</v>
      </c>
      <c r="E31">
        <v>117</v>
      </c>
      <c r="F31">
        <v>116</v>
      </c>
      <c r="G31">
        <v>114</v>
      </c>
      <c r="H31">
        <v>112</v>
      </c>
      <c r="I31">
        <v>101</v>
      </c>
      <c r="J31">
        <v>100</v>
      </c>
      <c r="K31">
        <v>100</v>
      </c>
      <c r="L31">
        <v>100</v>
      </c>
      <c r="M31">
        <v>101</v>
      </c>
      <c r="N31">
        <v>111</v>
      </c>
      <c r="O31">
        <v>116</v>
      </c>
      <c r="P31">
        <v>116</v>
      </c>
      <c r="Q31">
        <v>118</v>
      </c>
      <c r="R31">
        <v>118</v>
      </c>
      <c r="S31">
        <v>129</v>
      </c>
      <c r="T31">
        <v>127</v>
      </c>
      <c r="U31">
        <v>134</v>
      </c>
      <c r="V31">
        <v>134</v>
      </c>
      <c r="W31">
        <v>145</v>
      </c>
      <c r="X31">
        <v>126</v>
      </c>
      <c r="Y31">
        <v>130</v>
      </c>
      <c r="Z31" s="2">
        <f>AVERAGE(Sheet1__3[[#This Row],[00:00:00]:[23:00:00]])</f>
        <v>117.75</v>
      </c>
      <c r="AA31" t="str" cm="1">
        <f t="array" ref="AA31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2" spans="1:27" x14ac:dyDescent="0.3">
      <c r="A32" s="1">
        <v>45747</v>
      </c>
      <c r="B32">
        <v>127</v>
      </c>
      <c r="C32">
        <v>126</v>
      </c>
      <c r="D32">
        <v>121</v>
      </c>
      <c r="E32">
        <v>119</v>
      </c>
      <c r="F32">
        <v>115</v>
      </c>
      <c r="G32">
        <v>110</v>
      </c>
      <c r="H32">
        <v>109</v>
      </c>
      <c r="I32">
        <v>108</v>
      </c>
      <c r="J32">
        <v>107</v>
      </c>
      <c r="K32">
        <v>106</v>
      </c>
      <c r="L32">
        <v>105</v>
      </c>
      <c r="M32">
        <v>106</v>
      </c>
      <c r="N32">
        <v>106</v>
      </c>
      <c r="O32">
        <v>157</v>
      </c>
      <c r="P32">
        <v>156</v>
      </c>
      <c r="Q32">
        <v>156</v>
      </c>
      <c r="R32">
        <v>167</v>
      </c>
      <c r="S32">
        <v>137</v>
      </c>
      <c r="T32">
        <v>138</v>
      </c>
      <c r="U32">
        <v>152</v>
      </c>
      <c r="V32">
        <v>150</v>
      </c>
      <c r="W32">
        <v>145</v>
      </c>
      <c r="X32">
        <v>136</v>
      </c>
      <c r="Y32">
        <v>130</v>
      </c>
      <c r="Z32" s="2">
        <f>AVERAGE(Sheet1__3[[#This Row],[00:00:00]:[23:00:00]])</f>
        <v>128.70833333333334</v>
      </c>
      <c r="AA32" t="str" cm="1">
        <f t="array" ref="AA32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3" spans="26:26" x14ac:dyDescent="0.3">
      <c r="Z33" s="2">
        <f>AVERAGE(Sheet1__3[AVERAGE AQI])</f>
        <v>126.79326044455779</v>
      </c>
    </row>
  </sheetData>
  <conditionalFormatting sqref="AA1:AA1048576">
    <cfRule type="containsText" dxfId="32" priority="1" operator="containsText" text="VERY BAD">
      <formula>NOT(ISERROR(SEARCH("VERY BAD",AA1)))</formula>
    </cfRule>
    <cfRule type="containsText" dxfId="31" priority="2" operator="containsText" text="BAD">
      <formula>NOT(ISERROR(SEARCH("BAD",AA1)))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DECF-2DEA-4965-83AC-6BAD0B65B95A}">
  <dimension ref="A1:AA32"/>
  <sheetViews>
    <sheetView topLeftCell="S1" workbookViewId="0">
      <selection activeCell="Z2" sqref="Z2"/>
    </sheetView>
  </sheetViews>
  <sheetFormatPr defaultRowHeight="14.4" x14ac:dyDescent="0.3"/>
  <cols>
    <col min="1" max="25" width="10.33203125" bestFit="1" customWidth="1"/>
    <col min="26" max="26" width="11.21875" bestFit="1" customWidth="1"/>
    <col min="27" max="27" width="15.66406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27</v>
      </c>
      <c r="AA1" t="s">
        <v>25</v>
      </c>
    </row>
    <row r="2" spans="1:27" x14ac:dyDescent="0.3">
      <c r="A2" s="1">
        <v>45748</v>
      </c>
      <c r="B2">
        <v>128</v>
      </c>
      <c r="C2">
        <v>126</v>
      </c>
      <c r="D2">
        <v>124</v>
      </c>
      <c r="E2">
        <v>120</v>
      </c>
      <c r="F2">
        <v>119</v>
      </c>
      <c r="G2">
        <v>117</v>
      </c>
      <c r="H2">
        <v>118</v>
      </c>
      <c r="I2">
        <v>117</v>
      </c>
      <c r="J2">
        <v>118</v>
      </c>
      <c r="K2">
        <v>118</v>
      </c>
      <c r="L2">
        <v>119</v>
      </c>
      <c r="M2">
        <v>120</v>
      </c>
      <c r="N2">
        <v>121</v>
      </c>
      <c r="O2">
        <v>123</v>
      </c>
      <c r="P2">
        <v>131</v>
      </c>
      <c r="Q2">
        <v>156</v>
      </c>
      <c r="R2">
        <v>157</v>
      </c>
      <c r="S2">
        <v>150</v>
      </c>
      <c r="T2">
        <v>145</v>
      </c>
      <c r="U2">
        <v>148</v>
      </c>
      <c r="V2">
        <v>149</v>
      </c>
      <c r="W2">
        <v>153</v>
      </c>
      <c r="X2">
        <v>153</v>
      </c>
      <c r="Y2">
        <v>154</v>
      </c>
      <c r="Z2" s="2">
        <f>AVERAGE(Sheet1__4[[#This Row],[00:00:00]:[23:00:00]])</f>
        <v>132.66666666666666</v>
      </c>
      <c r="AA2" t="str" cm="1">
        <f t="array" ref="AA2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3" spans="1:27" x14ac:dyDescent="0.3">
      <c r="A3" s="1">
        <v>45749</v>
      </c>
      <c r="B3">
        <v>147</v>
      </c>
      <c r="C3">
        <v>146</v>
      </c>
      <c r="D3">
        <v>146</v>
      </c>
      <c r="E3">
        <v>146</v>
      </c>
      <c r="F3">
        <v>146</v>
      </c>
      <c r="G3">
        <v>145</v>
      </c>
      <c r="H3">
        <v>146</v>
      </c>
      <c r="I3">
        <v>145</v>
      </c>
      <c r="J3">
        <v>149</v>
      </c>
      <c r="K3">
        <v>148</v>
      </c>
      <c r="L3">
        <v>147</v>
      </c>
      <c r="M3">
        <v>152</v>
      </c>
      <c r="N3">
        <v>148</v>
      </c>
      <c r="O3">
        <v>147</v>
      </c>
      <c r="P3">
        <v>167</v>
      </c>
      <c r="Q3">
        <v>167</v>
      </c>
      <c r="R3">
        <v>158</v>
      </c>
      <c r="S3">
        <v>156</v>
      </c>
      <c r="T3">
        <v>156</v>
      </c>
      <c r="V3">
        <v>155</v>
      </c>
      <c r="W3">
        <v>152</v>
      </c>
      <c r="X3">
        <v>131</v>
      </c>
      <c r="Y3">
        <v>121</v>
      </c>
      <c r="Z3" s="2">
        <f>AVERAGE(Sheet1__4[[#This Row],[00:00:00]:[23:00:00]])</f>
        <v>148.7391304347826</v>
      </c>
      <c r="AA3" t="str" cm="1">
        <f t="array" ref="AA3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4" spans="1:27" x14ac:dyDescent="0.3">
      <c r="A4" s="1">
        <v>45750</v>
      </c>
      <c r="B4">
        <v>116</v>
      </c>
      <c r="C4">
        <v>110</v>
      </c>
      <c r="D4">
        <v>106</v>
      </c>
      <c r="E4">
        <v>103</v>
      </c>
      <c r="F4">
        <v>103</v>
      </c>
      <c r="G4">
        <v>111</v>
      </c>
      <c r="H4">
        <v>105</v>
      </c>
      <c r="I4">
        <v>99</v>
      </c>
      <c r="J4">
        <v>109</v>
      </c>
      <c r="K4">
        <v>110</v>
      </c>
      <c r="L4">
        <v>110</v>
      </c>
      <c r="M4">
        <v>111</v>
      </c>
      <c r="N4">
        <v>111</v>
      </c>
      <c r="P4">
        <v>122</v>
      </c>
      <c r="Q4">
        <v>118</v>
      </c>
      <c r="R4">
        <v>139</v>
      </c>
      <c r="S4">
        <v>120</v>
      </c>
      <c r="T4">
        <v>120</v>
      </c>
      <c r="U4">
        <v>120</v>
      </c>
      <c r="V4">
        <v>122</v>
      </c>
      <c r="W4">
        <v>121</v>
      </c>
      <c r="X4">
        <v>121</v>
      </c>
      <c r="Y4">
        <v>121</v>
      </c>
      <c r="Z4" s="2">
        <f>AVERAGE(Sheet1__4[[#This Row],[00:00:00]:[23:00:00]])</f>
        <v>114.26086956521739</v>
      </c>
      <c r="AA4" t="str" cm="1">
        <f t="array" ref="AA4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5" spans="1:27" x14ac:dyDescent="0.3">
      <c r="A5" s="1">
        <v>45751</v>
      </c>
      <c r="B5">
        <v>119</v>
      </c>
      <c r="C5">
        <v>119</v>
      </c>
      <c r="D5">
        <v>118</v>
      </c>
      <c r="E5">
        <v>145</v>
      </c>
      <c r="F5">
        <v>145</v>
      </c>
      <c r="G5">
        <v>145</v>
      </c>
      <c r="H5">
        <v>145</v>
      </c>
      <c r="I5">
        <v>146</v>
      </c>
      <c r="J5">
        <v>144</v>
      </c>
      <c r="K5">
        <v>142</v>
      </c>
      <c r="L5">
        <v>138</v>
      </c>
      <c r="M5">
        <v>138</v>
      </c>
      <c r="N5">
        <v>139</v>
      </c>
      <c r="O5">
        <v>139</v>
      </c>
      <c r="P5">
        <v>140</v>
      </c>
      <c r="Q5">
        <v>140</v>
      </c>
      <c r="R5">
        <v>141</v>
      </c>
      <c r="S5">
        <v>141</v>
      </c>
      <c r="T5">
        <v>139</v>
      </c>
      <c r="U5">
        <v>140</v>
      </c>
      <c r="V5">
        <v>140</v>
      </c>
      <c r="W5">
        <v>135</v>
      </c>
      <c r="Y5">
        <v>134</v>
      </c>
      <c r="Z5" s="2">
        <f>AVERAGE(Sheet1__4[[#This Row],[00:00:00]:[23:00:00]])</f>
        <v>137.91304347826087</v>
      </c>
      <c r="AA5" t="str" cm="1">
        <f t="array" ref="AA5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6" spans="1:27" x14ac:dyDescent="0.3">
      <c r="A6" s="1">
        <v>45752</v>
      </c>
      <c r="B6">
        <v>134</v>
      </c>
      <c r="C6">
        <v>134</v>
      </c>
      <c r="D6">
        <v>130</v>
      </c>
      <c r="E6">
        <v>132</v>
      </c>
      <c r="F6">
        <v>133</v>
      </c>
      <c r="G6">
        <v>133</v>
      </c>
      <c r="H6">
        <v>134</v>
      </c>
      <c r="I6">
        <v>141</v>
      </c>
      <c r="J6">
        <v>135</v>
      </c>
      <c r="K6">
        <v>135</v>
      </c>
      <c r="L6">
        <v>136</v>
      </c>
      <c r="M6">
        <v>135</v>
      </c>
      <c r="N6">
        <v>137</v>
      </c>
      <c r="O6">
        <v>138</v>
      </c>
      <c r="P6">
        <v>151</v>
      </c>
      <c r="Q6">
        <v>134</v>
      </c>
      <c r="R6">
        <v>133</v>
      </c>
      <c r="S6">
        <v>142</v>
      </c>
      <c r="T6">
        <v>140</v>
      </c>
      <c r="U6">
        <v>128</v>
      </c>
      <c r="V6">
        <v>125</v>
      </c>
      <c r="W6">
        <v>124</v>
      </c>
      <c r="X6">
        <v>124</v>
      </c>
      <c r="Y6">
        <v>124</v>
      </c>
      <c r="Z6" s="2">
        <f>AVERAGE(Sheet1__4[[#This Row],[00:00:00]:[23:00:00]])</f>
        <v>133.83333333333334</v>
      </c>
      <c r="AA6" t="str" cm="1">
        <f t="array" ref="AA6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7" spans="1:27" x14ac:dyDescent="0.3">
      <c r="A7" s="1">
        <v>45753</v>
      </c>
      <c r="B7">
        <v>124</v>
      </c>
      <c r="C7">
        <v>121</v>
      </c>
      <c r="D7">
        <v>118</v>
      </c>
      <c r="E7">
        <v>116</v>
      </c>
      <c r="F7">
        <v>115</v>
      </c>
      <c r="G7">
        <v>114</v>
      </c>
      <c r="H7">
        <v>112</v>
      </c>
      <c r="I7">
        <v>111</v>
      </c>
      <c r="J7">
        <v>109</v>
      </c>
      <c r="K7">
        <v>107</v>
      </c>
      <c r="L7">
        <v>106</v>
      </c>
      <c r="M7">
        <v>105</v>
      </c>
      <c r="N7">
        <v>122</v>
      </c>
      <c r="O7">
        <v>111</v>
      </c>
      <c r="P7">
        <v>111</v>
      </c>
      <c r="Q7">
        <v>120</v>
      </c>
      <c r="R7">
        <v>120</v>
      </c>
      <c r="S7">
        <v>122</v>
      </c>
      <c r="T7">
        <v>119</v>
      </c>
      <c r="U7">
        <v>131</v>
      </c>
      <c r="V7">
        <v>132</v>
      </c>
      <c r="W7">
        <v>120</v>
      </c>
      <c r="X7">
        <v>115</v>
      </c>
      <c r="Y7">
        <v>115</v>
      </c>
      <c r="Z7" s="2">
        <f>AVERAGE(Sheet1__4[[#This Row],[00:00:00]:[23:00:00]])</f>
        <v>116.5</v>
      </c>
      <c r="AA7" t="str" cm="1">
        <f t="array" ref="AA7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8" spans="1:27" x14ac:dyDescent="0.3">
      <c r="A8" s="1">
        <v>45754</v>
      </c>
      <c r="B8">
        <v>112</v>
      </c>
      <c r="C8">
        <v>109</v>
      </c>
      <c r="D8">
        <v>107</v>
      </c>
      <c r="E8">
        <v>104</v>
      </c>
      <c r="F8">
        <v>100</v>
      </c>
      <c r="G8">
        <v>95</v>
      </c>
      <c r="H8">
        <v>94</v>
      </c>
      <c r="I8">
        <v>99</v>
      </c>
      <c r="J8">
        <v>91</v>
      </c>
      <c r="K8">
        <v>91</v>
      </c>
      <c r="L8">
        <v>90</v>
      </c>
      <c r="M8">
        <v>90</v>
      </c>
      <c r="N8">
        <v>89</v>
      </c>
      <c r="O8">
        <v>99</v>
      </c>
      <c r="P8">
        <v>99</v>
      </c>
      <c r="Q8">
        <v>95</v>
      </c>
      <c r="R8">
        <v>94</v>
      </c>
      <c r="S8">
        <v>94</v>
      </c>
      <c r="T8">
        <v>94</v>
      </c>
      <c r="U8">
        <v>94</v>
      </c>
      <c r="V8">
        <v>96</v>
      </c>
      <c r="W8">
        <v>96</v>
      </c>
      <c r="X8">
        <v>96</v>
      </c>
      <c r="Y8">
        <v>96</v>
      </c>
      <c r="Z8" s="2">
        <f>AVERAGE(Sheet1__4[[#This Row],[00:00:00]:[23:00:00]])</f>
        <v>96.833333333333329</v>
      </c>
      <c r="AA8" t="str" cm="1">
        <f t="array" ref="AA8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9" spans="1:27" x14ac:dyDescent="0.3">
      <c r="A9" s="1">
        <v>45755</v>
      </c>
      <c r="B9">
        <v>96</v>
      </c>
      <c r="C9">
        <v>96</v>
      </c>
      <c r="D9">
        <v>97</v>
      </c>
      <c r="E9">
        <v>107</v>
      </c>
      <c r="F9">
        <v>108</v>
      </c>
      <c r="G9">
        <v>109</v>
      </c>
      <c r="H9">
        <v>110</v>
      </c>
      <c r="I9">
        <v>111</v>
      </c>
      <c r="J9">
        <v>111</v>
      </c>
      <c r="K9">
        <v>114</v>
      </c>
      <c r="L9">
        <v>115</v>
      </c>
      <c r="M9">
        <v>116</v>
      </c>
      <c r="N9">
        <v>118</v>
      </c>
      <c r="O9">
        <v>120</v>
      </c>
      <c r="P9">
        <v>121</v>
      </c>
      <c r="Q9">
        <v>123</v>
      </c>
      <c r="R9">
        <v>124</v>
      </c>
      <c r="S9">
        <v>125</v>
      </c>
      <c r="T9">
        <v>126</v>
      </c>
      <c r="U9">
        <v>126</v>
      </c>
      <c r="V9">
        <v>125</v>
      </c>
      <c r="W9">
        <v>124</v>
      </c>
      <c r="X9">
        <v>124</v>
      </c>
      <c r="Y9">
        <v>124</v>
      </c>
      <c r="Z9" s="2">
        <f>AVERAGE(Sheet1__4[[#This Row],[00:00:00]:[23:00:00]])</f>
        <v>115.41666666666667</v>
      </c>
      <c r="AA9" t="str" cm="1">
        <f t="array" ref="AA9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10" spans="1:27" x14ac:dyDescent="0.3">
      <c r="A10" s="1">
        <v>45756</v>
      </c>
      <c r="B10">
        <v>123</v>
      </c>
      <c r="C10">
        <v>122</v>
      </c>
      <c r="D10">
        <v>121</v>
      </c>
      <c r="E10">
        <v>121</v>
      </c>
      <c r="F10">
        <v>123</v>
      </c>
      <c r="G10">
        <v>123</v>
      </c>
      <c r="H10">
        <v>121</v>
      </c>
      <c r="I10">
        <v>120</v>
      </c>
      <c r="J10">
        <v>118</v>
      </c>
      <c r="K10">
        <v>118</v>
      </c>
      <c r="L10">
        <v>114</v>
      </c>
      <c r="N10">
        <v>112</v>
      </c>
      <c r="O10">
        <v>113</v>
      </c>
      <c r="P10">
        <v>111</v>
      </c>
      <c r="Q10">
        <v>112</v>
      </c>
      <c r="R10">
        <v>112</v>
      </c>
      <c r="S10">
        <v>112</v>
      </c>
      <c r="T10">
        <v>119</v>
      </c>
      <c r="U10">
        <v>122</v>
      </c>
      <c r="V10">
        <v>133</v>
      </c>
      <c r="W10">
        <v>125</v>
      </c>
      <c r="X10">
        <v>121</v>
      </c>
      <c r="Y10">
        <v>118</v>
      </c>
      <c r="Z10" s="2">
        <f>AVERAGE(Sheet1__4[[#This Row],[00:00:00]:[23:00:00]])</f>
        <v>118.8695652173913</v>
      </c>
      <c r="AA10" t="str" cm="1">
        <f t="array" ref="AA10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11" spans="1:27" x14ac:dyDescent="0.3">
      <c r="A11" s="1">
        <v>45757</v>
      </c>
      <c r="B11">
        <v>118</v>
      </c>
      <c r="C11">
        <v>117</v>
      </c>
      <c r="D11">
        <v>115</v>
      </c>
      <c r="E11">
        <v>115</v>
      </c>
      <c r="F11">
        <v>114</v>
      </c>
      <c r="G11">
        <v>113</v>
      </c>
      <c r="H11">
        <v>112</v>
      </c>
      <c r="I11">
        <v>111</v>
      </c>
      <c r="J11">
        <v>111</v>
      </c>
      <c r="K11">
        <v>111</v>
      </c>
      <c r="L11">
        <v>111</v>
      </c>
      <c r="M11">
        <v>111</v>
      </c>
      <c r="N11">
        <v>110</v>
      </c>
      <c r="O11">
        <v>110</v>
      </c>
      <c r="P11">
        <v>110</v>
      </c>
      <c r="Q11">
        <v>111</v>
      </c>
      <c r="R11">
        <v>110</v>
      </c>
      <c r="S11">
        <v>134</v>
      </c>
      <c r="T11">
        <v>122</v>
      </c>
      <c r="U11">
        <v>114</v>
      </c>
      <c r="V11">
        <v>114</v>
      </c>
      <c r="W11">
        <v>115</v>
      </c>
      <c r="X11">
        <v>115</v>
      </c>
      <c r="Y11">
        <v>113</v>
      </c>
      <c r="Z11" s="2">
        <f>AVERAGE(Sheet1__4[[#This Row],[00:00:00]:[23:00:00]])</f>
        <v>114.04166666666667</v>
      </c>
      <c r="AA11" t="str" cm="1">
        <f t="array" ref="AA11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12" spans="1:27" x14ac:dyDescent="0.3">
      <c r="A12" s="1">
        <v>45758</v>
      </c>
      <c r="B12">
        <v>111</v>
      </c>
      <c r="C12">
        <v>109</v>
      </c>
      <c r="D12">
        <v>108</v>
      </c>
      <c r="E12">
        <v>107</v>
      </c>
      <c r="G12">
        <v>107</v>
      </c>
      <c r="H12">
        <v>108</v>
      </c>
      <c r="I12">
        <v>107</v>
      </c>
      <c r="J12">
        <v>108</v>
      </c>
      <c r="K12">
        <v>108</v>
      </c>
      <c r="L12">
        <v>107</v>
      </c>
      <c r="M12">
        <v>116</v>
      </c>
      <c r="N12">
        <v>116</v>
      </c>
      <c r="O12">
        <v>117</v>
      </c>
      <c r="P12">
        <v>119</v>
      </c>
      <c r="Q12">
        <v>118</v>
      </c>
      <c r="R12">
        <v>121</v>
      </c>
      <c r="S12">
        <v>120</v>
      </c>
      <c r="T12">
        <v>125</v>
      </c>
      <c r="U12">
        <v>126</v>
      </c>
      <c r="V12">
        <v>125</v>
      </c>
      <c r="W12">
        <v>123</v>
      </c>
      <c r="X12">
        <v>121</v>
      </c>
      <c r="Y12">
        <v>119</v>
      </c>
      <c r="Z12" s="2">
        <f>AVERAGE(Sheet1__4[[#This Row],[00:00:00]:[23:00:00]])</f>
        <v>115.04347826086956</v>
      </c>
      <c r="AA12" t="str" cm="1">
        <f t="array" ref="AA12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13" spans="1:27" x14ac:dyDescent="0.3">
      <c r="A13" s="1">
        <v>45759</v>
      </c>
      <c r="B13">
        <v>117</v>
      </c>
      <c r="C13">
        <v>116</v>
      </c>
      <c r="D13">
        <v>114</v>
      </c>
      <c r="E13">
        <v>112</v>
      </c>
      <c r="F13">
        <v>112</v>
      </c>
      <c r="G13">
        <v>112</v>
      </c>
      <c r="H13">
        <v>104</v>
      </c>
      <c r="I13">
        <v>104</v>
      </c>
      <c r="J13">
        <v>104</v>
      </c>
      <c r="K13">
        <v>103</v>
      </c>
      <c r="L13">
        <v>103</v>
      </c>
      <c r="M13">
        <v>103</v>
      </c>
      <c r="N13">
        <v>102</v>
      </c>
      <c r="O13">
        <v>100</v>
      </c>
      <c r="P13">
        <v>99</v>
      </c>
      <c r="Q13">
        <v>99</v>
      </c>
      <c r="R13">
        <v>99</v>
      </c>
      <c r="S13">
        <v>99</v>
      </c>
      <c r="T13">
        <v>99</v>
      </c>
      <c r="U13">
        <v>99</v>
      </c>
      <c r="V13">
        <v>97</v>
      </c>
      <c r="W13">
        <v>95</v>
      </c>
      <c r="X13">
        <v>93</v>
      </c>
      <c r="Y13">
        <v>90</v>
      </c>
      <c r="Z13" s="2">
        <f>AVERAGE(Sheet1__4[[#This Row],[00:00:00]:[23:00:00]])</f>
        <v>103.125</v>
      </c>
      <c r="AA13" t="str" cm="1">
        <f t="array" ref="AA13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14" spans="1:27" x14ac:dyDescent="0.3">
      <c r="A14" s="1">
        <v>45760</v>
      </c>
      <c r="B14">
        <v>87</v>
      </c>
      <c r="C14">
        <v>85</v>
      </c>
      <c r="D14">
        <v>84</v>
      </c>
      <c r="E14">
        <v>82</v>
      </c>
      <c r="F14">
        <v>81</v>
      </c>
      <c r="G14">
        <v>79</v>
      </c>
      <c r="H14">
        <v>78</v>
      </c>
      <c r="I14">
        <v>76</v>
      </c>
      <c r="J14">
        <v>76</v>
      </c>
      <c r="K14">
        <v>77</v>
      </c>
      <c r="L14">
        <v>78</v>
      </c>
      <c r="M14">
        <v>78</v>
      </c>
      <c r="N14">
        <v>80</v>
      </c>
      <c r="O14">
        <v>96</v>
      </c>
      <c r="P14">
        <v>96</v>
      </c>
      <c r="Q14">
        <v>88</v>
      </c>
      <c r="R14">
        <v>90</v>
      </c>
      <c r="S14">
        <v>93</v>
      </c>
      <c r="T14">
        <v>94</v>
      </c>
      <c r="U14">
        <v>95</v>
      </c>
      <c r="V14">
        <v>95</v>
      </c>
      <c r="W14">
        <v>95</v>
      </c>
      <c r="X14">
        <v>91</v>
      </c>
      <c r="Y14">
        <v>91</v>
      </c>
      <c r="Z14" s="2">
        <f>AVERAGE(Sheet1__4[[#This Row],[00:00:00]:[23:00:00]])</f>
        <v>86.041666666666671</v>
      </c>
      <c r="AA14" t="str" cm="1">
        <f t="array" ref="AA14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5" spans="1:27" x14ac:dyDescent="0.3">
      <c r="A15" s="1">
        <v>45761</v>
      </c>
      <c r="B15">
        <v>89</v>
      </c>
      <c r="C15">
        <v>89</v>
      </c>
      <c r="D15">
        <v>90</v>
      </c>
      <c r="E15">
        <v>89</v>
      </c>
      <c r="F15">
        <v>89</v>
      </c>
      <c r="G15">
        <v>89</v>
      </c>
      <c r="H15">
        <v>89</v>
      </c>
      <c r="I15">
        <v>96</v>
      </c>
      <c r="J15">
        <v>90</v>
      </c>
      <c r="K15">
        <v>91</v>
      </c>
      <c r="L15">
        <v>91</v>
      </c>
      <c r="M15">
        <v>92</v>
      </c>
      <c r="N15">
        <v>92</v>
      </c>
      <c r="O15">
        <v>97</v>
      </c>
      <c r="P15">
        <v>98</v>
      </c>
      <c r="Q15">
        <v>99</v>
      </c>
      <c r="R15">
        <v>99</v>
      </c>
      <c r="S15">
        <v>106</v>
      </c>
      <c r="T15">
        <v>114</v>
      </c>
      <c r="U15">
        <v>111</v>
      </c>
      <c r="V15">
        <v>108</v>
      </c>
      <c r="W15">
        <v>108</v>
      </c>
      <c r="X15">
        <v>107</v>
      </c>
      <c r="Y15">
        <v>105</v>
      </c>
      <c r="Z15" s="2">
        <f>AVERAGE(Sheet1__4[[#This Row],[00:00:00]:[23:00:00]])</f>
        <v>97</v>
      </c>
      <c r="AA15" t="str" cm="1">
        <f t="array" ref="AA15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6" spans="1:27" x14ac:dyDescent="0.3">
      <c r="A16" s="1">
        <v>45762</v>
      </c>
      <c r="B16">
        <v>103</v>
      </c>
      <c r="C16">
        <v>101</v>
      </c>
      <c r="D16">
        <v>99</v>
      </c>
      <c r="E16">
        <v>95</v>
      </c>
      <c r="F16">
        <v>92</v>
      </c>
      <c r="G16">
        <v>91</v>
      </c>
      <c r="H16">
        <v>90</v>
      </c>
      <c r="I16">
        <v>90</v>
      </c>
      <c r="J16">
        <v>90</v>
      </c>
      <c r="K16">
        <v>90</v>
      </c>
      <c r="L16">
        <v>91</v>
      </c>
      <c r="M16">
        <v>92</v>
      </c>
      <c r="N16">
        <v>92</v>
      </c>
      <c r="O16">
        <v>93</v>
      </c>
      <c r="P16">
        <v>96</v>
      </c>
      <c r="Q16">
        <v>97</v>
      </c>
      <c r="R16">
        <v>115</v>
      </c>
      <c r="S16">
        <v>122</v>
      </c>
      <c r="T16">
        <v>122</v>
      </c>
      <c r="U16">
        <v>128</v>
      </c>
      <c r="V16">
        <v>122</v>
      </c>
      <c r="W16">
        <v>122</v>
      </c>
      <c r="X16">
        <v>130</v>
      </c>
      <c r="Y16">
        <v>128</v>
      </c>
      <c r="Z16" s="2">
        <f>AVERAGE(Sheet1__4[[#This Row],[00:00:00]:[23:00:00]])</f>
        <v>103.79166666666667</v>
      </c>
      <c r="AA16" t="str" cm="1">
        <f t="array" ref="AA16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17" spans="1:27" x14ac:dyDescent="0.3">
      <c r="A17" s="1">
        <v>45763</v>
      </c>
      <c r="B17">
        <v>126</v>
      </c>
      <c r="C17">
        <v>121</v>
      </c>
      <c r="D17">
        <v>116</v>
      </c>
      <c r="E17">
        <v>113</v>
      </c>
      <c r="F17">
        <v>110</v>
      </c>
      <c r="G17">
        <v>111</v>
      </c>
      <c r="H17">
        <v>112</v>
      </c>
      <c r="I17">
        <v>101</v>
      </c>
      <c r="J17">
        <v>103</v>
      </c>
      <c r="K17">
        <v>103</v>
      </c>
      <c r="L17">
        <v>104</v>
      </c>
      <c r="M17">
        <v>115</v>
      </c>
      <c r="N17">
        <v>117</v>
      </c>
      <c r="O17">
        <v>107</v>
      </c>
      <c r="P17">
        <v>108</v>
      </c>
      <c r="Q17">
        <v>108</v>
      </c>
      <c r="R17">
        <v>108</v>
      </c>
      <c r="S17">
        <v>131</v>
      </c>
      <c r="T17">
        <v>143</v>
      </c>
      <c r="U17">
        <v>125</v>
      </c>
      <c r="V17">
        <v>121</v>
      </c>
      <c r="W17">
        <v>118</v>
      </c>
      <c r="X17">
        <v>115</v>
      </c>
      <c r="Y17">
        <v>113</v>
      </c>
      <c r="Z17" s="2">
        <f>AVERAGE(Sheet1__4[[#This Row],[00:00:00]:[23:00:00]])</f>
        <v>114.54166666666667</v>
      </c>
      <c r="AA17" t="str" cm="1">
        <f t="array" ref="AA17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18" spans="1:27" x14ac:dyDescent="0.3">
      <c r="A18" s="1">
        <v>45764</v>
      </c>
      <c r="B18">
        <v>110</v>
      </c>
      <c r="C18">
        <v>109</v>
      </c>
      <c r="D18">
        <v>103</v>
      </c>
      <c r="E18">
        <v>101</v>
      </c>
      <c r="F18">
        <v>104</v>
      </c>
      <c r="G18">
        <v>103</v>
      </c>
      <c r="H18">
        <v>103</v>
      </c>
      <c r="I18">
        <v>102</v>
      </c>
      <c r="J18">
        <v>101</v>
      </c>
      <c r="K18">
        <v>99</v>
      </c>
      <c r="L18">
        <v>98</v>
      </c>
      <c r="M18">
        <v>97</v>
      </c>
      <c r="N18">
        <v>96</v>
      </c>
      <c r="O18">
        <v>96</v>
      </c>
      <c r="P18">
        <v>97</v>
      </c>
      <c r="Q18">
        <v>99</v>
      </c>
      <c r="R18">
        <v>98</v>
      </c>
      <c r="S18">
        <v>102</v>
      </c>
      <c r="T18">
        <v>127</v>
      </c>
      <c r="U18">
        <v>128</v>
      </c>
      <c r="V18">
        <v>117</v>
      </c>
      <c r="W18">
        <v>117</v>
      </c>
      <c r="X18">
        <v>115</v>
      </c>
      <c r="Y18">
        <v>113</v>
      </c>
      <c r="Z18" s="2">
        <f>AVERAGE(Sheet1__4[[#This Row],[00:00:00]:[23:00:00]])</f>
        <v>105.625</v>
      </c>
      <c r="AA18" t="str" cm="1">
        <f t="array" ref="AA18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19" spans="1:27" x14ac:dyDescent="0.3">
      <c r="A19" s="1">
        <v>45765</v>
      </c>
      <c r="B19">
        <v>110</v>
      </c>
      <c r="C19">
        <v>108</v>
      </c>
      <c r="D19">
        <v>104</v>
      </c>
      <c r="E19">
        <v>101</v>
      </c>
      <c r="F19">
        <v>100</v>
      </c>
      <c r="G19">
        <v>101</v>
      </c>
      <c r="H19">
        <v>101</v>
      </c>
      <c r="I19">
        <v>101</v>
      </c>
      <c r="J19">
        <v>108</v>
      </c>
      <c r="K19">
        <v>108</v>
      </c>
      <c r="L19">
        <v>108</v>
      </c>
      <c r="M19">
        <v>111</v>
      </c>
      <c r="N19">
        <v>114</v>
      </c>
      <c r="O19">
        <v>118</v>
      </c>
      <c r="P19">
        <v>126</v>
      </c>
      <c r="Q19">
        <v>118</v>
      </c>
      <c r="R19">
        <v>127</v>
      </c>
      <c r="S19">
        <v>126</v>
      </c>
      <c r="T19">
        <v>127</v>
      </c>
      <c r="U19">
        <v>129</v>
      </c>
      <c r="V19">
        <v>128</v>
      </c>
      <c r="W19">
        <v>120</v>
      </c>
      <c r="X19">
        <v>116</v>
      </c>
      <c r="Y19">
        <v>113</v>
      </c>
      <c r="Z19" s="2">
        <f>AVERAGE(Sheet1__4[[#This Row],[00:00:00]:[23:00:00]])</f>
        <v>113.45833333333333</v>
      </c>
      <c r="AA19" t="str" cm="1">
        <f t="array" ref="AA19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0" spans="1:27" x14ac:dyDescent="0.3">
      <c r="A20" s="1">
        <v>45766</v>
      </c>
      <c r="B20">
        <v>111</v>
      </c>
      <c r="C20">
        <v>108</v>
      </c>
      <c r="D20">
        <v>105</v>
      </c>
      <c r="E20">
        <v>103</v>
      </c>
      <c r="F20">
        <v>103</v>
      </c>
      <c r="G20">
        <v>101</v>
      </c>
      <c r="H20">
        <v>99</v>
      </c>
      <c r="I20">
        <v>99</v>
      </c>
      <c r="J20">
        <v>99</v>
      </c>
      <c r="K20">
        <v>99</v>
      </c>
      <c r="L20">
        <v>99</v>
      </c>
      <c r="M20">
        <v>100</v>
      </c>
      <c r="N20">
        <v>100</v>
      </c>
      <c r="O20">
        <v>102</v>
      </c>
      <c r="P20">
        <v>96</v>
      </c>
      <c r="Q20">
        <v>96</v>
      </c>
      <c r="R20">
        <v>98</v>
      </c>
      <c r="S20">
        <v>102</v>
      </c>
      <c r="T20">
        <v>111</v>
      </c>
      <c r="U20">
        <v>111</v>
      </c>
      <c r="V20">
        <v>114</v>
      </c>
      <c r="W20">
        <v>110</v>
      </c>
      <c r="X20">
        <v>110</v>
      </c>
      <c r="Y20">
        <v>108</v>
      </c>
      <c r="Z20" s="2">
        <f>AVERAGE(Sheet1__4[[#This Row],[00:00:00]:[23:00:00]])</f>
        <v>103.5</v>
      </c>
      <c r="AA20" t="str" cm="1">
        <f t="array" ref="AA20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1" spans="1:27" x14ac:dyDescent="0.3">
      <c r="A21" s="1">
        <v>45767</v>
      </c>
      <c r="B21">
        <v>107</v>
      </c>
      <c r="C21">
        <v>105</v>
      </c>
      <c r="D21">
        <v>102</v>
      </c>
      <c r="E21">
        <v>98</v>
      </c>
      <c r="F21">
        <v>100</v>
      </c>
      <c r="G21">
        <v>99</v>
      </c>
      <c r="H21">
        <v>99</v>
      </c>
      <c r="I21">
        <v>100</v>
      </c>
      <c r="J21">
        <v>100</v>
      </c>
      <c r="K21">
        <v>101</v>
      </c>
      <c r="L21">
        <v>101</v>
      </c>
      <c r="M21">
        <v>102</v>
      </c>
      <c r="N21">
        <v>103</v>
      </c>
      <c r="O21">
        <v>104</v>
      </c>
      <c r="P21">
        <v>105</v>
      </c>
      <c r="Q21">
        <v>107</v>
      </c>
      <c r="R21">
        <v>116</v>
      </c>
      <c r="S21">
        <v>121</v>
      </c>
      <c r="T21">
        <v>159</v>
      </c>
      <c r="U21">
        <v>141</v>
      </c>
      <c r="V21">
        <v>132</v>
      </c>
      <c r="W21">
        <v>124</v>
      </c>
      <c r="X21">
        <v>124</v>
      </c>
      <c r="Y21">
        <v>122</v>
      </c>
      <c r="Z21" s="2">
        <f>AVERAGE(Sheet1__4[[#This Row],[00:00:00]:[23:00:00]])</f>
        <v>111.33333333333333</v>
      </c>
      <c r="AA21" t="str" cm="1">
        <f t="array" ref="AA21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2" spans="1:27" x14ac:dyDescent="0.3">
      <c r="A22" s="1">
        <v>45768</v>
      </c>
      <c r="B22">
        <v>121</v>
      </c>
      <c r="C22">
        <v>118</v>
      </c>
      <c r="D22">
        <v>116</v>
      </c>
      <c r="E22">
        <v>115</v>
      </c>
      <c r="F22">
        <v>116</v>
      </c>
      <c r="G22">
        <v>117</v>
      </c>
      <c r="H22">
        <v>117</v>
      </c>
      <c r="I22">
        <v>118</v>
      </c>
      <c r="J22">
        <v>118</v>
      </c>
      <c r="K22">
        <v>119</v>
      </c>
      <c r="L22">
        <v>119</v>
      </c>
      <c r="M22">
        <v>119</v>
      </c>
      <c r="N22">
        <v>119</v>
      </c>
      <c r="O22">
        <v>119</v>
      </c>
      <c r="P22">
        <v>139</v>
      </c>
      <c r="Q22">
        <v>129</v>
      </c>
      <c r="R22">
        <v>122</v>
      </c>
      <c r="S22">
        <v>128</v>
      </c>
      <c r="T22">
        <v>136</v>
      </c>
      <c r="U22">
        <v>134</v>
      </c>
      <c r="V22">
        <v>133</v>
      </c>
      <c r="W22">
        <v>129</v>
      </c>
      <c r="X22">
        <v>128</v>
      </c>
      <c r="Y22">
        <v>126</v>
      </c>
      <c r="Z22" s="2">
        <f>AVERAGE(Sheet1__4[[#This Row],[00:00:00]:[23:00:00]])</f>
        <v>123.125</v>
      </c>
      <c r="AA22" t="str" cm="1">
        <f t="array" ref="AA22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3" spans="1:27" x14ac:dyDescent="0.3">
      <c r="A23" s="1">
        <v>45769</v>
      </c>
      <c r="B23">
        <v>125</v>
      </c>
      <c r="C23">
        <v>124</v>
      </c>
      <c r="D23">
        <v>122</v>
      </c>
      <c r="E23">
        <v>121</v>
      </c>
      <c r="F23">
        <v>120</v>
      </c>
      <c r="G23">
        <v>120</v>
      </c>
      <c r="H23">
        <v>120</v>
      </c>
      <c r="I23">
        <v>120</v>
      </c>
      <c r="J23">
        <v>120</v>
      </c>
      <c r="K23">
        <v>120</v>
      </c>
      <c r="L23">
        <v>118</v>
      </c>
      <c r="M23">
        <v>125</v>
      </c>
      <c r="N23">
        <v>154</v>
      </c>
      <c r="O23">
        <v>138</v>
      </c>
      <c r="P23">
        <v>146</v>
      </c>
      <c r="Q23">
        <v>147</v>
      </c>
      <c r="R23">
        <v>149</v>
      </c>
      <c r="S23">
        <v>153</v>
      </c>
      <c r="T23">
        <v>170</v>
      </c>
      <c r="U23">
        <v>176</v>
      </c>
      <c r="V23">
        <v>161</v>
      </c>
      <c r="W23">
        <v>156</v>
      </c>
      <c r="X23">
        <v>154</v>
      </c>
      <c r="Y23">
        <v>155</v>
      </c>
      <c r="Z23" s="2">
        <f>AVERAGE(Sheet1__4[[#This Row],[00:00:00]:[23:00:00]])</f>
        <v>138.08333333333334</v>
      </c>
      <c r="AA23" t="str" cm="1">
        <f t="array" ref="AA23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4" spans="1:27" x14ac:dyDescent="0.3">
      <c r="A24" s="1">
        <v>45770</v>
      </c>
      <c r="B24">
        <v>148</v>
      </c>
      <c r="C24">
        <v>145</v>
      </c>
      <c r="D24">
        <v>145</v>
      </c>
      <c r="G24">
        <v>134</v>
      </c>
      <c r="H24">
        <v>135</v>
      </c>
      <c r="I24">
        <v>136</v>
      </c>
      <c r="J24">
        <v>136</v>
      </c>
      <c r="K24">
        <v>136</v>
      </c>
      <c r="L24">
        <v>136</v>
      </c>
      <c r="M24">
        <v>136</v>
      </c>
      <c r="N24">
        <v>158</v>
      </c>
      <c r="O24">
        <v>183</v>
      </c>
      <c r="P24">
        <v>159</v>
      </c>
      <c r="Q24">
        <v>159</v>
      </c>
      <c r="R24">
        <v>164</v>
      </c>
      <c r="S24">
        <v>164</v>
      </c>
      <c r="T24">
        <v>157</v>
      </c>
      <c r="U24">
        <v>165</v>
      </c>
      <c r="V24">
        <v>163</v>
      </c>
      <c r="W24">
        <v>155</v>
      </c>
      <c r="X24">
        <v>152</v>
      </c>
      <c r="Y24">
        <v>159</v>
      </c>
      <c r="Z24" s="2">
        <f>AVERAGE(Sheet1__4[[#This Row],[00:00:00]:[23:00:00]])</f>
        <v>151.13636363636363</v>
      </c>
      <c r="AA24" t="str" cm="1">
        <f t="array" ref="AA24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VERY BAD</v>
      </c>
    </row>
    <row r="25" spans="1:27" x14ac:dyDescent="0.3">
      <c r="A25" s="1">
        <v>45771</v>
      </c>
      <c r="B25">
        <v>159</v>
      </c>
      <c r="C25">
        <v>160</v>
      </c>
      <c r="D25">
        <v>155</v>
      </c>
      <c r="E25">
        <v>148</v>
      </c>
      <c r="F25">
        <v>146</v>
      </c>
      <c r="G25">
        <v>132</v>
      </c>
      <c r="H25">
        <v>130</v>
      </c>
      <c r="I25">
        <v>129</v>
      </c>
      <c r="J25">
        <v>126</v>
      </c>
      <c r="K25">
        <v>124</v>
      </c>
      <c r="L25">
        <v>122</v>
      </c>
      <c r="M25">
        <v>120</v>
      </c>
      <c r="N25">
        <v>118</v>
      </c>
      <c r="O25">
        <v>116</v>
      </c>
      <c r="P25">
        <v>115</v>
      </c>
      <c r="Q25">
        <v>113</v>
      </c>
      <c r="R25">
        <v>118</v>
      </c>
      <c r="S25">
        <v>120</v>
      </c>
      <c r="U25">
        <v>110</v>
      </c>
      <c r="V25">
        <v>111</v>
      </c>
      <c r="W25">
        <v>109</v>
      </c>
      <c r="X25">
        <v>116</v>
      </c>
      <c r="Y25">
        <v>108</v>
      </c>
      <c r="Z25" s="2">
        <f>AVERAGE(Sheet1__4[[#This Row],[00:00:00]:[23:00:00]])</f>
        <v>126.30434782608695</v>
      </c>
      <c r="AA25" t="str" cm="1">
        <f t="array" ref="AA25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6" spans="1:27" x14ac:dyDescent="0.3">
      <c r="A26" s="1">
        <v>45772</v>
      </c>
      <c r="B26">
        <v>106</v>
      </c>
      <c r="C26">
        <v>98</v>
      </c>
      <c r="D26">
        <v>95</v>
      </c>
      <c r="E26">
        <v>94</v>
      </c>
      <c r="F26">
        <v>93</v>
      </c>
      <c r="G26">
        <v>92</v>
      </c>
      <c r="H26">
        <v>92</v>
      </c>
      <c r="I26">
        <v>91</v>
      </c>
      <c r="J26">
        <v>91</v>
      </c>
      <c r="K26">
        <v>91</v>
      </c>
      <c r="L26">
        <v>90</v>
      </c>
      <c r="M26">
        <v>90</v>
      </c>
      <c r="N26">
        <v>90</v>
      </c>
      <c r="O26">
        <v>91</v>
      </c>
      <c r="P26">
        <v>91</v>
      </c>
      <c r="Q26">
        <v>101</v>
      </c>
      <c r="R26">
        <v>104</v>
      </c>
      <c r="S26">
        <v>107</v>
      </c>
      <c r="T26">
        <v>120</v>
      </c>
      <c r="U26">
        <v>124</v>
      </c>
      <c r="V26">
        <v>112</v>
      </c>
      <c r="W26">
        <v>111</v>
      </c>
      <c r="X26">
        <v>108</v>
      </c>
      <c r="Y26">
        <v>106</v>
      </c>
      <c r="Z26" s="2">
        <f>AVERAGE(Sheet1__4[[#This Row],[00:00:00]:[23:00:00]])</f>
        <v>99.5</v>
      </c>
      <c r="AA26" t="str" cm="1">
        <f t="array" ref="AA26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27" spans="1:27" x14ac:dyDescent="0.3">
      <c r="A27" s="1">
        <v>45773</v>
      </c>
      <c r="B27">
        <v>103</v>
      </c>
      <c r="C27">
        <v>99</v>
      </c>
      <c r="D27">
        <v>96</v>
      </c>
      <c r="E27">
        <v>92</v>
      </c>
      <c r="F27">
        <v>91</v>
      </c>
      <c r="G27">
        <v>90</v>
      </c>
      <c r="H27">
        <v>91</v>
      </c>
      <c r="I27">
        <v>92</v>
      </c>
      <c r="J27">
        <v>92</v>
      </c>
      <c r="K27">
        <v>93</v>
      </c>
      <c r="L27">
        <v>93</v>
      </c>
      <c r="M27">
        <v>94</v>
      </c>
      <c r="N27">
        <v>94</v>
      </c>
      <c r="O27">
        <v>98</v>
      </c>
      <c r="P27">
        <v>98</v>
      </c>
      <c r="Q27">
        <v>108</v>
      </c>
      <c r="R27">
        <v>120</v>
      </c>
      <c r="S27">
        <v>116</v>
      </c>
      <c r="T27">
        <v>128</v>
      </c>
      <c r="U27">
        <v>131</v>
      </c>
      <c r="V27">
        <v>119</v>
      </c>
      <c r="W27">
        <v>116</v>
      </c>
      <c r="X27">
        <v>112</v>
      </c>
      <c r="Y27">
        <v>108</v>
      </c>
      <c r="Z27" s="2">
        <f>AVERAGE(Sheet1__4[[#This Row],[00:00:00]:[23:00:00]])</f>
        <v>103.08333333333333</v>
      </c>
      <c r="AA27" t="str" cm="1">
        <f t="array" ref="AA27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8" spans="1:27" x14ac:dyDescent="0.3">
      <c r="A28" s="1">
        <v>45774</v>
      </c>
      <c r="B28">
        <v>103</v>
      </c>
      <c r="C28">
        <v>102</v>
      </c>
      <c r="D28">
        <v>94</v>
      </c>
      <c r="E28">
        <v>91</v>
      </c>
      <c r="F28">
        <v>91</v>
      </c>
      <c r="G28">
        <v>91</v>
      </c>
      <c r="H28">
        <v>91</v>
      </c>
      <c r="I28">
        <v>91</v>
      </c>
      <c r="J28">
        <v>90</v>
      </c>
      <c r="K28">
        <v>90</v>
      </c>
      <c r="L28">
        <v>90</v>
      </c>
      <c r="M28">
        <v>90</v>
      </c>
      <c r="N28">
        <v>90</v>
      </c>
      <c r="O28">
        <v>92</v>
      </c>
      <c r="P28">
        <v>93</v>
      </c>
      <c r="Q28">
        <v>95</v>
      </c>
      <c r="R28">
        <v>104</v>
      </c>
      <c r="S28">
        <v>111</v>
      </c>
      <c r="T28">
        <v>125</v>
      </c>
      <c r="U28">
        <v>158</v>
      </c>
      <c r="V28">
        <v>125</v>
      </c>
      <c r="W28">
        <v>116</v>
      </c>
      <c r="X28">
        <v>114</v>
      </c>
      <c r="Y28">
        <v>112</v>
      </c>
      <c r="Z28" s="2">
        <f>AVERAGE(Sheet1__4[[#This Row],[00:00:00]:[23:00:00]])</f>
        <v>102.04166666666667</v>
      </c>
      <c r="AA28" t="str" cm="1">
        <f t="array" ref="AA28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9" spans="1:27" x14ac:dyDescent="0.3">
      <c r="A29" s="1">
        <v>45775</v>
      </c>
      <c r="B29">
        <v>109</v>
      </c>
      <c r="C29">
        <v>106</v>
      </c>
      <c r="D29">
        <v>101</v>
      </c>
      <c r="E29">
        <v>96</v>
      </c>
      <c r="F29">
        <v>97</v>
      </c>
      <c r="G29">
        <v>95</v>
      </c>
      <c r="H29">
        <v>98</v>
      </c>
      <c r="I29">
        <v>98</v>
      </c>
      <c r="J29">
        <v>98</v>
      </c>
      <c r="K29">
        <v>98</v>
      </c>
      <c r="L29">
        <v>98</v>
      </c>
      <c r="M29">
        <v>98</v>
      </c>
      <c r="N29">
        <v>99</v>
      </c>
      <c r="O29">
        <v>98</v>
      </c>
      <c r="P29">
        <v>107</v>
      </c>
      <c r="Q29">
        <v>109</v>
      </c>
      <c r="R29">
        <v>101</v>
      </c>
      <c r="S29">
        <v>101</v>
      </c>
      <c r="T29">
        <v>115</v>
      </c>
      <c r="U29">
        <v>113</v>
      </c>
      <c r="V29">
        <v>113</v>
      </c>
      <c r="W29">
        <v>113</v>
      </c>
      <c r="X29">
        <v>112</v>
      </c>
      <c r="Y29">
        <v>113</v>
      </c>
      <c r="Z29" s="2">
        <f>AVERAGE(Sheet1__4[[#This Row],[00:00:00]:[23:00:00]])</f>
        <v>103.58333333333333</v>
      </c>
      <c r="AA29" t="str" cm="1">
        <f t="array" ref="AA29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30" spans="1:27" x14ac:dyDescent="0.3">
      <c r="A30" s="1">
        <v>45776</v>
      </c>
      <c r="B30">
        <v>115</v>
      </c>
      <c r="C30">
        <v>111</v>
      </c>
      <c r="D30">
        <v>108</v>
      </c>
      <c r="E30">
        <v>110</v>
      </c>
      <c r="F30">
        <v>109</v>
      </c>
      <c r="G30">
        <v>113</v>
      </c>
      <c r="H30">
        <v>111</v>
      </c>
      <c r="I30">
        <v>111</v>
      </c>
      <c r="J30">
        <v>111</v>
      </c>
      <c r="K30">
        <v>111</v>
      </c>
      <c r="L30">
        <v>110</v>
      </c>
      <c r="M30">
        <v>110</v>
      </c>
      <c r="N30">
        <v>113</v>
      </c>
      <c r="O30">
        <v>117</v>
      </c>
      <c r="P30">
        <v>109</v>
      </c>
      <c r="Q30">
        <v>109</v>
      </c>
      <c r="R30">
        <v>110</v>
      </c>
      <c r="S30">
        <v>122</v>
      </c>
      <c r="T30">
        <v>118</v>
      </c>
      <c r="U30">
        <v>118</v>
      </c>
      <c r="V30">
        <v>117</v>
      </c>
      <c r="W30">
        <v>116</v>
      </c>
      <c r="X30">
        <v>115</v>
      </c>
      <c r="Y30">
        <v>114</v>
      </c>
      <c r="Z30" s="2">
        <f>AVERAGE(Sheet1__4[[#This Row],[00:00:00]:[23:00:00]])</f>
        <v>112.83333333333333</v>
      </c>
      <c r="AA30" t="str" cm="1">
        <f t="array" ref="AA30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31" spans="1:27" x14ac:dyDescent="0.3">
      <c r="A31" s="1">
        <v>45777</v>
      </c>
      <c r="B31">
        <v>106</v>
      </c>
      <c r="C31">
        <v>104</v>
      </c>
      <c r="D31">
        <v>103</v>
      </c>
      <c r="E31">
        <v>102</v>
      </c>
      <c r="F31">
        <v>102</v>
      </c>
      <c r="G31">
        <v>102</v>
      </c>
      <c r="H31">
        <v>101</v>
      </c>
      <c r="I31">
        <v>101</v>
      </c>
      <c r="J31">
        <v>101</v>
      </c>
      <c r="K31">
        <v>101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101</v>
      </c>
      <c r="S31">
        <v>101</v>
      </c>
      <c r="T31">
        <v>111</v>
      </c>
      <c r="U31">
        <v>107</v>
      </c>
      <c r="V31">
        <v>109</v>
      </c>
      <c r="W31">
        <v>109</v>
      </c>
      <c r="X31">
        <v>108</v>
      </c>
      <c r="Y31">
        <v>106</v>
      </c>
      <c r="Z31" s="2">
        <f>AVERAGE(Sheet1__4[[#This Row],[00:00:00]:[23:00:00]])</f>
        <v>103.125</v>
      </c>
      <c r="AA31" t="str" cm="1">
        <f t="array" ref="AA31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32" spans="1:27" x14ac:dyDescent="0.3">
      <c r="Z32" s="2">
        <f>AVERAGE(Sheet1__4[AVERAGE AQI])</f>
        <v>114.84500439174354</v>
      </c>
    </row>
  </sheetData>
  <conditionalFormatting sqref="AA1:AA1048576">
    <cfRule type="containsText" dxfId="30" priority="1" operator="containsText" text="VERY BAD">
      <formula>NOT(ISERROR(SEARCH("VERY BAD",AA1)))</formula>
    </cfRule>
    <cfRule type="containsText" dxfId="29" priority="2" operator="containsText" text="MODERATE">
      <formula>NOT(ISERROR(SEARCH("MODERATE",AA1)))</formula>
    </cfRule>
    <cfRule type="containsText" dxfId="28" priority="3" operator="containsText" text="BAD">
      <formula>NOT(ISERROR(SEARCH("BAD",AA1)))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33EF-C89A-4B7C-9BBC-ABDEB50C891D}">
  <dimension ref="A1:AA33"/>
  <sheetViews>
    <sheetView topLeftCell="S1" workbookViewId="0">
      <selection activeCell="Z2" sqref="Z2"/>
    </sheetView>
  </sheetViews>
  <sheetFormatPr defaultRowHeight="14.4" x14ac:dyDescent="0.3"/>
  <cols>
    <col min="1" max="25" width="10.33203125" bestFit="1" customWidth="1"/>
    <col min="26" max="26" width="11.21875" bestFit="1" customWidth="1"/>
    <col min="27" max="28" width="19.2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27</v>
      </c>
      <c r="AA1" t="s">
        <v>25</v>
      </c>
    </row>
    <row r="2" spans="1:27" x14ac:dyDescent="0.3">
      <c r="A2" s="1">
        <v>45778</v>
      </c>
      <c r="B2">
        <v>104</v>
      </c>
      <c r="C2">
        <v>101</v>
      </c>
      <c r="D2">
        <v>99</v>
      </c>
      <c r="E2">
        <v>98</v>
      </c>
      <c r="F2">
        <v>99</v>
      </c>
      <c r="G2">
        <v>98</v>
      </c>
      <c r="H2">
        <v>98</v>
      </c>
      <c r="I2">
        <v>96</v>
      </c>
      <c r="J2">
        <v>96</v>
      </c>
      <c r="K2">
        <v>96</v>
      </c>
      <c r="L2">
        <v>97</v>
      </c>
      <c r="M2">
        <v>97</v>
      </c>
      <c r="N2">
        <v>97</v>
      </c>
      <c r="O2">
        <v>97</v>
      </c>
      <c r="P2">
        <v>99</v>
      </c>
      <c r="Q2">
        <v>100</v>
      </c>
      <c r="R2">
        <v>109</v>
      </c>
      <c r="S2">
        <v>113</v>
      </c>
      <c r="T2">
        <v>117</v>
      </c>
      <c r="U2">
        <v>117</v>
      </c>
      <c r="V2">
        <v>116</v>
      </c>
      <c r="W2">
        <v>116</v>
      </c>
      <c r="X2">
        <v>115</v>
      </c>
      <c r="Y2">
        <v>113</v>
      </c>
      <c r="Z2" s="2">
        <f>AVERAGE(Sheet1__5[[#This Row],[00:00:00]:[23:00:00]])</f>
        <v>103.66666666666667</v>
      </c>
      <c r="AA2" t="str" cm="1">
        <f t="array" ref="AA2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BAD</v>
      </c>
    </row>
    <row r="3" spans="1:27" x14ac:dyDescent="0.3">
      <c r="A3" s="1">
        <v>45779</v>
      </c>
      <c r="B3">
        <v>108</v>
      </c>
      <c r="C3">
        <v>104</v>
      </c>
      <c r="D3">
        <v>101</v>
      </c>
      <c r="E3">
        <v>98</v>
      </c>
      <c r="F3">
        <v>96</v>
      </c>
      <c r="G3">
        <v>95</v>
      </c>
      <c r="H3">
        <v>94</v>
      </c>
      <c r="I3">
        <v>94</v>
      </c>
      <c r="J3">
        <v>94</v>
      </c>
      <c r="K3">
        <v>94</v>
      </c>
      <c r="L3">
        <v>94</v>
      </c>
      <c r="M3">
        <v>94</v>
      </c>
      <c r="N3">
        <v>95</v>
      </c>
      <c r="O3">
        <v>94</v>
      </c>
      <c r="P3">
        <v>96</v>
      </c>
      <c r="Q3">
        <v>98</v>
      </c>
      <c r="R3">
        <v>100</v>
      </c>
      <c r="S3">
        <v>100</v>
      </c>
      <c r="T3">
        <v>126</v>
      </c>
      <c r="U3">
        <v>115</v>
      </c>
      <c r="V3">
        <v>112</v>
      </c>
      <c r="W3">
        <v>112</v>
      </c>
      <c r="X3">
        <v>110</v>
      </c>
      <c r="Y3">
        <v>107</v>
      </c>
      <c r="Z3" s="2">
        <f>AVERAGE(Sheet1__5[[#This Row],[00:00:00]:[23:00:00]])</f>
        <v>101.29166666666667</v>
      </c>
      <c r="AA3" t="str" cm="1">
        <f t="array" ref="AA3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BAD</v>
      </c>
    </row>
    <row r="4" spans="1:27" x14ac:dyDescent="0.3">
      <c r="A4" s="1">
        <v>45780</v>
      </c>
      <c r="B4">
        <v>104</v>
      </c>
      <c r="C4">
        <v>101</v>
      </c>
      <c r="D4">
        <v>100</v>
      </c>
      <c r="E4">
        <v>96</v>
      </c>
      <c r="F4">
        <v>94</v>
      </c>
      <c r="G4">
        <v>93</v>
      </c>
      <c r="H4">
        <v>93</v>
      </c>
      <c r="I4">
        <v>93</v>
      </c>
      <c r="J4">
        <v>93</v>
      </c>
      <c r="K4">
        <v>93</v>
      </c>
      <c r="L4">
        <v>93</v>
      </c>
      <c r="M4">
        <v>93</v>
      </c>
      <c r="N4">
        <v>93</v>
      </c>
      <c r="O4">
        <v>95</v>
      </c>
      <c r="P4">
        <v>106</v>
      </c>
      <c r="Q4">
        <v>98</v>
      </c>
      <c r="R4">
        <v>100</v>
      </c>
      <c r="S4">
        <v>104</v>
      </c>
      <c r="T4">
        <v>102</v>
      </c>
      <c r="U4">
        <v>101</v>
      </c>
      <c r="V4">
        <v>98</v>
      </c>
      <c r="W4">
        <v>95</v>
      </c>
      <c r="X4">
        <v>92</v>
      </c>
      <c r="Y4">
        <v>87</v>
      </c>
      <c r="Z4" s="2">
        <f>AVERAGE(Sheet1__5[[#This Row],[00:00:00]:[23:00:00]])</f>
        <v>96.541666666666671</v>
      </c>
      <c r="AA4" t="str" cm="1">
        <f t="array" ref="AA4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5" spans="1:27" x14ac:dyDescent="0.3">
      <c r="A5" s="1">
        <v>45781</v>
      </c>
      <c r="B5">
        <v>84</v>
      </c>
      <c r="C5">
        <v>82</v>
      </c>
      <c r="D5">
        <v>81</v>
      </c>
      <c r="E5">
        <v>81</v>
      </c>
      <c r="F5">
        <v>81</v>
      </c>
      <c r="G5">
        <v>81</v>
      </c>
      <c r="H5">
        <v>81</v>
      </c>
      <c r="I5">
        <v>81</v>
      </c>
      <c r="J5">
        <v>81</v>
      </c>
      <c r="K5">
        <v>80</v>
      </c>
      <c r="L5">
        <v>80</v>
      </c>
      <c r="M5">
        <v>79</v>
      </c>
      <c r="N5">
        <v>79</v>
      </c>
      <c r="O5">
        <v>79</v>
      </c>
      <c r="P5">
        <v>80</v>
      </c>
      <c r="Q5">
        <v>80</v>
      </c>
      <c r="R5">
        <v>81</v>
      </c>
      <c r="S5">
        <v>82</v>
      </c>
      <c r="T5">
        <v>84</v>
      </c>
      <c r="U5">
        <v>83</v>
      </c>
      <c r="V5">
        <v>84</v>
      </c>
      <c r="W5">
        <v>83</v>
      </c>
      <c r="X5">
        <v>83</v>
      </c>
      <c r="Y5">
        <v>83</v>
      </c>
      <c r="Z5" s="2">
        <f>AVERAGE(Sheet1__5[[#This Row],[00:00:00]:[23:00:00]])</f>
        <v>81.375</v>
      </c>
      <c r="AA5" t="str" cm="1">
        <f t="array" ref="AA5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6" spans="1:27" x14ac:dyDescent="0.3">
      <c r="A6" s="1">
        <v>45782</v>
      </c>
      <c r="B6">
        <v>81</v>
      </c>
      <c r="C6">
        <v>80</v>
      </c>
      <c r="D6">
        <v>81</v>
      </c>
      <c r="E6">
        <v>81</v>
      </c>
      <c r="F6">
        <v>81</v>
      </c>
      <c r="G6">
        <v>81</v>
      </c>
      <c r="H6">
        <v>81</v>
      </c>
      <c r="I6">
        <v>82</v>
      </c>
      <c r="J6">
        <v>83</v>
      </c>
      <c r="K6">
        <v>84</v>
      </c>
      <c r="L6">
        <v>85</v>
      </c>
      <c r="M6">
        <v>86</v>
      </c>
      <c r="N6">
        <v>86</v>
      </c>
      <c r="O6">
        <v>86</v>
      </c>
      <c r="P6">
        <v>86</v>
      </c>
      <c r="Q6">
        <v>86</v>
      </c>
      <c r="R6">
        <v>87</v>
      </c>
      <c r="S6">
        <v>88</v>
      </c>
      <c r="T6">
        <v>88</v>
      </c>
      <c r="U6">
        <v>91</v>
      </c>
      <c r="V6">
        <v>90</v>
      </c>
      <c r="W6">
        <v>90</v>
      </c>
      <c r="X6">
        <v>88</v>
      </c>
      <c r="Y6">
        <v>87</v>
      </c>
      <c r="Z6" s="2">
        <f>AVERAGE(Sheet1__5[[#This Row],[00:00:00]:[23:00:00]])</f>
        <v>84.958333333333329</v>
      </c>
      <c r="AA6" t="str" cm="1">
        <f t="array" ref="AA6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7" spans="1:27" x14ac:dyDescent="0.3">
      <c r="A7" s="1">
        <v>45783</v>
      </c>
      <c r="B7">
        <v>86</v>
      </c>
      <c r="C7">
        <v>86</v>
      </c>
      <c r="D7">
        <v>86</v>
      </c>
      <c r="E7">
        <v>86</v>
      </c>
      <c r="F7">
        <v>86</v>
      </c>
      <c r="G7">
        <v>86</v>
      </c>
      <c r="H7">
        <v>87</v>
      </c>
      <c r="I7">
        <v>86</v>
      </c>
      <c r="J7">
        <v>86</v>
      </c>
      <c r="K7">
        <v>86</v>
      </c>
      <c r="L7">
        <v>85</v>
      </c>
      <c r="M7">
        <v>85</v>
      </c>
      <c r="N7">
        <v>85</v>
      </c>
      <c r="O7">
        <v>85</v>
      </c>
      <c r="P7">
        <v>85</v>
      </c>
      <c r="Q7">
        <v>86</v>
      </c>
      <c r="R7">
        <v>86</v>
      </c>
      <c r="S7">
        <v>85</v>
      </c>
      <c r="T7">
        <v>86</v>
      </c>
      <c r="U7">
        <v>87</v>
      </c>
      <c r="V7">
        <v>88</v>
      </c>
      <c r="W7">
        <v>87</v>
      </c>
      <c r="X7">
        <v>86</v>
      </c>
      <c r="Y7">
        <v>85</v>
      </c>
      <c r="Z7" s="2">
        <f>AVERAGE(Sheet1__5[[#This Row],[00:00:00]:[23:00:00]])</f>
        <v>85.916666666666671</v>
      </c>
      <c r="AA7" t="str" cm="1">
        <f t="array" ref="AA7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8" spans="1:27" x14ac:dyDescent="0.3">
      <c r="A8" s="1">
        <v>45784</v>
      </c>
      <c r="B8">
        <v>85</v>
      </c>
      <c r="C8">
        <v>85</v>
      </c>
      <c r="D8">
        <v>85</v>
      </c>
      <c r="E8">
        <v>85</v>
      </c>
      <c r="F8">
        <v>85</v>
      </c>
      <c r="G8">
        <v>85</v>
      </c>
      <c r="H8">
        <v>86</v>
      </c>
      <c r="I8">
        <v>86</v>
      </c>
      <c r="J8">
        <v>86</v>
      </c>
      <c r="K8">
        <v>84</v>
      </c>
      <c r="L8">
        <v>84</v>
      </c>
      <c r="M8">
        <v>86</v>
      </c>
      <c r="N8">
        <v>86</v>
      </c>
      <c r="O8">
        <v>86</v>
      </c>
      <c r="P8">
        <v>86</v>
      </c>
      <c r="Q8">
        <v>86</v>
      </c>
      <c r="R8">
        <v>86</v>
      </c>
      <c r="S8">
        <v>86</v>
      </c>
      <c r="T8">
        <v>86</v>
      </c>
      <c r="U8">
        <v>82</v>
      </c>
      <c r="V8">
        <v>83</v>
      </c>
      <c r="W8">
        <v>85</v>
      </c>
      <c r="X8">
        <v>84</v>
      </c>
      <c r="Y8">
        <v>88</v>
      </c>
      <c r="Z8" s="2">
        <f>AVERAGE(Sheet1__5[[#This Row],[00:00:00]:[23:00:00]])</f>
        <v>85.25</v>
      </c>
      <c r="AA8" t="str" cm="1">
        <f t="array" ref="AA8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9" spans="1:27" x14ac:dyDescent="0.3">
      <c r="A9" s="1">
        <v>45785</v>
      </c>
      <c r="B9">
        <v>82</v>
      </c>
      <c r="C9">
        <v>82</v>
      </c>
      <c r="D9">
        <v>81</v>
      </c>
      <c r="E9">
        <v>80</v>
      </c>
      <c r="F9">
        <v>82</v>
      </c>
      <c r="G9">
        <v>85</v>
      </c>
      <c r="H9">
        <v>85</v>
      </c>
      <c r="I9">
        <v>84</v>
      </c>
      <c r="J9">
        <v>84</v>
      </c>
      <c r="K9">
        <v>84</v>
      </c>
      <c r="L9">
        <v>84</v>
      </c>
      <c r="M9">
        <v>84</v>
      </c>
      <c r="N9">
        <v>84</v>
      </c>
      <c r="O9">
        <v>82</v>
      </c>
      <c r="P9">
        <v>81</v>
      </c>
      <c r="Q9">
        <v>80</v>
      </c>
      <c r="R9">
        <v>80</v>
      </c>
      <c r="S9">
        <v>80</v>
      </c>
      <c r="T9">
        <v>82</v>
      </c>
      <c r="U9">
        <v>78</v>
      </c>
      <c r="V9">
        <v>78</v>
      </c>
      <c r="W9">
        <v>77</v>
      </c>
      <c r="X9">
        <v>77</v>
      </c>
      <c r="Y9">
        <v>76</v>
      </c>
      <c r="Z9" s="2">
        <f>AVERAGE(Sheet1__5[[#This Row],[00:00:00]:[23:00:00]])</f>
        <v>81.333333333333329</v>
      </c>
      <c r="AA9" t="str" cm="1">
        <f t="array" ref="AA9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0" spans="1:27" x14ac:dyDescent="0.3">
      <c r="A10" s="1">
        <v>45786</v>
      </c>
      <c r="B10">
        <v>76</v>
      </c>
      <c r="C10">
        <v>74</v>
      </c>
      <c r="D10">
        <v>73</v>
      </c>
      <c r="E10">
        <v>72</v>
      </c>
      <c r="F10">
        <v>70</v>
      </c>
      <c r="G10">
        <v>70</v>
      </c>
      <c r="H10">
        <v>70</v>
      </c>
      <c r="I10">
        <v>70</v>
      </c>
      <c r="J10">
        <v>70</v>
      </c>
      <c r="K10">
        <v>71</v>
      </c>
      <c r="M10">
        <v>71</v>
      </c>
      <c r="N10">
        <v>71</v>
      </c>
      <c r="O10">
        <v>71</v>
      </c>
      <c r="P10">
        <v>73</v>
      </c>
      <c r="Q10">
        <v>73</v>
      </c>
      <c r="R10">
        <v>73</v>
      </c>
      <c r="S10">
        <v>74</v>
      </c>
      <c r="T10">
        <v>74</v>
      </c>
      <c r="U10">
        <v>73</v>
      </c>
      <c r="V10">
        <v>72</v>
      </c>
      <c r="W10">
        <v>71</v>
      </c>
      <c r="X10">
        <v>69</v>
      </c>
      <c r="Y10">
        <v>75</v>
      </c>
      <c r="Z10" s="2">
        <f>AVERAGE(Sheet1__5[[#This Row],[00:00:00]:[23:00:00]])</f>
        <v>72</v>
      </c>
      <c r="AA10" t="str" cm="1">
        <f t="array" ref="AA10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1" spans="1:27" x14ac:dyDescent="0.3">
      <c r="A11" s="1">
        <v>45787</v>
      </c>
      <c r="B11">
        <v>78</v>
      </c>
      <c r="C11">
        <v>78</v>
      </c>
      <c r="D11">
        <v>78</v>
      </c>
      <c r="E11">
        <v>78</v>
      </c>
      <c r="F11">
        <v>78</v>
      </c>
      <c r="G11">
        <v>78</v>
      </c>
      <c r="H11">
        <v>78</v>
      </c>
      <c r="I11">
        <v>78</v>
      </c>
      <c r="J11">
        <v>79</v>
      </c>
      <c r="K11">
        <v>79</v>
      </c>
      <c r="L11">
        <v>80</v>
      </c>
      <c r="M11">
        <v>80</v>
      </c>
      <c r="N11">
        <v>83</v>
      </c>
      <c r="O11">
        <v>99</v>
      </c>
      <c r="P11">
        <v>102</v>
      </c>
      <c r="Q11">
        <v>95</v>
      </c>
      <c r="R11">
        <v>94</v>
      </c>
      <c r="S11">
        <v>95</v>
      </c>
      <c r="T11">
        <v>94</v>
      </c>
      <c r="U11">
        <v>93</v>
      </c>
      <c r="V11">
        <v>93</v>
      </c>
      <c r="W11">
        <v>93</v>
      </c>
      <c r="X11">
        <v>85</v>
      </c>
      <c r="Y11">
        <v>80</v>
      </c>
      <c r="Z11" s="2">
        <f>AVERAGE(Sheet1__5[[#This Row],[00:00:00]:[23:00:00]])</f>
        <v>85.333333333333329</v>
      </c>
      <c r="AA11" t="str" cm="1">
        <f t="array" ref="AA11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2" spans="1:27" x14ac:dyDescent="0.3">
      <c r="A12" s="1">
        <v>45788</v>
      </c>
      <c r="B12">
        <v>80</v>
      </c>
      <c r="C12">
        <v>76</v>
      </c>
      <c r="D12">
        <v>74</v>
      </c>
      <c r="E12">
        <v>73</v>
      </c>
      <c r="F12">
        <v>73</v>
      </c>
      <c r="G12">
        <v>73</v>
      </c>
      <c r="H12">
        <v>72</v>
      </c>
      <c r="I12">
        <v>72</v>
      </c>
      <c r="J12">
        <v>72</v>
      </c>
      <c r="K12">
        <v>71</v>
      </c>
      <c r="L12">
        <v>72</v>
      </c>
      <c r="M12">
        <v>72</v>
      </c>
      <c r="N12">
        <v>71</v>
      </c>
      <c r="O12">
        <v>73</v>
      </c>
      <c r="P12">
        <v>89</v>
      </c>
      <c r="Q12">
        <v>94</v>
      </c>
      <c r="R12">
        <v>93</v>
      </c>
      <c r="S12">
        <v>89</v>
      </c>
      <c r="T12">
        <v>91</v>
      </c>
      <c r="U12">
        <v>92</v>
      </c>
      <c r="V12">
        <v>93</v>
      </c>
      <c r="W12">
        <v>98</v>
      </c>
      <c r="X12">
        <v>94</v>
      </c>
      <c r="Y12">
        <v>91</v>
      </c>
      <c r="Z12" s="2">
        <f>AVERAGE(Sheet1__5[[#This Row],[00:00:00]:[23:00:00]])</f>
        <v>81.166666666666671</v>
      </c>
      <c r="AA12" t="str" cm="1">
        <f t="array" ref="AA12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3" spans="1:27" x14ac:dyDescent="0.3">
      <c r="A13" s="1">
        <v>45789</v>
      </c>
      <c r="B13">
        <v>87</v>
      </c>
      <c r="D13">
        <v>82</v>
      </c>
      <c r="E13">
        <v>81</v>
      </c>
      <c r="F13">
        <v>79</v>
      </c>
      <c r="G13">
        <v>80</v>
      </c>
      <c r="H13">
        <v>79</v>
      </c>
      <c r="I13">
        <v>78</v>
      </c>
      <c r="J13">
        <v>78</v>
      </c>
      <c r="K13">
        <v>77</v>
      </c>
      <c r="L13">
        <v>77</v>
      </c>
      <c r="M13">
        <v>78</v>
      </c>
      <c r="N13">
        <v>78</v>
      </c>
      <c r="O13">
        <v>83</v>
      </c>
      <c r="P13">
        <v>102</v>
      </c>
      <c r="Q13">
        <v>107</v>
      </c>
      <c r="R13">
        <v>107</v>
      </c>
      <c r="S13">
        <v>98</v>
      </c>
      <c r="T13">
        <v>99</v>
      </c>
      <c r="U13">
        <v>99</v>
      </c>
      <c r="V13">
        <v>97</v>
      </c>
      <c r="W13">
        <v>93</v>
      </c>
      <c r="X13">
        <v>90</v>
      </c>
      <c r="Y13">
        <v>84</v>
      </c>
      <c r="Z13" s="2">
        <f>AVERAGE(Sheet1__5[[#This Row],[00:00:00]:[23:00:00]])</f>
        <v>87.521739130434781</v>
      </c>
      <c r="AA13" t="str" cm="1">
        <f t="array" ref="AA13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4" spans="1:27" x14ac:dyDescent="0.3">
      <c r="A14" s="1">
        <v>45790</v>
      </c>
      <c r="B14">
        <v>82</v>
      </c>
      <c r="C14">
        <v>79</v>
      </c>
      <c r="D14">
        <v>79</v>
      </c>
      <c r="E14">
        <v>79</v>
      </c>
      <c r="F14">
        <v>79</v>
      </c>
      <c r="G14">
        <v>79</v>
      </c>
      <c r="H14">
        <v>79</v>
      </c>
      <c r="I14">
        <v>80</v>
      </c>
      <c r="J14">
        <v>80</v>
      </c>
      <c r="K14">
        <v>80</v>
      </c>
      <c r="L14">
        <v>84</v>
      </c>
      <c r="M14">
        <v>84</v>
      </c>
      <c r="N14">
        <v>85</v>
      </c>
      <c r="O14">
        <v>87</v>
      </c>
      <c r="P14">
        <v>86</v>
      </c>
      <c r="Q14">
        <v>88</v>
      </c>
      <c r="R14">
        <v>88</v>
      </c>
      <c r="S14">
        <v>88</v>
      </c>
      <c r="T14">
        <v>89</v>
      </c>
      <c r="U14">
        <v>89</v>
      </c>
      <c r="V14">
        <v>90</v>
      </c>
      <c r="W14">
        <v>88</v>
      </c>
      <c r="X14">
        <v>89</v>
      </c>
      <c r="Y14">
        <v>89</v>
      </c>
      <c r="Z14" s="2">
        <f>AVERAGE(Sheet1__5[[#This Row],[00:00:00]:[23:00:00]])</f>
        <v>84.166666666666671</v>
      </c>
      <c r="AA14" t="str" cm="1">
        <f t="array" ref="AA14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5" spans="1:27" x14ac:dyDescent="0.3">
      <c r="A15" s="1">
        <v>45791</v>
      </c>
      <c r="B15">
        <v>89</v>
      </c>
      <c r="C15">
        <v>89</v>
      </c>
      <c r="D15">
        <v>88</v>
      </c>
      <c r="E15">
        <v>88</v>
      </c>
      <c r="F15">
        <v>83</v>
      </c>
      <c r="G15">
        <v>82</v>
      </c>
      <c r="H15">
        <v>81</v>
      </c>
      <c r="I15">
        <v>81</v>
      </c>
      <c r="J15">
        <v>81</v>
      </c>
      <c r="K15">
        <v>81</v>
      </c>
      <c r="L15">
        <v>82</v>
      </c>
      <c r="M15">
        <v>82</v>
      </c>
      <c r="N15">
        <v>99</v>
      </c>
      <c r="O15">
        <v>104</v>
      </c>
      <c r="P15">
        <v>115</v>
      </c>
      <c r="Q15">
        <v>100</v>
      </c>
      <c r="R15">
        <v>103</v>
      </c>
      <c r="S15">
        <v>103</v>
      </c>
      <c r="T15">
        <v>105</v>
      </c>
      <c r="U15">
        <v>105</v>
      </c>
      <c r="V15">
        <v>102</v>
      </c>
      <c r="W15">
        <v>98</v>
      </c>
      <c r="X15">
        <v>92</v>
      </c>
      <c r="Y15">
        <v>86</v>
      </c>
      <c r="Z15" s="2">
        <f>AVERAGE(Sheet1__5[[#This Row],[00:00:00]:[23:00:00]])</f>
        <v>92.458333333333329</v>
      </c>
      <c r="AA15" t="str" cm="1">
        <f t="array" ref="AA15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6" spans="1:27" x14ac:dyDescent="0.3">
      <c r="A16" s="1">
        <v>45792</v>
      </c>
      <c r="B16">
        <v>84</v>
      </c>
      <c r="C16">
        <v>84</v>
      </c>
      <c r="D16">
        <v>76</v>
      </c>
      <c r="E16">
        <v>75</v>
      </c>
      <c r="F16">
        <v>74</v>
      </c>
      <c r="G16">
        <v>74</v>
      </c>
      <c r="H16">
        <v>73</v>
      </c>
      <c r="I16">
        <v>74</v>
      </c>
      <c r="J16">
        <v>74</v>
      </c>
      <c r="K16">
        <v>75</v>
      </c>
      <c r="L16">
        <v>76</v>
      </c>
      <c r="M16">
        <v>77</v>
      </c>
      <c r="N16">
        <v>77</v>
      </c>
      <c r="O16">
        <v>79</v>
      </c>
      <c r="P16">
        <v>81</v>
      </c>
      <c r="Q16">
        <v>82</v>
      </c>
      <c r="R16">
        <v>84</v>
      </c>
      <c r="S16">
        <v>86</v>
      </c>
      <c r="U16">
        <v>88</v>
      </c>
      <c r="V16">
        <v>87</v>
      </c>
      <c r="W16">
        <v>84</v>
      </c>
      <c r="X16">
        <v>81</v>
      </c>
      <c r="Y16">
        <v>80</v>
      </c>
      <c r="Z16" s="2">
        <f>AVERAGE(Sheet1__5[[#This Row],[00:00:00]:[23:00:00]])</f>
        <v>79.347826086956516</v>
      </c>
      <c r="AA16" t="str" cm="1">
        <f t="array" ref="AA16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7" spans="1:27" x14ac:dyDescent="0.3">
      <c r="A17" s="1">
        <v>45793</v>
      </c>
      <c r="B17">
        <v>78</v>
      </c>
      <c r="C17">
        <v>79</v>
      </c>
      <c r="D17">
        <v>79</v>
      </c>
      <c r="E17">
        <v>79</v>
      </c>
      <c r="F17">
        <v>79</v>
      </c>
      <c r="G17">
        <v>79</v>
      </c>
      <c r="H17">
        <v>78</v>
      </c>
      <c r="I17">
        <v>78</v>
      </c>
      <c r="J17">
        <v>78</v>
      </c>
      <c r="K17">
        <v>78</v>
      </c>
      <c r="L17">
        <v>77</v>
      </c>
      <c r="M17">
        <v>76</v>
      </c>
      <c r="N17">
        <v>76</v>
      </c>
      <c r="O17">
        <v>76</v>
      </c>
      <c r="P17">
        <v>76</v>
      </c>
      <c r="Q17">
        <v>75</v>
      </c>
      <c r="R17">
        <v>75</v>
      </c>
      <c r="S17">
        <v>75</v>
      </c>
      <c r="T17">
        <v>75</v>
      </c>
      <c r="U17">
        <v>75</v>
      </c>
      <c r="V17">
        <v>76</v>
      </c>
      <c r="W17">
        <v>77</v>
      </c>
      <c r="X17">
        <v>78</v>
      </c>
      <c r="Y17">
        <v>78</v>
      </c>
      <c r="Z17" s="2">
        <f>AVERAGE(Sheet1__5[[#This Row],[00:00:00]:[23:00:00]])</f>
        <v>77.083333333333329</v>
      </c>
      <c r="AA17" t="str" cm="1">
        <f t="array" ref="AA17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8" spans="1:27" x14ac:dyDescent="0.3">
      <c r="A18" s="1">
        <v>45794</v>
      </c>
      <c r="B18">
        <v>78</v>
      </c>
      <c r="C18">
        <v>78</v>
      </c>
      <c r="D18">
        <v>78</v>
      </c>
      <c r="E18">
        <v>78</v>
      </c>
      <c r="F18">
        <v>76</v>
      </c>
      <c r="G18">
        <v>76</v>
      </c>
      <c r="H18">
        <v>75</v>
      </c>
      <c r="I18">
        <v>74</v>
      </c>
      <c r="J18">
        <v>74</v>
      </c>
      <c r="K18">
        <v>74</v>
      </c>
      <c r="L18">
        <v>74</v>
      </c>
      <c r="M18">
        <v>74</v>
      </c>
      <c r="N18">
        <v>75</v>
      </c>
      <c r="O18">
        <v>75</v>
      </c>
      <c r="P18">
        <v>76</v>
      </c>
      <c r="Q18">
        <v>75</v>
      </c>
      <c r="R18">
        <v>75</v>
      </c>
      <c r="S18">
        <v>55</v>
      </c>
      <c r="T18">
        <v>55</v>
      </c>
      <c r="U18">
        <v>55</v>
      </c>
      <c r="V18">
        <v>54</v>
      </c>
      <c r="W18">
        <v>53</v>
      </c>
      <c r="X18">
        <v>52</v>
      </c>
      <c r="Y18">
        <v>52</v>
      </c>
      <c r="Z18" s="2">
        <f>AVERAGE(Sheet1__5[[#This Row],[00:00:00]:[23:00:00]])</f>
        <v>69.208333333333329</v>
      </c>
      <c r="AA18" t="str" cm="1">
        <f t="array" ref="AA18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9" spans="1:27" x14ac:dyDescent="0.3">
      <c r="A19" s="1">
        <v>45795</v>
      </c>
      <c r="B19">
        <v>52</v>
      </c>
      <c r="C19">
        <v>51</v>
      </c>
      <c r="D19">
        <v>50</v>
      </c>
      <c r="E19">
        <v>50</v>
      </c>
      <c r="F19">
        <v>48</v>
      </c>
      <c r="G19">
        <v>48</v>
      </c>
      <c r="H19">
        <v>48</v>
      </c>
      <c r="I19">
        <v>49</v>
      </c>
      <c r="J19">
        <v>49</v>
      </c>
      <c r="K19">
        <v>49</v>
      </c>
      <c r="L19">
        <v>49</v>
      </c>
      <c r="M19">
        <v>49</v>
      </c>
      <c r="N19">
        <v>50</v>
      </c>
      <c r="O19">
        <v>50</v>
      </c>
      <c r="P19">
        <v>51</v>
      </c>
      <c r="Q19">
        <v>66</v>
      </c>
      <c r="R19">
        <v>55</v>
      </c>
      <c r="S19">
        <v>56</v>
      </c>
      <c r="T19">
        <v>58</v>
      </c>
      <c r="U19">
        <v>59</v>
      </c>
      <c r="V19">
        <v>62</v>
      </c>
      <c r="W19">
        <v>61</v>
      </c>
      <c r="X19">
        <v>63</v>
      </c>
      <c r="Y19">
        <v>62</v>
      </c>
      <c r="Z19" s="2">
        <f>AVERAGE(Sheet1__5[[#This Row],[00:00:00]:[23:00:00]])</f>
        <v>53.541666666666664</v>
      </c>
      <c r="AA19" t="str" cm="1">
        <f t="array" ref="AA19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0" spans="1:27" x14ac:dyDescent="0.3">
      <c r="A20" s="1">
        <v>45796</v>
      </c>
      <c r="B20">
        <v>58</v>
      </c>
      <c r="C20">
        <v>56</v>
      </c>
      <c r="D20">
        <v>56</v>
      </c>
      <c r="E20">
        <v>56</v>
      </c>
      <c r="F20">
        <v>56</v>
      </c>
      <c r="G20">
        <v>56</v>
      </c>
      <c r="H20">
        <v>56</v>
      </c>
      <c r="I20">
        <v>54</v>
      </c>
      <c r="J20">
        <v>54</v>
      </c>
      <c r="K20">
        <v>55</v>
      </c>
      <c r="L20">
        <v>56</v>
      </c>
      <c r="M20">
        <v>57</v>
      </c>
      <c r="N20">
        <v>57</v>
      </c>
      <c r="O20">
        <v>76</v>
      </c>
      <c r="P20">
        <v>80</v>
      </c>
      <c r="Q20">
        <v>90</v>
      </c>
      <c r="R20">
        <v>84</v>
      </c>
      <c r="S20">
        <v>78</v>
      </c>
      <c r="T20">
        <v>78</v>
      </c>
      <c r="U20">
        <v>79</v>
      </c>
      <c r="V20">
        <v>80</v>
      </c>
      <c r="W20">
        <v>78</v>
      </c>
      <c r="X20">
        <v>76</v>
      </c>
      <c r="Y20">
        <v>73</v>
      </c>
      <c r="Z20" s="2">
        <f>AVERAGE(Sheet1__5[[#This Row],[00:00:00]:[23:00:00]])</f>
        <v>66.625</v>
      </c>
      <c r="AA20" t="str" cm="1">
        <f t="array" ref="AA20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1" spans="1:27" x14ac:dyDescent="0.3">
      <c r="A21" s="1">
        <v>45797</v>
      </c>
      <c r="B21">
        <v>69</v>
      </c>
      <c r="C21">
        <v>64</v>
      </c>
      <c r="D21">
        <v>61</v>
      </c>
      <c r="E21">
        <v>59</v>
      </c>
      <c r="F21">
        <v>56</v>
      </c>
      <c r="G21">
        <v>56</v>
      </c>
      <c r="H21">
        <v>55</v>
      </c>
      <c r="I21">
        <v>84</v>
      </c>
      <c r="J21">
        <v>84</v>
      </c>
      <c r="K21">
        <v>83</v>
      </c>
      <c r="L21">
        <v>83</v>
      </c>
      <c r="M21">
        <v>83</v>
      </c>
      <c r="N21">
        <v>82</v>
      </c>
      <c r="O21">
        <v>102</v>
      </c>
      <c r="P21">
        <v>105</v>
      </c>
      <c r="Q21">
        <v>98</v>
      </c>
      <c r="R21">
        <v>91</v>
      </c>
      <c r="S21">
        <v>91</v>
      </c>
      <c r="T21">
        <v>89</v>
      </c>
      <c r="U21">
        <v>89</v>
      </c>
      <c r="V21">
        <v>89</v>
      </c>
      <c r="W21">
        <v>86</v>
      </c>
      <c r="X21">
        <v>88</v>
      </c>
      <c r="Y21">
        <v>86</v>
      </c>
      <c r="Z21" s="2">
        <f>AVERAGE(Sheet1__5[[#This Row],[00:00:00]:[23:00:00]])</f>
        <v>80.541666666666671</v>
      </c>
      <c r="AA21" t="str" cm="1">
        <f t="array" ref="AA21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2" spans="1:27" x14ac:dyDescent="0.3">
      <c r="A22" s="1">
        <v>45798</v>
      </c>
      <c r="B22">
        <v>87</v>
      </c>
      <c r="C22">
        <v>85</v>
      </c>
      <c r="D22">
        <v>90</v>
      </c>
      <c r="E22">
        <v>88</v>
      </c>
      <c r="F22">
        <v>87</v>
      </c>
      <c r="G22">
        <v>86</v>
      </c>
      <c r="H22">
        <v>84</v>
      </c>
      <c r="I22">
        <v>83</v>
      </c>
      <c r="J22">
        <v>84</v>
      </c>
      <c r="K22">
        <v>84</v>
      </c>
      <c r="L22">
        <v>84</v>
      </c>
      <c r="M22">
        <v>78</v>
      </c>
      <c r="N22">
        <v>82</v>
      </c>
      <c r="O22">
        <v>84</v>
      </c>
      <c r="P22">
        <v>116</v>
      </c>
      <c r="Q22">
        <v>89</v>
      </c>
      <c r="R22">
        <v>92</v>
      </c>
      <c r="S22">
        <v>94</v>
      </c>
      <c r="T22">
        <v>95</v>
      </c>
      <c r="U22">
        <v>95</v>
      </c>
      <c r="V22">
        <v>96</v>
      </c>
      <c r="W22">
        <v>104</v>
      </c>
      <c r="X22">
        <v>106</v>
      </c>
      <c r="Y22">
        <v>105</v>
      </c>
      <c r="Z22" s="2">
        <f>AVERAGE(Sheet1__5[[#This Row],[00:00:00]:[23:00:00]])</f>
        <v>90.75</v>
      </c>
      <c r="AA22" t="str" cm="1">
        <f t="array" ref="AA22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3" spans="1:27" x14ac:dyDescent="0.3">
      <c r="A23" s="1">
        <v>45799</v>
      </c>
      <c r="B23">
        <v>104</v>
      </c>
      <c r="C23">
        <v>91</v>
      </c>
      <c r="D23">
        <v>86</v>
      </c>
      <c r="E23">
        <v>85</v>
      </c>
      <c r="F23">
        <v>85</v>
      </c>
      <c r="G23">
        <v>84</v>
      </c>
      <c r="H23">
        <v>83</v>
      </c>
      <c r="I23">
        <v>82</v>
      </c>
      <c r="J23">
        <v>82</v>
      </c>
      <c r="K23">
        <v>81</v>
      </c>
      <c r="L23">
        <v>83</v>
      </c>
      <c r="M23">
        <v>83</v>
      </c>
      <c r="N23">
        <v>83</v>
      </c>
      <c r="O23">
        <v>83</v>
      </c>
      <c r="P23">
        <v>83</v>
      </c>
      <c r="Q23">
        <v>83</v>
      </c>
      <c r="R23">
        <v>83</v>
      </c>
      <c r="S23">
        <v>82</v>
      </c>
      <c r="T23">
        <v>81</v>
      </c>
      <c r="U23">
        <v>81</v>
      </c>
      <c r="V23">
        <v>80</v>
      </c>
      <c r="W23">
        <v>80</v>
      </c>
      <c r="X23">
        <v>81</v>
      </c>
      <c r="Y23">
        <v>83</v>
      </c>
      <c r="Z23" s="2">
        <f>AVERAGE(Sheet1__5[[#This Row],[00:00:00]:[23:00:00]])</f>
        <v>83.833333333333329</v>
      </c>
      <c r="AA23" t="str" cm="1">
        <f t="array" ref="AA23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4" spans="1:27" x14ac:dyDescent="0.3">
      <c r="A24" s="1">
        <v>45800</v>
      </c>
      <c r="B24">
        <v>83</v>
      </c>
      <c r="C24">
        <v>83</v>
      </c>
      <c r="D24">
        <v>81</v>
      </c>
      <c r="E24">
        <v>80</v>
      </c>
      <c r="F24">
        <v>80</v>
      </c>
      <c r="G24">
        <v>79</v>
      </c>
      <c r="H24">
        <v>78</v>
      </c>
      <c r="I24">
        <v>77</v>
      </c>
      <c r="J24">
        <v>76</v>
      </c>
      <c r="K24">
        <v>76</v>
      </c>
      <c r="L24">
        <v>77</v>
      </c>
      <c r="M24">
        <v>77</v>
      </c>
      <c r="N24">
        <v>77</v>
      </c>
      <c r="O24">
        <v>77</v>
      </c>
      <c r="P24">
        <v>77</v>
      </c>
      <c r="Q24">
        <v>77</v>
      </c>
      <c r="R24">
        <v>77</v>
      </c>
      <c r="S24">
        <v>78</v>
      </c>
      <c r="T24">
        <v>79</v>
      </c>
      <c r="U24">
        <v>79</v>
      </c>
      <c r="V24">
        <v>79</v>
      </c>
      <c r="W24">
        <v>79</v>
      </c>
      <c r="X24">
        <v>79</v>
      </c>
      <c r="Y24">
        <v>79</v>
      </c>
      <c r="Z24" s="2">
        <f>AVERAGE(Sheet1__5[[#This Row],[00:00:00]:[23:00:00]])</f>
        <v>78.5</v>
      </c>
      <c r="AA24" t="str" cm="1">
        <f t="array" ref="AA24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5" spans="1:27" x14ac:dyDescent="0.3">
      <c r="A25" s="1">
        <v>45801</v>
      </c>
      <c r="B25">
        <v>79</v>
      </c>
      <c r="C25">
        <v>78</v>
      </c>
      <c r="D25">
        <v>79</v>
      </c>
      <c r="F25">
        <v>78</v>
      </c>
      <c r="G25">
        <v>79</v>
      </c>
      <c r="H25">
        <v>79</v>
      </c>
      <c r="I25">
        <v>60</v>
      </c>
      <c r="J25">
        <v>60</v>
      </c>
      <c r="K25">
        <v>59</v>
      </c>
      <c r="L25">
        <v>60</v>
      </c>
      <c r="M25">
        <v>60</v>
      </c>
      <c r="N25">
        <v>60</v>
      </c>
      <c r="O25">
        <v>61</v>
      </c>
      <c r="P25">
        <v>62</v>
      </c>
      <c r="Q25">
        <v>62</v>
      </c>
      <c r="R25">
        <v>62</v>
      </c>
      <c r="S25">
        <v>63</v>
      </c>
      <c r="T25">
        <v>62</v>
      </c>
      <c r="U25">
        <v>62</v>
      </c>
      <c r="V25">
        <v>62</v>
      </c>
      <c r="W25">
        <v>63</v>
      </c>
      <c r="X25">
        <v>64</v>
      </c>
      <c r="Y25">
        <v>63</v>
      </c>
      <c r="Z25" s="2">
        <f>AVERAGE(Sheet1__5[[#This Row],[00:00:00]:[23:00:00]])</f>
        <v>65.956521739130437</v>
      </c>
      <c r="AA25" t="str" cm="1">
        <f t="array" ref="AA25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6" spans="1:27" x14ac:dyDescent="0.3">
      <c r="A26" s="1">
        <v>45802</v>
      </c>
      <c r="B26">
        <v>64</v>
      </c>
      <c r="C26">
        <v>65</v>
      </c>
      <c r="D26">
        <v>66</v>
      </c>
      <c r="E26">
        <v>65</v>
      </c>
      <c r="F26">
        <v>64</v>
      </c>
      <c r="G26">
        <v>64</v>
      </c>
      <c r="H26">
        <v>63</v>
      </c>
      <c r="I26">
        <v>62</v>
      </c>
      <c r="J26">
        <v>62</v>
      </c>
      <c r="K26">
        <v>62</v>
      </c>
      <c r="L26">
        <v>62</v>
      </c>
      <c r="M26">
        <v>62</v>
      </c>
      <c r="N26">
        <v>62</v>
      </c>
      <c r="O26">
        <v>62</v>
      </c>
      <c r="P26">
        <v>62</v>
      </c>
      <c r="Q26">
        <v>64</v>
      </c>
      <c r="R26">
        <v>65</v>
      </c>
      <c r="S26">
        <v>66</v>
      </c>
      <c r="T26">
        <v>66</v>
      </c>
      <c r="U26">
        <v>66</v>
      </c>
      <c r="V26">
        <v>67</v>
      </c>
      <c r="Z26" s="2">
        <f>AVERAGE(Sheet1__5[[#This Row],[00:00:00]:[23:00:00]])</f>
        <v>63.857142857142854</v>
      </c>
      <c r="AA26" t="str" cm="1">
        <f t="array" ref="AA26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7" spans="1:27" x14ac:dyDescent="0.3">
      <c r="A27" s="1">
        <v>45803</v>
      </c>
      <c r="D27">
        <v>72</v>
      </c>
      <c r="E27">
        <v>61</v>
      </c>
      <c r="F27">
        <v>61</v>
      </c>
      <c r="G27">
        <v>60</v>
      </c>
      <c r="H27">
        <v>53</v>
      </c>
      <c r="I27">
        <v>53</v>
      </c>
      <c r="J27">
        <v>54</v>
      </c>
      <c r="K27">
        <v>53</v>
      </c>
      <c r="L27">
        <v>52</v>
      </c>
      <c r="M27">
        <v>53</v>
      </c>
      <c r="N27">
        <v>53</v>
      </c>
      <c r="O27">
        <v>53</v>
      </c>
      <c r="P27">
        <v>55</v>
      </c>
      <c r="Q27">
        <v>58</v>
      </c>
      <c r="R27">
        <v>58</v>
      </c>
      <c r="S27">
        <v>58</v>
      </c>
      <c r="T27">
        <v>60</v>
      </c>
      <c r="U27">
        <v>54</v>
      </c>
      <c r="V27">
        <v>58</v>
      </c>
      <c r="W27">
        <v>60</v>
      </c>
      <c r="X27">
        <v>59</v>
      </c>
      <c r="Y27">
        <v>60</v>
      </c>
      <c r="Z27" s="2">
        <f>AVERAGE(Sheet1__5[[#This Row],[00:00:00]:[23:00:00]])</f>
        <v>57.18181818181818</v>
      </c>
      <c r="AA27" t="str" cm="1">
        <f t="array" ref="AA27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8" spans="1:27" x14ac:dyDescent="0.3">
      <c r="A28" s="1">
        <v>45804</v>
      </c>
      <c r="B28">
        <v>60</v>
      </c>
      <c r="C28">
        <v>60</v>
      </c>
      <c r="D28">
        <v>58</v>
      </c>
      <c r="E28">
        <v>54</v>
      </c>
      <c r="F28">
        <v>51</v>
      </c>
      <c r="G28">
        <v>50</v>
      </c>
      <c r="H28">
        <v>47</v>
      </c>
      <c r="I28">
        <v>46</v>
      </c>
      <c r="J28">
        <v>46</v>
      </c>
      <c r="K28">
        <v>47</v>
      </c>
      <c r="L28">
        <v>48</v>
      </c>
      <c r="M28">
        <v>49</v>
      </c>
      <c r="N28">
        <v>51</v>
      </c>
      <c r="O28">
        <v>53</v>
      </c>
      <c r="P28">
        <v>54</v>
      </c>
      <c r="Q28">
        <v>56</v>
      </c>
      <c r="R28">
        <v>57</v>
      </c>
      <c r="S28">
        <v>57</v>
      </c>
      <c r="T28">
        <v>58</v>
      </c>
      <c r="U28">
        <v>61</v>
      </c>
      <c r="V28">
        <v>64</v>
      </c>
      <c r="W28">
        <v>64</v>
      </c>
      <c r="X28">
        <v>64</v>
      </c>
      <c r="Y28">
        <v>64</v>
      </c>
      <c r="Z28" s="2">
        <f>AVERAGE(Sheet1__5[[#This Row],[00:00:00]:[23:00:00]])</f>
        <v>54.958333333333336</v>
      </c>
      <c r="AA28" t="str" cm="1">
        <f t="array" ref="AA28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9" spans="1:27" x14ac:dyDescent="0.3">
      <c r="A29" s="1">
        <v>45805</v>
      </c>
      <c r="B29">
        <v>65</v>
      </c>
      <c r="C29">
        <v>66</v>
      </c>
      <c r="D29">
        <v>65</v>
      </c>
      <c r="E29">
        <v>66</v>
      </c>
      <c r="F29">
        <v>66</v>
      </c>
      <c r="G29">
        <v>65</v>
      </c>
      <c r="H29">
        <v>64</v>
      </c>
      <c r="I29">
        <v>63</v>
      </c>
      <c r="J29">
        <v>62</v>
      </c>
      <c r="K29">
        <v>60</v>
      </c>
      <c r="L29">
        <v>59</v>
      </c>
      <c r="M29">
        <v>58</v>
      </c>
      <c r="N29">
        <v>57</v>
      </c>
      <c r="O29">
        <v>55</v>
      </c>
      <c r="P29">
        <v>54</v>
      </c>
      <c r="Q29">
        <v>55</v>
      </c>
      <c r="R29">
        <v>58</v>
      </c>
      <c r="S29">
        <v>59</v>
      </c>
      <c r="T29">
        <v>60</v>
      </c>
      <c r="U29">
        <v>60</v>
      </c>
      <c r="V29">
        <v>60</v>
      </c>
      <c r="W29">
        <v>60</v>
      </c>
      <c r="X29">
        <v>61</v>
      </c>
      <c r="Y29">
        <v>61</v>
      </c>
      <c r="Z29" s="2">
        <f>AVERAGE(Sheet1__5[[#This Row],[00:00:00]:[23:00:00]])</f>
        <v>60.791666666666664</v>
      </c>
      <c r="AA29" t="str" cm="1">
        <f t="array" ref="AA29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0" spans="1:27" x14ac:dyDescent="0.3">
      <c r="A30" s="1">
        <v>45806</v>
      </c>
      <c r="B30">
        <v>62</v>
      </c>
      <c r="C30">
        <v>63</v>
      </c>
      <c r="D30">
        <v>64</v>
      </c>
      <c r="E30">
        <v>66</v>
      </c>
      <c r="F30">
        <v>67</v>
      </c>
      <c r="G30">
        <v>68</v>
      </c>
      <c r="H30">
        <v>68</v>
      </c>
      <c r="I30">
        <v>68</v>
      </c>
      <c r="J30">
        <v>68</v>
      </c>
      <c r="K30">
        <v>68</v>
      </c>
      <c r="L30">
        <v>68</v>
      </c>
      <c r="M30">
        <v>68</v>
      </c>
      <c r="N30">
        <v>68</v>
      </c>
      <c r="O30">
        <v>68</v>
      </c>
      <c r="P30">
        <v>67</v>
      </c>
      <c r="Q30">
        <v>68</v>
      </c>
      <c r="R30">
        <v>69</v>
      </c>
      <c r="S30">
        <v>70</v>
      </c>
      <c r="T30">
        <v>72</v>
      </c>
      <c r="U30">
        <v>77</v>
      </c>
      <c r="V30">
        <v>78</v>
      </c>
      <c r="W30">
        <v>79</v>
      </c>
      <c r="X30">
        <v>82</v>
      </c>
      <c r="Y30">
        <v>84</v>
      </c>
      <c r="Z30" s="2">
        <f>AVERAGE(Sheet1__5[[#This Row],[00:00:00]:[23:00:00]])</f>
        <v>70</v>
      </c>
      <c r="AA30" t="str" cm="1">
        <f t="array" ref="AA30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1" spans="1:27" x14ac:dyDescent="0.3">
      <c r="A31" s="1">
        <v>45807</v>
      </c>
      <c r="B31">
        <v>85</v>
      </c>
      <c r="C31">
        <v>86</v>
      </c>
      <c r="D31">
        <v>88</v>
      </c>
      <c r="E31">
        <v>88</v>
      </c>
      <c r="F31">
        <v>89</v>
      </c>
      <c r="G31">
        <v>90</v>
      </c>
      <c r="H31">
        <v>91</v>
      </c>
      <c r="I31">
        <v>92</v>
      </c>
      <c r="J31">
        <v>93</v>
      </c>
      <c r="K31">
        <v>94</v>
      </c>
      <c r="L31">
        <v>95</v>
      </c>
      <c r="M31">
        <v>95</v>
      </c>
      <c r="N31">
        <v>94</v>
      </c>
      <c r="O31">
        <v>95</v>
      </c>
      <c r="P31">
        <v>95</v>
      </c>
      <c r="Q31">
        <v>95</v>
      </c>
      <c r="R31">
        <v>94</v>
      </c>
      <c r="S31">
        <v>94</v>
      </c>
      <c r="T31">
        <v>94</v>
      </c>
      <c r="U31">
        <v>93</v>
      </c>
      <c r="V31">
        <v>92</v>
      </c>
      <c r="W31">
        <v>92</v>
      </c>
      <c r="X31">
        <v>91</v>
      </c>
      <c r="Y31">
        <v>92</v>
      </c>
      <c r="Z31" s="2">
        <f>AVERAGE(Sheet1__5[[#This Row],[00:00:00]:[23:00:00]])</f>
        <v>91.958333333333329</v>
      </c>
      <c r="AA31" t="str" cm="1">
        <f t="array" ref="AA31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2" spans="1:27" x14ac:dyDescent="0.3">
      <c r="A32" s="1">
        <v>45808</v>
      </c>
      <c r="B32">
        <v>93</v>
      </c>
      <c r="C32">
        <v>93</v>
      </c>
      <c r="D32">
        <v>94</v>
      </c>
      <c r="E32">
        <v>94</v>
      </c>
      <c r="F32">
        <v>95</v>
      </c>
      <c r="G32">
        <v>95</v>
      </c>
      <c r="H32">
        <v>95</v>
      </c>
      <c r="I32">
        <v>95</v>
      </c>
      <c r="J32">
        <v>94</v>
      </c>
      <c r="K32">
        <v>93</v>
      </c>
      <c r="L32">
        <v>92</v>
      </c>
      <c r="M32">
        <v>90</v>
      </c>
      <c r="N32">
        <v>90</v>
      </c>
      <c r="O32">
        <v>89</v>
      </c>
      <c r="P32">
        <v>89</v>
      </c>
      <c r="Q32">
        <v>88</v>
      </c>
      <c r="R32">
        <v>87</v>
      </c>
      <c r="S32">
        <v>85</v>
      </c>
      <c r="T32">
        <v>85</v>
      </c>
      <c r="U32">
        <v>83</v>
      </c>
      <c r="V32">
        <v>82</v>
      </c>
      <c r="W32">
        <v>82</v>
      </c>
      <c r="X32">
        <v>81</v>
      </c>
      <c r="Y32">
        <v>81</v>
      </c>
      <c r="Z32" s="2">
        <f>AVERAGE(Sheet1__5[[#This Row],[00:00:00]:[23:00:00]])</f>
        <v>89.375</v>
      </c>
      <c r="AA32" t="str" cm="1">
        <f t="array" ref="AA32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3" spans="26:27" x14ac:dyDescent="0.3">
      <c r="Z33" s="2">
        <f>AVERAGE(Sheet1__5[AVERAGE AQI])</f>
        <v>79.2416144514672</v>
      </c>
      <c r="AA33" s="3"/>
    </row>
  </sheetData>
  <conditionalFormatting sqref="AA1:AA1048576">
    <cfRule type="containsText" dxfId="27" priority="1" operator="containsText" text="BAD">
      <formula>NOT(ISERROR(SEARCH("BAD",AA1)))</formula>
    </cfRule>
    <cfRule type="containsText" dxfId="26" priority="2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C0D-98DE-48D2-813C-3B67137D4375}">
  <dimension ref="A1:AA32"/>
  <sheetViews>
    <sheetView topLeftCell="K1" workbookViewId="0">
      <selection activeCell="Z2" sqref="Z2"/>
    </sheetView>
  </sheetViews>
  <sheetFormatPr defaultRowHeight="14.4" x14ac:dyDescent="0.3"/>
  <cols>
    <col min="1" max="25" width="10.33203125" bestFit="1" customWidth="1"/>
    <col min="27" max="27" width="10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27</v>
      </c>
      <c r="AA1" t="s">
        <v>25</v>
      </c>
    </row>
    <row r="2" spans="1:27" x14ac:dyDescent="0.3">
      <c r="A2" s="1">
        <v>45809</v>
      </c>
      <c r="B2">
        <v>81</v>
      </c>
      <c r="C2">
        <v>81</v>
      </c>
      <c r="D2">
        <v>81</v>
      </c>
      <c r="E2">
        <v>80</v>
      </c>
      <c r="F2">
        <v>80</v>
      </c>
      <c r="G2">
        <v>80</v>
      </c>
      <c r="H2">
        <v>79</v>
      </c>
      <c r="I2">
        <v>79</v>
      </c>
      <c r="J2">
        <v>78</v>
      </c>
      <c r="K2">
        <v>77</v>
      </c>
      <c r="L2">
        <v>76</v>
      </c>
      <c r="M2">
        <v>75</v>
      </c>
      <c r="N2">
        <v>73</v>
      </c>
      <c r="O2">
        <v>71</v>
      </c>
      <c r="P2">
        <v>69</v>
      </c>
      <c r="Q2">
        <v>67</v>
      </c>
      <c r="R2">
        <v>66</v>
      </c>
      <c r="S2">
        <v>64</v>
      </c>
      <c r="T2">
        <v>63</v>
      </c>
      <c r="U2">
        <v>61</v>
      </c>
      <c r="V2">
        <v>60</v>
      </c>
      <c r="W2">
        <v>59</v>
      </c>
      <c r="X2">
        <v>59</v>
      </c>
      <c r="Y2">
        <v>59</v>
      </c>
      <c r="Z2" s="2">
        <f>AVERAGE(Sheet1__6[[#This Row],[00:00:00]:[23:00:00]])</f>
        <v>71.583333333333329</v>
      </c>
      <c r="AA2" t="str" cm="1">
        <f t="array" ref="AA2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3" spans="1:27" x14ac:dyDescent="0.3">
      <c r="A3" s="1">
        <v>45810</v>
      </c>
      <c r="B3">
        <v>59</v>
      </c>
      <c r="C3">
        <v>58</v>
      </c>
      <c r="D3">
        <v>59</v>
      </c>
      <c r="E3">
        <v>59</v>
      </c>
      <c r="F3">
        <v>59</v>
      </c>
      <c r="G3">
        <v>59</v>
      </c>
      <c r="H3">
        <v>58</v>
      </c>
      <c r="I3">
        <v>58</v>
      </c>
      <c r="J3">
        <v>58</v>
      </c>
      <c r="K3">
        <v>58</v>
      </c>
      <c r="L3">
        <v>58</v>
      </c>
      <c r="M3">
        <v>59</v>
      </c>
      <c r="N3">
        <v>58</v>
      </c>
      <c r="O3">
        <v>58</v>
      </c>
      <c r="P3">
        <v>58</v>
      </c>
      <c r="Q3">
        <v>58</v>
      </c>
      <c r="R3">
        <v>59</v>
      </c>
      <c r="S3">
        <v>59</v>
      </c>
      <c r="T3">
        <v>62</v>
      </c>
      <c r="U3">
        <v>62</v>
      </c>
      <c r="V3">
        <v>62</v>
      </c>
      <c r="W3">
        <v>63</v>
      </c>
      <c r="X3">
        <v>64</v>
      </c>
      <c r="Y3">
        <v>64</v>
      </c>
      <c r="Z3" s="2">
        <f>AVERAGE(Sheet1__6[[#This Row],[00:00:00]:[23:00:00]])</f>
        <v>59.541666666666664</v>
      </c>
      <c r="AA3" t="str" cm="1">
        <f t="array" ref="AA3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4" spans="1:27" x14ac:dyDescent="0.3">
      <c r="A4" s="1">
        <v>45811</v>
      </c>
      <c r="B4">
        <v>68</v>
      </c>
      <c r="C4">
        <v>69</v>
      </c>
      <c r="D4">
        <v>70</v>
      </c>
      <c r="E4">
        <v>71</v>
      </c>
      <c r="F4">
        <v>72</v>
      </c>
      <c r="G4">
        <v>72</v>
      </c>
      <c r="H4">
        <v>73</v>
      </c>
      <c r="I4">
        <v>73</v>
      </c>
      <c r="J4">
        <v>73</v>
      </c>
      <c r="K4">
        <v>75</v>
      </c>
      <c r="L4">
        <v>74</v>
      </c>
      <c r="M4">
        <v>74</v>
      </c>
      <c r="N4">
        <v>73</v>
      </c>
      <c r="O4">
        <v>73</v>
      </c>
      <c r="P4">
        <v>72</v>
      </c>
      <c r="Q4">
        <v>72</v>
      </c>
      <c r="R4">
        <v>72</v>
      </c>
      <c r="S4">
        <v>72</v>
      </c>
      <c r="W4">
        <v>70</v>
      </c>
      <c r="X4">
        <v>70</v>
      </c>
      <c r="Y4">
        <v>71</v>
      </c>
      <c r="Z4" s="2">
        <f>AVERAGE(Sheet1__6[[#This Row],[00:00:00]:[23:00:00]])</f>
        <v>71.857142857142861</v>
      </c>
      <c r="AA4" t="str" cm="1">
        <f t="array" ref="AA4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5" spans="1:27" x14ac:dyDescent="0.3">
      <c r="A5" s="1">
        <v>45812</v>
      </c>
      <c r="B5">
        <v>72</v>
      </c>
      <c r="C5">
        <v>74</v>
      </c>
      <c r="D5">
        <v>74</v>
      </c>
      <c r="E5">
        <v>74</v>
      </c>
      <c r="F5">
        <v>74</v>
      </c>
      <c r="G5">
        <v>74</v>
      </c>
      <c r="H5">
        <v>74</v>
      </c>
      <c r="I5">
        <v>75</v>
      </c>
      <c r="J5">
        <v>72</v>
      </c>
      <c r="K5">
        <v>72</v>
      </c>
      <c r="L5">
        <v>74</v>
      </c>
      <c r="M5">
        <v>73</v>
      </c>
      <c r="N5">
        <v>72</v>
      </c>
      <c r="O5">
        <v>71</v>
      </c>
      <c r="P5">
        <v>70</v>
      </c>
      <c r="Q5">
        <v>69</v>
      </c>
      <c r="R5">
        <v>68</v>
      </c>
      <c r="S5">
        <v>68</v>
      </c>
      <c r="T5">
        <v>67</v>
      </c>
      <c r="U5">
        <v>66</v>
      </c>
      <c r="V5">
        <v>66</v>
      </c>
      <c r="W5">
        <v>65</v>
      </c>
      <c r="X5">
        <v>65</v>
      </c>
      <c r="Y5">
        <v>66</v>
      </c>
      <c r="Z5" s="2">
        <f>AVERAGE(Sheet1__6[[#This Row],[00:00:00]:[23:00:00]])</f>
        <v>70.625</v>
      </c>
      <c r="AA5" t="str" cm="1">
        <f t="array" ref="AA5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6" spans="1:27" x14ac:dyDescent="0.3">
      <c r="A6" s="1">
        <v>45813</v>
      </c>
      <c r="B6">
        <v>67</v>
      </c>
      <c r="C6">
        <v>68</v>
      </c>
      <c r="D6">
        <v>71</v>
      </c>
      <c r="E6">
        <v>72</v>
      </c>
      <c r="G6">
        <v>74</v>
      </c>
      <c r="H6">
        <v>80</v>
      </c>
      <c r="I6">
        <v>80</v>
      </c>
      <c r="J6">
        <v>79</v>
      </c>
      <c r="K6">
        <v>80</v>
      </c>
      <c r="L6">
        <v>80</v>
      </c>
      <c r="M6">
        <v>79</v>
      </c>
      <c r="N6">
        <v>79</v>
      </c>
      <c r="O6">
        <v>79</v>
      </c>
      <c r="Q6">
        <v>82</v>
      </c>
      <c r="R6">
        <v>85</v>
      </c>
      <c r="S6">
        <v>86</v>
      </c>
      <c r="T6">
        <v>88</v>
      </c>
      <c r="U6">
        <v>90</v>
      </c>
      <c r="V6">
        <v>91</v>
      </c>
      <c r="W6">
        <v>92</v>
      </c>
      <c r="X6">
        <v>94</v>
      </c>
      <c r="Y6">
        <v>96</v>
      </c>
      <c r="Z6" s="2">
        <f>AVERAGE(Sheet1__6[[#This Row],[00:00:00]:[23:00:00]])</f>
        <v>81.454545454545453</v>
      </c>
      <c r="AA6" t="str" cm="1">
        <f t="array" ref="AA6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7" spans="1:27" x14ac:dyDescent="0.3">
      <c r="A7" s="1">
        <v>45814</v>
      </c>
      <c r="B7">
        <v>97</v>
      </c>
      <c r="C7">
        <v>98</v>
      </c>
      <c r="D7">
        <v>98</v>
      </c>
      <c r="E7">
        <v>98</v>
      </c>
      <c r="F7">
        <v>99</v>
      </c>
      <c r="G7">
        <v>100</v>
      </c>
      <c r="H7">
        <v>101</v>
      </c>
      <c r="I7">
        <v>101</v>
      </c>
      <c r="J7">
        <v>100</v>
      </c>
      <c r="K7">
        <v>99</v>
      </c>
      <c r="L7">
        <v>96</v>
      </c>
      <c r="M7">
        <v>95</v>
      </c>
      <c r="N7">
        <v>94</v>
      </c>
      <c r="O7">
        <v>93</v>
      </c>
      <c r="P7">
        <v>96</v>
      </c>
      <c r="Q7">
        <v>95</v>
      </c>
      <c r="R7">
        <v>95</v>
      </c>
      <c r="S7">
        <v>93</v>
      </c>
      <c r="T7">
        <v>93</v>
      </c>
      <c r="U7">
        <v>93</v>
      </c>
      <c r="V7">
        <v>91</v>
      </c>
      <c r="W7">
        <v>90</v>
      </c>
      <c r="X7">
        <v>88</v>
      </c>
      <c r="Y7">
        <v>87</v>
      </c>
      <c r="Z7" s="2">
        <f>AVERAGE(Sheet1__6[[#This Row],[00:00:00]:[23:00:00]])</f>
        <v>95.416666666666671</v>
      </c>
      <c r="AA7" t="str" cm="1">
        <f t="array" ref="AA7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8" spans="1:27" x14ac:dyDescent="0.3">
      <c r="A8" s="1">
        <v>45815</v>
      </c>
      <c r="B8">
        <v>86</v>
      </c>
      <c r="C8">
        <v>85</v>
      </c>
      <c r="D8">
        <v>84</v>
      </c>
      <c r="E8">
        <v>83</v>
      </c>
      <c r="F8">
        <v>82</v>
      </c>
      <c r="G8">
        <v>81</v>
      </c>
      <c r="H8">
        <v>81</v>
      </c>
      <c r="I8">
        <v>81</v>
      </c>
      <c r="J8">
        <v>81</v>
      </c>
      <c r="K8">
        <v>81</v>
      </c>
      <c r="L8">
        <v>80</v>
      </c>
      <c r="M8">
        <v>80</v>
      </c>
      <c r="N8">
        <v>80</v>
      </c>
      <c r="O8">
        <v>78</v>
      </c>
      <c r="P8">
        <v>77</v>
      </c>
      <c r="Q8">
        <v>76</v>
      </c>
      <c r="R8">
        <v>74</v>
      </c>
      <c r="S8">
        <v>74</v>
      </c>
      <c r="T8">
        <v>74</v>
      </c>
      <c r="U8">
        <v>74</v>
      </c>
      <c r="V8">
        <v>74</v>
      </c>
      <c r="W8">
        <v>73</v>
      </c>
      <c r="X8">
        <v>71</v>
      </c>
      <c r="Y8">
        <v>69</v>
      </c>
      <c r="Z8" s="2">
        <f>AVERAGE(Sheet1__6[[#This Row],[00:00:00]:[23:00:00]])</f>
        <v>78.291666666666671</v>
      </c>
      <c r="AA8" t="str" cm="1">
        <f t="array" ref="AA8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9" spans="1:27" x14ac:dyDescent="0.3">
      <c r="A9" s="1">
        <v>45816</v>
      </c>
      <c r="B9">
        <v>68</v>
      </c>
      <c r="C9">
        <v>67</v>
      </c>
      <c r="D9">
        <v>67</v>
      </c>
      <c r="E9">
        <v>68</v>
      </c>
      <c r="F9">
        <v>69</v>
      </c>
      <c r="G9">
        <v>68</v>
      </c>
      <c r="H9">
        <v>67</v>
      </c>
      <c r="I9">
        <v>65</v>
      </c>
      <c r="J9">
        <v>65</v>
      </c>
      <c r="K9">
        <v>63</v>
      </c>
      <c r="L9">
        <v>62</v>
      </c>
      <c r="M9">
        <v>59</v>
      </c>
      <c r="N9">
        <v>59</v>
      </c>
      <c r="O9">
        <v>58</v>
      </c>
      <c r="P9">
        <v>59</v>
      </c>
      <c r="Q9">
        <v>59</v>
      </c>
      <c r="R9">
        <v>62</v>
      </c>
      <c r="S9">
        <v>65</v>
      </c>
      <c r="U9">
        <v>69</v>
      </c>
      <c r="V9">
        <v>70</v>
      </c>
      <c r="W9">
        <v>69</v>
      </c>
      <c r="X9">
        <v>70</v>
      </c>
      <c r="Y9">
        <v>70</v>
      </c>
      <c r="Z9" s="2">
        <f>AVERAGE(Sheet1__6[[#This Row],[00:00:00]:[23:00:00]])</f>
        <v>65.130434782608702</v>
      </c>
      <c r="AA9" t="str" cm="1">
        <f t="array" ref="AA9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0" spans="1:27" x14ac:dyDescent="0.3">
      <c r="A10" s="1">
        <v>45817</v>
      </c>
      <c r="B10">
        <v>70</v>
      </c>
      <c r="C10">
        <v>69</v>
      </c>
      <c r="D10">
        <v>69</v>
      </c>
      <c r="E10">
        <v>69</v>
      </c>
      <c r="F10">
        <v>58</v>
      </c>
      <c r="G10">
        <v>58</v>
      </c>
      <c r="H10">
        <v>58</v>
      </c>
      <c r="I10">
        <v>58</v>
      </c>
      <c r="J10">
        <v>59</v>
      </c>
      <c r="K10">
        <v>60</v>
      </c>
      <c r="L10">
        <v>62</v>
      </c>
      <c r="M10">
        <v>63</v>
      </c>
      <c r="N10">
        <v>63</v>
      </c>
      <c r="O10">
        <v>65</v>
      </c>
      <c r="P10">
        <v>66</v>
      </c>
      <c r="Q10">
        <v>68</v>
      </c>
      <c r="R10">
        <v>70</v>
      </c>
      <c r="S10">
        <v>71</v>
      </c>
      <c r="T10">
        <v>74</v>
      </c>
      <c r="U10">
        <v>76</v>
      </c>
      <c r="V10">
        <v>77</v>
      </c>
      <c r="W10">
        <v>77</v>
      </c>
      <c r="X10">
        <v>77</v>
      </c>
      <c r="Y10">
        <v>76</v>
      </c>
      <c r="Z10" s="2">
        <f>AVERAGE(Sheet1__6[[#This Row],[00:00:00]:[23:00:00]])</f>
        <v>67.208333333333329</v>
      </c>
      <c r="AA10" t="str" cm="1">
        <f t="array" ref="AA10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1" spans="1:27" x14ac:dyDescent="0.3">
      <c r="A11" s="1">
        <v>45818</v>
      </c>
      <c r="B11">
        <v>75</v>
      </c>
      <c r="C11">
        <v>74</v>
      </c>
      <c r="D11">
        <v>74</v>
      </c>
      <c r="E11">
        <v>74</v>
      </c>
      <c r="F11">
        <v>80</v>
      </c>
      <c r="G11">
        <v>80</v>
      </c>
      <c r="H11">
        <v>80</v>
      </c>
      <c r="I11">
        <v>79</v>
      </c>
      <c r="J11">
        <v>80</v>
      </c>
      <c r="K11">
        <v>80</v>
      </c>
      <c r="L11">
        <v>77</v>
      </c>
      <c r="M11">
        <v>77</v>
      </c>
      <c r="N11">
        <v>78</v>
      </c>
      <c r="O11">
        <v>78</v>
      </c>
      <c r="P11">
        <v>78</v>
      </c>
      <c r="Q11">
        <v>79</v>
      </c>
      <c r="R11">
        <v>79</v>
      </c>
      <c r="S11">
        <v>81</v>
      </c>
      <c r="T11">
        <v>81</v>
      </c>
      <c r="U11">
        <v>82</v>
      </c>
      <c r="V11">
        <v>82</v>
      </c>
      <c r="W11">
        <v>83</v>
      </c>
      <c r="X11">
        <v>82</v>
      </c>
      <c r="Y11">
        <v>80</v>
      </c>
      <c r="Z11" s="2">
        <f>AVERAGE(Sheet1__6[[#This Row],[00:00:00]:[23:00:00]])</f>
        <v>78.875</v>
      </c>
      <c r="AA11" t="str" cm="1">
        <f t="array" ref="AA11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2" spans="1:27" x14ac:dyDescent="0.3">
      <c r="A12" s="1">
        <v>45819</v>
      </c>
      <c r="B12">
        <v>78</v>
      </c>
      <c r="C12">
        <v>76</v>
      </c>
      <c r="D12">
        <v>75</v>
      </c>
      <c r="E12">
        <v>76</v>
      </c>
      <c r="F12">
        <v>76</v>
      </c>
      <c r="G12">
        <v>76</v>
      </c>
      <c r="H12">
        <v>75</v>
      </c>
      <c r="I12">
        <v>75</v>
      </c>
      <c r="J12">
        <v>74</v>
      </c>
      <c r="K12">
        <v>73</v>
      </c>
      <c r="L12">
        <v>72</v>
      </c>
      <c r="M12">
        <v>71</v>
      </c>
      <c r="N12">
        <v>69</v>
      </c>
      <c r="O12">
        <v>67</v>
      </c>
      <c r="P12">
        <v>66</v>
      </c>
      <c r="Q12">
        <v>66</v>
      </c>
      <c r="R12">
        <v>65</v>
      </c>
      <c r="S12">
        <v>65</v>
      </c>
      <c r="T12">
        <v>67</v>
      </c>
      <c r="U12">
        <v>68</v>
      </c>
      <c r="V12">
        <v>68</v>
      </c>
      <c r="W12">
        <v>68</v>
      </c>
      <c r="X12">
        <v>68</v>
      </c>
      <c r="Y12">
        <v>68</v>
      </c>
      <c r="Z12" s="2">
        <f>AVERAGE(Sheet1__6[[#This Row],[00:00:00]:[23:00:00]])</f>
        <v>70.916666666666671</v>
      </c>
      <c r="AA12" t="str" cm="1">
        <f t="array" ref="AA12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3" spans="1:27" x14ac:dyDescent="0.3">
      <c r="A13" s="1">
        <v>45820</v>
      </c>
      <c r="B13">
        <v>68</v>
      </c>
      <c r="C13">
        <v>67</v>
      </c>
      <c r="D13">
        <v>66</v>
      </c>
      <c r="E13">
        <v>66</v>
      </c>
      <c r="F13">
        <v>65</v>
      </c>
      <c r="G13">
        <v>65</v>
      </c>
      <c r="H13">
        <v>65</v>
      </c>
      <c r="I13">
        <v>64</v>
      </c>
      <c r="J13">
        <v>64</v>
      </c>
      <c r="K13">
        <v>63</v>
      </c>
      <c r="L13">
        <v>63</v>
      </c>
      <c r="M13">
        <v>62</v>
      </c>
      <c r="N13">
        <v>62</v>
      </c>
      <c r="O13">
        <v>61</v>
      </c>
      <c r="P13">
        <v>61</v>
      </c>
      <c r="Q13">
        <v>60</v>
      </c>
      <c r="R13">
        <v>59</v>
      </c>
      <c r="S13">
        <v>58</v>
      </c>
      <c r="T13">
        <v>58</v>
      </c>
      <c r="U13">
        <v>60</v>
      </c>
      <c r="V13">
        <v>59</v>
      </c>
      <c r="W13">
        <v>60</v>
      </c>
      <c r="X13">
        <v>60</v>
      </c>
      <c r="Y13">
        <v>71</v>
      </c>
      <c r="Z13" s="2">
        <f>AVERAGE(Sheet1__6[[#This Row],[00:00:00]:[23:00:00]])</f>
        <v>62.791666666666664</v>
      </c>
      <c r="AA13" t="str" cm="1">
        <f t="array" ref="AA13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4" spans="1:27" x14ac:dyDescent="0.3">
      <c r="A14" s="1">
        <v>45821</v>
      </c>
      <c r="B14">
        <v>73</v>
      </c>
      <c r="C14">
        <v>74</v>
      </c>
      <c r="D14">
        <v>76</v>
      </c>
      <c r="E14">
        <v>77</v>
      </c>
      <c r="F14">
        <v>78</v>
      </c>
      <c r="G14">
        <v>80</v>
      </c>
      <c r="H14">
        <v>81</v>
      </c>
      <c r="I14">
        <v>80</v>
      </c>
      <c r="J14">
        <v>78</v>
      </c>
      <c r="K14">
        <v>77</v>
      </c>
      <c r="L14">
        <v>77</v>
      </c>
      <c r="M14">
        <v>76</v>
      </c>
      <c r="N14">
        <v>75</v>
      </c>
      <c r="O14">
        <v>74</v>
      </c>
      <c r="P14">
        <v>79</v>
      </c>
      <c r="Q14">
        <v>80</v>
      </c>
      <c r="R14">
        <v>76</v>
      </c>
      <c r="S14">
        <v>75</v>
      </c>
      <c r="T14">
        <v>76</v>
      </c>
      <c r="U14">
        <v>77</v>
      </c>
      <c r="V14">
        <v>77</v>
      </c>
      <c r="W14">
        <v>78</v>
      </c>
      <c r="X14">
        <v>87</v>
      </c>
      <c r="Y14">
        <v>89</v>
      </c>
      <c r="Z14" s="2">
        <f>AVERAGE(Sheet1__6[[#This Row],[00:00:00]:[23:00:00]])</f>
        <v>77.916666666666671</v>
      </c>
      <c r="AA14" t="str" cm="1">
        <f t="array" ref="AA14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5" spans="1:27" x14ac:dyDescent="0.3">
      <c r="A15" s="1">
        <v>45822</v>
      </c>
      <c r="B15">
        <v>82</v>
      </c>
      <c r="C15">
        <v>85</v>
      </c>
      <c r="D15">
        <v>90</v>
      </c>
      <c r="E15">
        <v>86</v>
      </c>
      <c r="F15">
        <v>82</v>
      </c>
      <c r="G15">
        <v>87</v>
      </c>
      <c r="H15">
        <v>92</v>
      </c>
      <c r="I15">
        <v>93</v>
      </c>
      <c r="J15">
        <v>91</v>
      </c>
      <c r="K15">
        <v>93</v>
      </c>
      <c r="L15">
        <v>91</v>
      </c>
      <c r="M15">
        <v>91</v>
      </c>
      <c r="N15">
        <v>89</v>
      </c>
      <c r="O15">
        <v>89</v>
      </c>
      <c r="P15">
        <v>104</v>
      </c>
      <c r="Q15">
        <v>105</v>
      </c>
      <c r="R15">
        <v>102</v>
      </c>
      <c r="S15">
        <v>102</v>
      </c>
      <c r="T15">
        <v>95</v>
      </c>
      <c r="U15">
        <v>97</v>
      </c>
      <c r="V15">
        <v>98</v>
      </c>
      <c r="W15">
        <v>98</v>
      </c>
      <c r="X15">
        <v>97</v>
      </c>
      <c r="Y15">
        <v>94</v>
      </c>
      <c r="Z15" s="2">
        <f>AVERAGE(Sheet1__6[[#This Row],[00:00:00]:[23:00:00]])</f>
        <v>93.041666666666671</v>
      </c>
      <c r="AA15" t="str" cm="1">
        <f t="array" ref="AA15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6" spans="1:27" x14ac:dyDescent="0.3">
      <c r="A16" s="1">
        <v>45823</v>
      </c>
      <c r="B16">
        <v>90</v>
      </c>
      <c r="C16">
        <v>88</v>
      </c>
      <c r="D16">
        <v>88</v>
      </c>
      <c r="E16">
        <v>89</v>
      </c>
      <c r="F16">
        <v>86</v>
      </c>
      <c r="G16">
        <v>86</v>
      </c>
      <c r="H16">
        <v>81</v>
      </c>
      <c r="I16">
        <v>79</v>
      </c>
      <c r="J16">
        <v>80</v>
      </c>
      <c r="K16">
        <v>78</v>
      </c>
      <c r="L16">
        <v>77</v>
      </c>
      <c r="M16">
        <v>75</v>
      </c>
      <c r="N16">
        <v>74</v>
      </c>
      <c r="O16">
        <v>73</v>
      </c>
      <c r="P16">
        <v>71</v>
      </c>
      <c r="Q16">
        <v>69</v>
      </c>
      <c r="R16">
        <v>67</v>
      </c>
      <c r="S16">
        <v>66</v>
      </c>
      <c r="T16">
        <v>63</v>
      </c>
      <c r="U16">
        <v>62</v>
      </c>
      <c r="V16">
        <v>61</v>
      </c>
      <c r="W16">
        <v>62</v>
      </c>
      <c r="X16">
        <v>69</v>
      </c>
      <c r="Y16">
        <v>65</v>
      </c>
      <c r="Z16" s="2">
        <f>AVERAGE(Sheet1__6[[#This Row],[00:00:00]:[23:00:00]])</f>
        <v>74.958333333333329</v>
      </c>
      <c r="AA16" t="str" cm="1">
        <f t="array" ref="AA16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7" spans="1:27" x14ac:dyDescent="0.3">
      <c r="A17" s="1">
        <v>45824</v>
      </c>
      <c r="B17">
        <v>67</v>
      </c>
      <c r="C17">
        <v>69</v>
      </c>
      <c r="D17">
        <v>70</v>
      </c>
      <c r="E17">
        <v>71</v>
      </c>
      <c r="F17">
        <v>72</v>
      </c>
      <c r="G17">
        <v>85</v>
      </c>
      <c r="H17">
        <v>83</v>
      </c>
      <c r="I17">
        <v>68</v>
      </c>
      <c r="J17">
        <v>67</v>
      </c>
      <c r="K17">
        <v>66</v>
      </c>
      <c r="L17">
        <v>65</v>
      </c>
      <c r="M17">
        <v>64</v>
      </c>
      <c r="N17">
        <v>62</v>
      </c>
      <c r="O17">
        <v>60</v>
      </c>
      <c r="P17">
        <v>58</v>
      </c>
      <c r="Q17">
        <v>55</v>
      </c>
      <c r="R17">
        <v>53</v>
      </c>
      <c r="S17">
        <v>53</v>
      </c>
      <c r="T17">
        <v>51</v>
      </c>
      <c r="U17">
        <v>46</v>
      </c>
      <c r="V17">
        <v>46</v>
      </c>
      <c r="W17">
        <v>46</v>
      </c>
      <c r="X17">
        <v>46</v>
      </c>
      <c r="Y17">
        <v>47</v>
      </c>
      <c r="Z17" s="2">
        <f>AVERAGE(Sheet1__6[[#This Row],[00:00:00]:[23:00:00]])</f>
        <v>61.25</v>
      </c>
      <c r="AA17" t="str" cm="1">
        <f t="array" ref="AA17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8" spans="1:27" x14ac:dyDescent="0.3">
      <c r="A18" s="1">
        <v>45825</v>
      </c>
      <c r="B18">
        <v>47</v>
      </c>
      <c r="C18">
        <v>48</v>
      </c>
      <c r="D18">
        <v>49</v>
      </c>
      <c r="E18">
        <v>50</v>
      </c>
      <c r="F18">
        <v>51</v>
      </c>
      <c r="G18">
        <v>50</v>
      </c>
      <c r="H18">
        <v>50</v>
      </c>
      <c r="I18">
        <v>49</v>
      </c>
      <c r="J18">
        <v>46</v>
      </c>
      <c r="K18">
        <v>46</v>
      </c>
      <c r="L18">
        <v>47</v>
      </c>
      <c r="M18">
        <v>47</v>
      </c>
      <c r="N18">
        <v>48</v>
      </c>
      <c r="O18">
        <v>48</v>
      </c>
      <c r="P18">
        <v>49</v>
      </c>
      <c r="Q18">
        <v>50</v>
      </c>
      <c r="R18">
        <v>50</v>
      </c>
      <c r="S18">
        <v>50</v>
      </c>
      <c r="T18">
        <v>50</v>
      </c>
      <c r="U18">
        <v>53</v>
      </c>
      <c r="V18">
        <v>55</v>
      </c>
      <c r="W18">
        <v>56</v>
      </c>
      <c r="X18">
        <v>58</v>
      </c>
      <c r="Y18">
        <v>58</v>
      </c>
      <c r="Z18" s="2">
        <f>AVERAGE(Sheet1__6[[#This Row],[00:00:00]:[23:00:00]])</f>
        <v>50.208333333333336</v>
      </c>
      <c r="AA18" t="str" cm="1">
        <f t="array" ref="AA18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9" spans="1:27" x14ac:dyDescent="0.3">
      <c r="A19" s="1">
        <v>45826</v>
      </c>
      <c r="B19">
        <v>60</v>
      </c>
      <c r="C19">
        <v>61</v>
      </c>
      <c r="D19">
        <v>61</v>
      </c>
      <c r="E19">
        <v>62</v>
      </c>
      <c r="F19">
        <v>63</v>
      </c>
      <c r="G19">
        <v>64</v>
      </c>
      <c r="H19">
        <v>64</v>
      </c>
      <c r="I19">
        <v>65</v>
      </c>
      <c r="J19">
        <v>64</v>
      </c>
      <c r="K19">
        <v>63</v>
      </c>
      <c r="L19">
        <v>62</v>
      </c>
      <c r="M19">
        <v>59</v>
      </c>
      <c r="N19">
        <v>57</v>
      </c>
      <c r="O19">
        <v>55</v>
      </c>
      <c r="P19">
        <v>53</v>
      </c>
      <c r="Q19">
        <v>53</v>
      </c>
      <c r="R19">
        <v>49</v>
      </c>
      <c r="S19">
        <v>48</v>
      </c>
      <c r="T19">
        <v>46</v>
      </c>
      <c r="U19">
        <v>45</v>
      </c>
      <c r="V19">
        <v>44</v>
      </c>
      <c r="W19">
        <v>43</v>
      </c>
      <c r="X19">
        <v>43</v>
      </c>
      <c r="Y19">
        <v>44</v>
      </c>
      <c r="Z19" s="2">
        <f>AVERAGE(Sheet1__6[[#This Row],[00:00:00]:[23:00:00]])</f>
        <v>55.333333333333336</v>
      </c>
      <c r="AA19" t="str" cm="1">
        <f t="array" ref="AA19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0" spans="1:27" x14ac:dyDescent="0.3">
      <c r="A20" s="1">
        <v>45827</v>
      </c>
      <c r="B20">
        <v>44</v>
      </c>
      <c r="C20">
        <v>46</v>
      </c>
      <c r="D20">
        <v>47</v>
      </c>
      <c r="E20">
        <v>48</v>
      </c>
      <c r="F20">
        <v>49</v>
      </c>
      <c r="G20">
        <v>50</v>
      </c>
      <c r="H20">
        <v>50</v>
      </c>
      <c r="I20">
        <v>49</v>
      </c>
      <c r="J20">
        <v>49</v>
      </c>
      <c r="K20">
        <v>49</v>
      </c>
      <c r="L20">
        <v>48</v>
      </c>
      <c r="M20">
        <v>47</v>
      </c>
      <c r="N20">
        <v>48</v>
      </c>
      <c r="O20">
        <v>46</v>
      </c>
      <c r="P20">
        <v>46</v>
      </c>
      <c r="Q20">
        <v>46</v>
      </c>
      <c r="R20">
        <v>47</v>
      </c>
      <c r="S20">
        <v>47</v>
      </c>
      <c r="T20">
        <v>47</v>
      </c>
      <c r="U20">
        <v>47</v>
      </c>
      <c r="V20">
        <v>48</v>
      </c>
      <c r="W20">
        <v>48</v>
      </c>
      <c r="X20">
        <v>49</v>
      </c>
      <c r="Y20">
        <v>50</v>
      </c>
      <c r="Z20" s="2">
        <f>AVERAGE(Sheet1__6[[#This Row],[00:00:00]:[23:00:00]])</f>
        <v>47.708333333333336</v>
      </c>
      <c r="AA20" t="str" cm="1">
        <f t="array" ref="AA20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1" spans="1:27" x14ac:dyDescent="0.3">
      <c r="A21" s="1">
        <v>45828</v>
      </c>
      <c r="B21">
        <v>50</v>
      </c>
      <c r="C21">
        <v>50</v>
      </c>
      <c r="D21">
        <v>51</v>
      </c>
      <c r="E21">
        <v>51</v>
      </c>
      <c r="F21">
        <v>51</v>
      </c>
      <c r="G21">
        <v>51</v>
      </c>
      <c r="H21">
        <v>50</v>
      </c>
      <c r="I21">
        <v>50</v>
      </c>
      <c r="J21">
        <v>50</v>
      </c>
      <c r="K21">
        <v>43</v>
      </c>
      <c r="L21">
        <v>43</v>
      </c>
      <c r="M21">
        <v>43</v>
      </c>
      <c r="N21">
        <v>42</v>
      </c>
      <c r="O21">
        <v>42</v>
      </c>
      <c r="P21">
        <v>41</v>
      </c>
      <c r="Q21">
        <v>42</v>
      </c>
      <c r="R21">
        <v>42</v>
      </c>
      <c r="S21">
        <v>42</v>
      </c>
      <c r="T21">
        <v>42</v>
      </c>
      <c r="U21">
        <v>43</v>
      </c>
      <c r="V21">
        <v>42</v>
      </c>
      <c r="W21">
        <v>43</v>
      </c>
      <c r="X21">
        <v>44</v>
      </c>
      <c r="Y21">
        <v>45</v>
      </c>
      <c r="Z21" s="2">
        <f>AVERAGE(Sheet1__6[[#This Row],[00:00:00]:[23:00:00]])</f>
        <v>45.541666666666664</v>
      </c>
      <c r="AA21" t="str" cm="1">
        <f t="array" ref="AA21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2" spans="1:27" x14ac:dyDescent="0.3">
      <c r="A22" s="1">
        <v>45829</v>
      </c>
      <c r="B22">
        <v>46</v>
      </c>
      <c r="C22">
        <v>45</v>
      </c>
      <c r="D22">
        <v>45</v>
      </c>
      <c r="E22">
        <v>45</v>
      </c>
      <c r="F22">
        <v>45</v>
      </c>
      <c r="G22">
        <v>45</v>
      </c>
      <c r="H22">
        <v>45</v>
      </c>
      <c r="I22">
        <v>46</v>
      </c>
      <c r="J22">
        <v>46</v>
      </c>
      <c r="K22">
        <v>46</v>
      </c>
      <c r="L22">
        <v>46</v>
      </c>
      <c r="P22">
        <v>44</v>
      </c>
      <c r="Q22">
        <v>44</v>
      </c>
      <c r="R22">
        <v>44</v>
      </c>
      <c r="S22">
        <v>45</v>
      </c>
      <c r="T22">
        <v>45</v>
      </c>
      <c r="U22">
        <v>46</v>
      </c>
      <c r="V22">
        <v>47</v>
      </c>
      <c r="W22">
        <v>47</v>
      </c>
      <c r="X22">
        <v>48</v>
      </c>
      <c r="Y22">
        <v>48</v>
      </c>
      <c r="Z22" s="2">
        <f>AVERAGE(Sheet1__6[[#This Row],[00:00:00]:[23:00:00]])</f>
        <v>45.61904761904762</v>
      </c>
      <c r="AA22" t="str" cm="1">
        <f t="array" ref="AA22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3" spans="1:27" x14ac:dyDescent="0.3">
      <c r="A23" s="1">
        <v>45830</v>
      </c>
      <c r="B23">
        <v>48</v>
      </c>
      <c r="C23">
        <v>49</v>
      </c>
      <c r="D23">
        <v>50</v>
      </c>
      <c r="E23">
        <v>50</v>
      </c>
      <c r="F23">
        <v>50</v>
      </c>
      <c r="G23">
        <v>50</v>
      </c>
      <c r="H23">
        <v>50</v>
      </c>
      <c r="I23">
        <v>51</v>
      </c>
      <c r="J23">
        <v>51</v>
      </c>
      <c r="K23">
        <v>51</v>
      </c>
      <c r="L23">
        <v>52</v>
      </c>
      <c r="M23">
        <v>52</v>
      </c>
      <c r="N23">
        <v>53</v>
      </c>
      <c r="O23">
        <v>53</v>
      </c>
      <c r="P23">
        <v>54</v>
      </c>
      <c r="Q23">
        <v>54</v>
      </c>
      <c r="R23">
        <v>55</v>
      </c>
      <c r="S23">
        <v>55</v>
      </c>
      <c r="T23">
        <v>55</v>
      </c>
      <c r="U23">
        <v>55</v>
      </c>
      <c r="V23">
        <v>55</v>
      </c>
      <c r="W23">
        <v>55</v>
      </c>
      <c r="X23">
        <v>56</v>
      </c>
      <c r="Y23">
        <v>55</v>
      </c>
      <c r="Z23" s="2">
        <f>AVERAGE(Sheet1__6[[#This Row],[00:00:00]:[23:00:00]])</f>
        <v>52.458333333333336</v>
      </c>
      <c r="AA23" t="str" cm="1">
        <f t="array" ref="AA23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4" spans="1:27" x14ac:dyDescent="0.3">
      <c r="A24" s="1">
        <v>45831</v>
      </c>
      <c r="B24">
        <v>55</v>
      </c>
      <c r="C24">
        <v>55</v>
      </c>
      <c r="D24">
        <v>56</v>
      </c>
      <c r="E24">
        <v>56</v>
      </c>
      <c r="F24">
        <v>56</v>
      </c>
      <c r="G24">
        <v>56</v>
      </c>
      <c r="H24">
        <v>56</v>
      </c>
      <c r="I24">
        <v>56</v>
      </c>
      <c r="J24">
        <v>56</v>
      </c>
      <c r="K24">
        <v>56</v>
      </c>
      <c r="L24">
        <v>55</v>
      </c>
      <c r="M24">
        <v>55</v>
      </c>
      <c r="N24">
        <v>54</v>
      </c>
      <c r="O24">
        <v>54</v>
      </c>
      <c r="P24">
        <v>53</v>
      </c>
      <c r="Q24">
        <v>53</v>
      </c>
      <c r="R24">
        <v>53</v>
      </c>
      <c r="S24">
        <v>52</v>
      </c>
      <c r="T24">
        <v>53</v>
      </c>
      <c r="U24">
        <v>53</v>
      </c>
      <c r="V24">
        <v>53</v>
      </c>
      <c r="W24">
        <v>53</v>
      </c>
      <c r="X24">
        <v>53</v>
      </c>
      <c r="Y24">
        <v>53</v>
      </c>
      <c r="Z24" s="2">
        <f>AVERAGE(Sheet1__6[[#This Row],[00:00:00]:[23:00:00]])</f>
        <v>54.375</v>
      </c>
      <c r="AA24" t="str" cm="1">
        <f t="array" ref="AA24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5" spans="1:27" x14ac:dyDescent="0.3">
      <c r="A25" s="1">
        <v>45832</v>
      </c>
      <c r="B25">
        <v>54</v>
      </c>
      <c r="C25">
        <v>54</v>
      </c>
      <c r="D25">
        <v>53</v>
      </c>
      <c r="E25">
        <v>53</v>
      </c>
      <c r="F25">
        <v>52</v>
      </c>
      <c r="G25">
        <v>52</v>
      </c>
      <c r="H25">
        <v>51</v>
      </c>
      <c r="I25">
        <v>51</v>
      </c>
      <c r="J25">
        <v>51</v>
      </c>
      <c r="K25">
        <v>53</v>
      </c>
      <c r="L25">
        <v>54</v>
      </c>
      <c r="M25">
        <v>54</v>
      </c>
      <c r="N25">
        <v>53</v>
      </c>
      <c r="O25">
        <v>54</v>
      </c>
      <c r="P25">
        <v>54</v>
      </c>
      <c r="Q25">
        <v>53</v>
      </c>
      <c r="R25">
        <v>53</v>
      </c>
      <c r="S25">
        <v>52</v>
      </c>
      <c r="T25">
        <v>50</v>
      </c>
      <c r="U25">
        <v>49</v>
      </c>
      <c r="V25">
        <v>49</v>
      </c>
      <c r="W25">
        <v>49</v>
      </c>
      <c r="X25">
        <v>49</v>
      </c>
      <c r="Y25">
        <v>50</v>
      </c>
      <c r="Z25" s="2">
        <f>AVERAGE(Sheet1__6[[#This Row],[00:00:00]:[23:00:00]])</f>
        <v>51.958333333333336</v>
      </c>
      <c r="AA25" t="str" cm="1">
        <f t="array" ref="AA25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6" spans="1:27" x14ac:dyDescent="0.3">
      <c r="A26" s="1">
        <v>45833</v>
      </c>
      <c r="B26">
        <v>51</v>
      </c>
      <c r="C26">
        <v>52</v>
      </c>
      <c r="D26">
        <v>52</v>
      </c>
      <c r="E26">
        <v>54</v>
      </c>
      <c r="F26">
        <v>54</v>
      </c>
      <c r="G26">
        <v>56</v>
      </c>
      <c r="H26">
        <v>57</v>
      </c>
      <c r="I26">
        <v>57</v>
      </c>
      <c r="J26">
        <v>58</v>
      </c>
      <c r="K26">
        <v>58</v>
      </c>
      <c r="L26">
        <v>58</v>
      </c>
      <c r="M26">
        <v>59</v>
      </c>
      <c r="N26">
        <v>60</v>
      </c>
      <c r="O26">
        <v>60</v>
      </c>
      <c r="P26">
        <v>60</v>
      </c>
      <c r="Q26">
        <v>60</v>
      </c>
      <c r="R26">
        <v>60</v>
      </c>
      <c r="S26">
        <v>60</v>
      </c>
      <c r="T26">
        <v>77</v>
      </c>
      <c r="U26">
        <v>61</v>
      </c>
      <c r="V26">
        <v>61</v>
      </c>
      <c r="W26">
        <v>61</v>
      </c>
      <c r="X26">
        <v>61</v>
      </c>
      <c r="Y26">
        <v>60</v>
      </c>
      <c r="Z26" s="2">
        <f>AVERAGE(Sheet1__6[[#This Row],[00:00:00]:[23:00:00]])</f>
        <v>58.625</v>
      </c>
      <c r="AA26" t="str" cm="1">
        <f t="array" ref="AA26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7" spans="1:27" x14ac:dyDescent="0.3">
      <c r="A27" s="1">
        <v>45834</v>
      </c>
      <c r="B27">
        <v>57</v>
      </c>
      <c r="C27">
        <v>54</v>
      </c>
      <c r="D27">
        <v>54</v>
      </c>
      <c r="E27">
        <v>55</v>
      </c>
      <c r="F27">
        <v>55</v>
      </c>
      <c r="G27">
        <v>56</v>
      </c>
      <c r="H27">
        <v>56</v>
      </c>
      <c r="I27">
        <v>56</v>
      </c>
      <c r="J27">
        <v>56</v>
      </c>
      <c r="K27">
        <v>56</v>
      </c>
      <c r="L27">
        <v>56</v>
      </c>
      <c r="M27">
        <v>55</v>
      </c>
      <c r="N27">
        <v>55</v>
      </c>
      <c r="O27">
        <v>55</v>
      </c>
      <c r="P27">
        <v>56</v>
      </c>
      <c r="Q27">
        <v>56</v>
      </c>
      <c r="R27">
        <v>56</v>
      </c>
      <c r="S27">
        <v>56</v>
      </c>
      <c r="U27">
        <v>56</v>
      </c>
      <c r="V27">
        <v>56</v>
      </c>
      <c r="W27">
        <v>56</v>
      </c>
      <c r="X27">
        <v>56</v>
      </c>
      <c r="Y27">
        <v>56</v>
      </c>
      <c r="Z27" s="2">
        <f>AVERAGE(Sheet1__6[[#This Row],[00:00:00]:[23:00:00]])</f>
        <v>55.652173913043477</v>
      </c>
      <c r="AA27" t="str" cm="1">
        <f t="array" ref="AA27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8" spans="1:27" x14ac:dyDescent="0.3">
      <c r="A28" s="1">
        <v>45835</v>
      </c>
      <c r="B28">
        <v>55</v>
      </c>
      <c r="C28">
        <v>55</v>
      </c>
      <c r="D28">
        <v>60</v>
      </c>
      <c r="E28">
        <v>60</v>
      </c>
      <c r="F28">
        <v>60</v>
      </c>
      <c r="G28">
        <v>60</v>
      </c>
      <c r="H28">
        <v>60</v>
      </c>
      <c r="I28">
        <v>61</v>
      </c>
      <c r="J28">
        <v>59</v>
      </c>
      <c r="K28">
        <v>59</v>
      </c>
      <c r="L28">
        <v>59</v>
      </c>
      <c r="M28">
        <v>59</v>
      </c>
      <c r="N28">
        <v>60</v>
      </c>
      <c r="O28">
        <v>60</v>
      </c>
      <c r="P28">
        <v>59</v>
      </c>
      <c r="Q28">
        <v>59</v>
      </c>
      <c r="R28">
        <v>58</v>
      </c>
      <c r="S28">
        <v>58</v>
      </c>
      <c r="T28">
        <v>56</v>
      </c>
      <c r="U28">
        <v>56</v>
      </c>
      <c r="V28">
        <v>56</v>
      </c>
      <c r="W28">
        <v>55</v>
      </c>
      <c r="X28">
        <v>58</v>
      </c>
      <c r="Y28">
        <v>60</v>
      </c>
      <c r="Z28" s="2">
        <f>AVERAGE(Sheet1__6[[#This Row],[00:00:00]:[23:00:00]])</f>
        <v>58.416666666666664</v>
      </c>
      <c r="AA28" t="str" cm="1">
        <f t="array" ref="AA28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9" spans="1:27" x14ac:dyDescent="0.3">
      <c r="A29" s="1">
        <v>45836</v>
      </c>
      <c r="B29">
        <v>61</v>
      </c>
      <c r="C29">
        <v>62</v>
      </c>
      <c r="D29">
        <v>64</v>
      </c>
      <c r="E29">
        <v>64</v>
      </c>
      <c r="F29">
        <v>67</v>
      </c>
      <c r="G29">
        <v>68</v>
      </c>
      <c r="H29">
        <v>67</v>
      </c>
      <c r="I29">
        <v>67</v>
      </c>
      <c r="J29">
        <v>65</v>
      </c>
      <c r="K29">
        <v>64</v>
      </c>
      <c r="L29">
        <v>63</v>
      </c>
      <c r="M29">
        <v>62</v>
      </c>
      <c r="N29">
        <v>61</v>
      </c>
      <c r="O29">
        <v>60</v>
      </c>
      <c r="P29">
        <v>60</v>
      </c>
      <c r="Q29">
        <v>61</v>
      </c>
      <c r="R29">
        <v>61</v>
      </c>
      <c r="S29">
        <v>61</v>
      </c>
      <c r="T29">
        <v>62</v>
      </c>
      <c r="U29">
        <v>62</v>
      </c>
      <c r="V29">
        <v>62</v>
      </c>
      <c r="W29">
        <v>62</v>
      </c>
      <c r="X29">
        <v>62</v>
      </c>
      <c r="Y29">
        <v>62</v>
      </c>
      <c r="Z29" s="2">
        <f>AVERAGE(Sheet1__6[[#This Row],[00:00:00]:[23:00:00]])</f>
        <v>62.916666666666664</v>
      </c>
      <c r="AA29" t="str" cm="1">
        <f t="array" ref="AA29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30" spans="1:27" x14ac:dyDescent="0.3">
      <c r="A30" s="1">
        <v>45837</v>
      </c>
      <c r="B30">
        <v>62</v>
      </c>
      <c r="C30">
        <v>63</v>
      </c>
      <c r="D30">
        <v>60</v>
      </c>
      <c r="E30">
        <v>60</v>
      </c>
      <c r="F30">
        <v>62</v>
      </c>
      <c r="G30">
        <v>62</v>
      </c>
      <c r="H30">
        <v>61</v>
      </c>
      <c r="I30">
        <v>60</v>
      </c>
      <c r="J30">
        <v>59</v>
      </c>
      <c r="K30">
        <v>58</v>
      </c>
      <c r="L30">
        <v>58</v>
      </c>
      <c r="M30">
        <v>56</v>
      </c>
      <c r="N30">
        <v>55</v>
      </c>
      <c r="O30">
        <v>54</v>
      </c>
      <c r="P30">
        <v>53</v>
      </c>
      <c r="Q30">
        <v>52</v>
      </c>
      <c r="R30">
        <v>51</v>
      </c>
      <c r="S30">
        <v>50</v>
      </c>
      <c r="T30">
        <v>49</v>
      </c>
      <c r="U30">
        <v>49</v>
      </c>
      <c r="V30">
        <v>48</v>
      </c>
      <c r="W30">
        <v>48</v>
      </c>
      <c r="X30">
        <v>48</v>
      </c>
      <c r="Y30">
        <v>48</v>
      </c>
      <c r="Z30" s="2">
        <f>AVERAGE(Sheet1__6[[#This Row],[00:00:00]:[23:00:00]])</f>
        <v>55.25</v>
      </c>
      <c r="AA30" t="str" cm="1">
        <f t="array" ref="AA30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31" spans="1:27" x14ac:dyDescent="0.3">
      <c r="A31" s="1">
        <v>45838</v>
      </c>
      <c r="B31">
        <v>48</v>
      </c>
      <c r="C31">
        <v>48</v>
      </c>
      <c r="D31">
        <v>48</v>
      </c>
      <c r="E31">
        <v>48</v>
      </c>
      <c r="F31">
        <v>49</v>
      </c>
      <c r="G31">
        <v>49</v>
      </c>
      <c r="H31">
        <v>49</v>
      </c>
      <c r="I31">
        <v>49</v>
      </c>
      <c r="J31">
        <v>49</v>
      </c>
      <c r="K31">
        <v>49</v>
      </c>
      <c r="L31">
        <v>49</v>
      </c>
      <c r="M31">
        <v>50</v>
      </c>
      <c r="N31">
        <v>50</v>
      </c>
      <c r="O31">
        <v>52</v>
      </c>
      <c r="P31">
        <v>52</v>
      </c>
      <c r="Q31">
        <v>48</v>
      </c>
      <c r="R31">
        <v>48</v>
      </c>
      <c r="S31">
        <v>48</v>
      </c>
      <c r="T31">
        <v>48</v>
      </c>
      <c r="U31">
        <v>51</v>
      </c>
      <c r="V31">
        <v>46</v>
      </c>
      <c r="W31">
        <v>46</v>
      </c>
      <c r="X31">
        <v>46</v>
      </c>
      <c r="Y31">
        <v>48</v>
      </c>
      <c r="Z31" s="2">
        <f>AVERAGE(Sheet1__6[[#This Row],[00:00:00]:[23:00:00]])</f>
        <v>48.666666666666664</v>
      </c>
      <c r="AA31" t="str" cm="1">
        <f t="array" ref="AA31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32" spans="1:27" x14ac:dyDescent="0.3">
      <c r="Z32" s="2">
        <f>AVERAGE(Sheet1__6[AVERAGE AQI])</f>
        <v>64.119611487546265</v>
      </c>
      <c r="AA32" s="3"/>
    </row>
  </sheetData>
  <conditionalFormatting sqref="AA1:AA1048576">
    <cfRule type="containsText" dxfId="25" priority="1" operator="containsText" text="GOOD">
      <formula>NOT(ISERROR(SEARCH("GOOD",AA1)))</formula>
    </cfRule>
    <cfRule type="containsText" dxfId="24" priority="2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4E86-99B0-498D-BD28-12ED6650E241}">
  <dimension ref="A1:AA33"/>
  <sheetViews>
    <sheetView topLeftCell="M11" workbookViewId="0">
      <selection activeCell="AB6" sqref="AB6"/>
    </sheetView>
  </sheetViews>
  <sheetFormatPr defaultRowHeight="14.4" x14ac:dyDescent="0.3"/>
  <cols>
    <col min="1" max="25" width="10.33203125" bestFit="1" customWidth="1"/>
    <col min="26" max="26" width="11.21875" bestFit="1" customWidth="1"/>
    <col min="27" max="27" width="10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27</v>
      </c>
      <c r="AA1" t="s">
        <v>25</v>
      </c>
    </row>
    <row r="2" spans="1:27" x14ac:dyDescent="0.3">
      <c r="A2" s="1">
        <v>45839</v>
      </c>
      <c r="B2">
        <v>48</v>
      </c>
      <c r="C2">
        <v>49</v>
      </c>
      <c r="D2">
        <v>49</v>
      </c>
      <c r="E2">
        <v>48</v>
      </c>
      <c r="F2">
        <v>49</v>
      </c>
      <c r="G2">
        <v>49</v>
      </c>
      <c r="H2">
        <v>49</v>
      </c>
      <c r="I2">
        <v>48</v>
      </c>
      <c r="J2">
        <v>48</v>
      </c>
      <c r="K2">
        <v>47</v>
      </c>
      <c r="L2">
        <v>47</v>
      </c>
      <c r="M2">
        <v>47</v>
      </c>
      <c r="O2">
        <v>45</v>
      </c>
      <c r="P2">
        <v>46</v>
      </c>
      <c r="Q2">
        <v>48</v>
      </c>
      <c r="R2">
        <v>52</v>
      </c>
      <c r="S2">
        <v>47</v>
      </c>
      <c r="T2">
        <v>45</v>
      </c>
      <c r="U2">
        <v>44</v>
      </c>
      <c r="V2">
        <v>45</v>
      </c>
      <c r="W2">
        <v>46</v>
      </c>
      <c r="X2">
        <v>47</v>
      </c>
      <c r="Y2">
        <v>46</v>
      </c>
      <c r="Z2" s="2">
        <f>AVERAGE(Sheet1__7[[#This Row],[00:00:00]:[23:00:00]])</f>
        <v>47.347826086956523</v>
      </c>
      <c r="AA2" t="str" cm="1">
        <f t="array" ref="AA2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3" spans="1:27" x14ac:dyDescent="0.3">
      <c r="A3" s="1">
        <v>45840</v>
      </c>
      <c r="B3">
        <v>45</v>
      </c>
      <c r="C3">
        <v>45</v>
      </c>
      <c r="D3">
        <v>46</v>
      </c>
      <c r="E3">
        <v>48</v>
      </c>
      <c r="F3">
        <v>47</v>
      </c>
      <c r="G3">
        <v>46</v>
      </c>
      <c r="H3">
        <v>46</v>
      </c>
      <c r="I3">
        <v>46</v>
      </c>
      <c r="J3">
        <v>46</v>
      </c>
      <c r="K3">
        <v>46</v>
      </c>
      <c r="L3">
        <v>47</v>
      </c>
      <c r="M3">
        <v>47</v>
      </c>
      <c r="N3">
        <v>48</v>
      </c>
      <c r="O3">
        <v>49</v>
      </c>
      <c r="P3">
        <v>50</v>
      </c>
      <c r="Q3">
        <v>51</v>
      </c>
      <c r="R3">
        <v>51</v>
      </c>
      <c r="S3">
        <v>50</v>
      </c>
      <c r="T3">
        <v>50</v>
      </c>
      <c r="U3">
        <v>49</v>
      </c>
      <c r="V3">
        <v>49</v>
      </c>
      <c r="W3">
        <v>50</v>
      </c>
      <c r="X3">
        <v>50</v>
      </c>
      <c r="Y3">
        <v>50</v>
      </c>
      <c r="Z3" s="2">
        <f>AVERAGE(Sheet1__7[[#This Row],[00:00:00]:[23:00:00]])</f>
        <v>48</v>
      </c>
      <c r="AA3" t="str" cm="1">
        <f t="array" ref="AA3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4" spans="1:27" x14ac:dyDescent="0.3">
      <c r="A4" s="1">
        <v>45841</v>
      </c>
      <c r="B4">
        <v>48</v>
      </c>
      <c r="C4">
        <v>48</v>
      </c>
      <c r="D4">
        <v>47</v>
      </c>
      <c r="E4">
        <v>46</v>
      </c>
      <c r="F4">
        <v>45</v>
      </c>
      <c r="G4">
        <v>45</v>
      </c>
      <c r="H4">
        <v>47</v>
      </c>
      <c r="I4">
        <v>48</v>
      </c>
      <c r="J4">
        <v>48</v>
      </c>
      <c r="K4">
        <v>47</v>
      </c>
      <c r="L4">
        <v>46</v>
      </c>
      <c r="M4">
        <v>45</v>
      </c>
      <c r="N4">
        <v>45</v>
      </c>
      <c r="O4">
        <v>45</v>
      </c>
      <c r="P4">
        <v>44</v>
      </c>
      <c r="Q4">
        <v>44</v>
      </c>
      <c r="R4">
        <v>44</v>
      </c>
      <c r="S4">
        <v>42</v>
      </c>
      <c r="T4">
        <v>46</v>
      </c>
      <c r="U4">
        <v>47</v>
      </c>
      <c r="V4">
        <v>47</v>
      </c>
      <c r="W4">
        <v>58</v>
      </c>
      <c r="X4">
        <v>61</v>
      </c>
      <c r="Y4">
        <v>62</v>
      </c>
      <c r="Z4" s="2">
        <f>AVERAGE(Sheet1__7[[#This Row],[00:00:00]:[23:00:00]])</f>
        <v>47.708333333333336</v>
      </c>
      <c r="AA4" t="str" cm="1">
        <f t="array" ref="AA4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5" spans="1:27" x14ac:dyDescent="0.3">
      <c r="A5" s="1">
        <v>45842</v>
      </c>
      <c r="B5">
        <v>57</v>
      </c>
      <c r="C5">
        <v>58</v>
      </c>
      <c r="D5">
        <v>59</v>
      </c>
      <c r="E5">
        <v>60</v>
      </c>
      <c r="F5">
        <v>58</v>
      </c>
      <c r="G5">
        <v>58</v>
      </c>
      <c r="H5">
        <v>59</v>
      </c>
      <c r="I5">
        <v>58</v>
      </c>
      <c r="J5">
        <v>57</v>
      </c>
      <c r="K5">
        <v>57</v>
      </c>
      <c r="L5">
        <v>58</v>
      </c>
      <c r="M5">
        <v>59</v>
      </c>
      <c r="N5">
        <v>59</v>
      </c>
      <c r="O5">
        <v>57</v>
      </c>
      <c r="P5">
        <v>56</v>
      </c>
      <c r="Q5">
        <v>54</v>
      </c>
      <c r="R5">
        <v>53</v>
      </c>
      <c r="S5">
        <v>53</v>
      </c>
      <c r="T5">
        <v>52</v>
      </c>
      <c r="U5">
        <v>50</v>
      </c>
      <c r="V5">
        <v>48</v>
      </c>
      <c r="W5">
        <v>48</v>
      </c>
      <c r="X5">
        <v>48</v>
      </c>
      <c r="Y5">
        <v>49</v>
      </c>
      <c r="Z5" s="2">
        <f>AVERAGE(Sheet1__7[[#This Row],[00:00:00]:[23:00:00]])</f>
        <v>55.208333333333336</v>
      </c>
      <c r="AA5" t="str" cm="1">
        <f t="array" ref="AA5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6" spans="1:27" x14ac:dyDescent="0.3">
      <c r="A6" s="1">
        <v>45843</v>
      </c>
      <c r="B6">
        <v>49</v>
      </c>
      <c r="C6">
        <v>49</v>
      </c>
      <c r="D6">
        <v>49</v>
      </c>
      <c r="E6">
        <v>50</v>
      </c>
      <c r="F6">
        <v>51</v>
      </c>
      <c r="G6">
        <v>51</v>
      </c>
      <c r="H6">
        <v>51</v>
      </c>
      <c r="I6">
        <v>51</v>
      </c>
      <c r="J6">
        <v>50</v>
      </c>
      <c r="K6">
        <v>49</v>
      </c>
      <c r="L6">
        <v>49</v>
      </c>
      <c r="M6">
        <v>48</v>
      </c>
      <c r="N6">
        <v>47</v>
      </c>
      <c r="O6">
        <v>46</v>
      </c>
      <c r="P6">
        <v>46</v>
      </c>
      <c r="Q6">
        <v>45</v>
      </c>
      <c r="R6">
        <v>44</v>
      </c>
      <c r="S6">
        <v>43</v>
      </c>
      <c r="T6">
        <v>43</v>
      </c>
      <c r="U6">
        <v>42</v>
      </c>
      <c r="V6">
        <v>42</v>
      </c>
      <c r="W6">
        <v>43</v>
      </c>
      <c r="X6">
        <v>42</v>
      </c>
      <c r="Y6">
        <v>42</v>
      </c>
      <c r="Z6" s="2">
        <f>AVERAGE(Sheet1__7[[#This Row],[00:00:00]:[23:00:00]])</f>
        <v>46.75</v>
      </c>
      <c r="AA6" t="str" cm="1">
        <f t="array" ref="AA6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7" spans="1:27" x14ac:dyDescent="0.3">
      <c r="A7" s="1">
        <v>45844</v>
      </c>
      <c r="B7">
        <v>42</v>
      </c>
      <c r="C7">
        <v>43</v>
      </c>
      <c r="D7">
        <v>43</v>
      </c>
      <c r="E7">
        <v>43</v>
      </c>
      <c r="F7">
        <v>43</v>
      </c>
      <c r="G7">
        <v>42</v>
      </c>
      <c r="H7">
        <v>42</v>
      </c>
      <c r="I7">
        <v>43</v>
      </c>
      <c r="J7">
        <v>44</v>
      </c>
      <c r="K7">
        <v>45</v>
      </c>
      <c r="L7">
        <v>45</v>
      </c>
      <c r="M7">
        <v>45</v>
      </c>
      <c r="N7">
        <v>46</v>
      </c>
      <c r="O7">
        <v>46</v>
      </c>
      <c r="P7">
        <v>46</v>
      </c>
      <c r="Q7">
        <v>46</v>
      </c>
      <c r="R7">
        <v>47</v>
      </c>
      <c r="S7">
        <v>47</v>
      </c>
      <c r="T7">
        <v>48</v>
      </c>
      <c r="U7">
        <v>48</v>
      </c>
      <c r="V7">
        <v>48</v>
      </c>
      <c r="W7">
        <v>48</v>
      </c>
      <c r="X7">
        <v>49</v>
      </c>
      <c r="Y7">
        <v>49</v>
      </c>
      <c r="Z7" s="2">
        <f>AVERAGE(Sheet1__7[[#This Row],[00:00:00]:[23:00:00]])</f>
        <v>45.333333333333336</v>
      </c>
      <c r="AA7" t="str" cm="1">
        <f t="array" ref="AA7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8" spans="1:27" x14ac:dyDescent="0.3">
      <c r="A8" s="1">
        <v>45845</v>
      </c>
      <c r="B8">
        <v>49</v>
      </c>
      <c r="C8">
        <v>49</v>
      </c>
      <c r="D8">
        <v>49</v>
      </c>
      <c r="E8">
        <v>49</v>
      </c>
      <c r="F8">
        <v>49</v>
      </c>
      <c r="G8">
        <v>52</v>
      </c>
      <c r="H8">
        <v>51</v>
      </c>
      <c r="I8">
        <v>50</v>
      </c>
      <c r="J8">
        <v>49</v>
      </c>
      <c r="K8">
        <v>50</v>
      </c>
      <c r="L8">
        <v>49</v>
      </c>
      <c r="M8">
        <v>44</v>
      </c>
      <c r="N8">
        <v>43</v>
      </c>
      <c r="O8">
        <v>43</v>
      </c>
      <c r="P8">
        <v>43</v>
      </c>
      <c r="Q8">
        <v>43</v>
      </c>
      <c r="R8">
        <v>43</v>
      </c>
      <c r="S8">
        <v>44</v>
      </c>
      <c r="T8">
        <v>51</v>
      </c>
      <c r="U8">
        <v>45</v>
      </c>
      <c r="V8">
        <v>45</v>
      </c>
      <c r="W8">
        <v>46</v>
      </c>
      <c r="X8">
        <v>46</v>
      </c>
      <c r="Y8">
        <v>47</v>
      </c>
      <c r="Z8" s="2">
        <f>AVERAGE(Sheet1__7[[#This Row],[00:00:00]:[23:00:00]])</f>
        <v>47.041666666666664</v>
      </c>
      <c r="AA8" t="str" cm="1">
        <f t="array" ref="AA8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9" spans="1:27" x14ac:dyDescent="0.3">
      <c r="A9" s="1">
        <v>45846</v>
      </c>
      <c r="B9">
        <v>48</v>
      </c>
      <c r="C9">
        <v>49</v>
      </c>
      <c r="D9">
        <v>49</v>
      </c>
      <c r="E9">
        <v>50</v>
      </c>
      <c r="F9">
        <v>52</v>
      </c>
      <c r="G9">
        <v>52</v>
      </c>
      <c r="H9">
        <v>53</v>
      </c>
      <c r="I9">
        <v>55</v>
      </c>
      <c r="J9">
        <v>56</v>
      </c>
      <c r="K9">
        <v>57</v>
      </c>
      <c r="L9">
        <v>58</v>
      </c>
      <c r="M9">
        <v>59</v>
      </c>
      <c r="N9">
        <v>59</v>
      </c>
      <c r="O9">
        <v>59</v>
      </c>
      <c r="P9">
        <v>60</v>
      </c>
      <c r="Q9">
        <v>60</v>
      </c>
      <c r="R9">
        <v>58</v>
      </c>
      <c r="S9">
        <v>58</v>
      </c>
      <c r="T9">
        <v>58</v>
      </c>
      <c r="U9">
        <v>59</v>
      </c>
      <c r="V9">
        <v>58</v>
      </c>
      <c r="W9">
        <v>59</v>
      </c>
      <c r="X9">
        <v>58</v>
      </c>
      <c r="Y9">
        <v>58</v>
      </c>
      <c r="Z9" s="2">
        <f>AVERAGE(Sheet1__7[[#This Row],[00:00:00]:[23:00:00]])</f>
        <v>55.916666666666664</v>
      </c>
      <c r="AA9" t="str" cm="1">
        <f t="array" ref="AA9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0" spans="1:27" x14ac:dyDescent="0.3">
      <c r="A10" s="1">
        <v>45847</v>
      </c>
      <c r="B10">
        <v>58</v>
      </c>
      <c r="C10">
        <v>58</v>
      </c>
      <c r="D10">
        <v>59</v>
      </c>
      <c r="E10">
        <v>58</v>
      </c>
      <c r="F10">
        <v>57</v>
      </c>
      <c r="G10">
        <v>57</v>
      </c>
      <c r="H10">
        <v>57</v>
      </c>
      <c r="I10">
        <v>58</v>
      </c>
      <c r="J10">
        <v>58</v>
      </c>
      <c r="K10">
        <v>58</v>
      </c>
      <c r="L10">
        <v>58</v>
      </c>
      <c r="M10">
        <v>58</v>
      </c>
      <c r="N10">
        <v>59</v>
      </c>
      <c r="O10">
        <v>60</v>
      </c>
      <c r="P10">
        <v>60</v>
      </c>
      <c r="Q10">
        <v>61</v>
      </c>
      <c r="R10">
        <v>61</v>
      </c>
      <c r="S10">
        <v>62</v>
      </c>
      <c r="T10">
        <v>62</v>
      </c>
      <c r="U10">
        <v>62</v>
      </c>
      <c r="V10">
        <v>61</v>
      </c>
      <c r="W10">
        <v>61</v>
      </c>
      <c r="X10">
        <v>63</v>
      </c>
      <c r="Y10">
        <v>64</v>
      </c>
      <c r="Z10" s="2">
        <f>AVERAGE(Sheet1__7[[#This Row],[00:00:00]:[23:00:00]])</f>
        <v>59.583333333333336</v>
      </c>
      <c r="AA10" t="str" cm="1">
        <f t="array" ref="AA10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1" spans="1:27" x14ac:dyDescent="0.3">
      <c r="A11" s="1">
        <v>45848</v>
      </c>
      <c r="B11">
        <v>68</v>
      </c>
      <c r="C11">
        <v>64</v>
      </c>
      <c r="D11">
        <v>64</v>
      </c>
      <c r="E11">
        <v>63</v>
      </c>
      <c r="F11">
        <v>63</v>
      </c>
      <c r="G11">
        <v>63</v>
      </c>
      <c r="H11">
        <v>63</v>
      </c>
      <c r="I11">
        <v>63</v>
      </c>
      <c r="J11">
        <v>62</v>
      </c>
      <c r="K11">
        <v>62</v>
      </c>
      <c r="L11">
        <v>62</v>
      </c>
      <c r="M11">
        <v>62</v>
      </c>
      <c r="N11">
        <v>61</v>
      </c>
      <c r="O11">
        <v>60</v>
      </c>
      <c r="P11">
        <v>59</v>
      </c>
      <c r="Q11">
        <v>59</v>
      </c>
      <c r="R11">
        <v>57</v>
      </c>
      <c r="S11">
        <v>55</v>
      </c>
      <c r="T11">
        <v>53</v>
      </c>
      <c r="U11">
        <v>53</v>
      </c>
      <c r="V11">
        <v>54</v>
      </c>
      <c r="W11">
        <v>54</v>
      </c>
      <c r="X11">
        <v>56</v>
      </c>
      <c r="Y11">
        <v>58</v>
      </c>
      <c r="Z11" s="2">
        <f>AVERAGE(Sheet1__7[[#This Row],[00:00:00]:[23:00:00]])</f>
        <v>59.916666666666664</v>
      </c>
      <c r="AA11" t="str" cm="1">
        <f t="array" ref="AA11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2" spans="1:27" x14ac:dyDescent="0.3">
      <c r="A12" s="1">
        <v>45849</v>
      </c>
      <c r="B12">
        <v>59</v>
      </c>
      <c r="C12">
        <v>60</v>
      </c>
      <c r="D12">
        <v>62</v>
      </c>
      <c r="E12">
        <v>64</v>
      </c>
      <c r="F12">
        <v>64</v>
      </c>
      <c r="G12">
        <v>64</v>
      </c>
      <c r="H12">
        <v>62</v>
      </c>
      <c r="I12">
        <v>63</v>
      </c>
      <c r="J12">
        <v>62</v>
      </c>
      <c r="K12">
        <v>62</v>
      </c>
      <c r="L12">
        <v>61</v>
      </c>
      <c r="M12">
        <v>61</v>
      </c>
      <c r="N12">
        <v>61</v>
      </c>
      <c r="O12">
        <v>61</v>
      </c>
      <c r="P12">
        <v>62</v>
      </c>
      <c r="Q12">
        <v>62</v>
      </c>
      <c r="R12">
        <v>60</v>
      </c>
      <c r="S12">
        <v>60</v>
      </c>
      <c r="T12">
        <v>59</v>
      </c>
      <c r="U12">
        <v>58</v>
      </c>
      <c r="V12">
        <v>55</v>
      </c>
      <c r="W12">
        <v>55</v>
      </c>
      <c r="X12">
        <v>55</v>
      </c>
      <c r="Y12">
        <v>55</v>
      </c>
      <c r="Z12" s="2">
        <f>AVERAGE(Sheet1__7[[#This Row],[00:00:00]:[23:00:00]])</f>
        <v>60.291666666666664</v>
      </c>
      <c r="AA12" t="str" cm="1">
        <f t="array" ref="AA12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3" spans="1:27" x14ac:dyDescent="0.3">
      <c r="A13" s="1">
        <v>45850</v>
      </c>
      <c r="B13">
        <v>54</v>
      </c>
      <c r="C13">
        <v>54</v>
      </c>
      <c r="D13">
        <v>54</v>
      </c>
      <c r="E13">
        <v>53</v>
      </c>
      <c r="F13">
        <v>53</v>
      </c>
      <c r="G13">
        <v>53</v>
      </c>
      <c r="H13">
        <v>53</v>
      </c>
      <c r="I13">
        <v>53</v>
      </c>
      <c r="J13">
        <v>53</v>
      </c>
      <c r="K13">
        <v>54</v>
      </c>
      <c r="L13">
        <v>54</v>
      </c>
      <c r="M13">
        <v>54</v>
      </c>
      <c r="N13">
        <v>54</v>
      </c>
      <c r="O13">
        <v>53</v>
      </c>
      <c r="P13">
        <v>53</v>
      </c>
      <c r="Q13">
        <v>53</v>
      </c>
      <c r="R13">
        <v>54</v>
      </c>
      <c r="S13">
        <v>54</v>
      </c>
      <c r="T13">
        <v>54</v>
      </c>
      <c r="U13">
        <v>54</v>
      </c>
      <c r="V13">
        <v>53</v>
      </c>
      <c r="W13">
        <v>54</v>
      </c>
      <c r="X13">
        <v>54</v>
      </c>
      <c r="Y13">
        <v>53</v>
      </c>
      <c r="Z13" s="2">
        <f>AVERAGE(Sheet1__7[[#This Row],[00:00:00]:[23:00:00]])</f>
        <v>53.541666666666664</v>
      </c>
      <c r="AA13" t="str" cm="1">
        <f t="array" ref="AA13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4" spans="1:27" x14ac:dyDescent="0.3">
      <c r="A14" s="1">
        <v>45851</v>
      </c>
      <c r="B14">
        <v>53</v>
      </c>
      <c r="C14">
        <v>53</v>
      </c>
      <c r="D14">
        <v>53</v>
      </c>
      <c r="E14">
        <v>54</v>
      </c>
      <c r="F14">
        <v>53</v>
      </c>
      <c r="G14">
        <v>55</v>
      </c>
      <c r="H14">
        <v>56</v>
      </c>
      <c r="I14">
        <v>56</v>
      </c>
      <c r="J14">
        <v>56</v>
      </c>
      <c r="K14">
        <v>56</v>
      </c>
      <c r="L14">
        <v>56</v>
      </c>
      <c r="M14">
        <v>57</v>
      </c>
      <c r="N14">
        <v>58</v>
      </c>
      <c r="O14">
        <v>59</v>
      </c>
      <c r="P14">
        <v>59</v>
      </c>
      <c r="Q14">
        <v>59</v>
      </c>
      <c r="R14">
        <v>58</v>
      </c>
      <c r="S14">
        <v>58</v>
      </c>
      <c r="T14">
        <v>58</v>
      </c>
      <c r="U14">
        <v>58</v>
      </c>
      <c r="V14">
        <v>58</v>
      </c>
      <c r="W14">
        <v>58</v>
      </c>
      <c r="X14">
        <v>57</v>
      </c>
      <c r="Y14">
        <v>57</v>
      </c>
      <c r="Z14" s="2">
        <f>AVERAGE(Sheet1__7[[#This Row],[00:00:00]:[23:00:00]])</f>
        <v>56.458333333333336</v>
      </c>
      <c r="AA14" t="str" cm="1">
        <f t="array" ref="AA14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5" spans="1:27" x14ac:dyDescent="0.3">
      <c r="A15" s="1">
        <v>45852</v>
      </c>
      <c r="B15">
        <v>57</v>
      </c>
      <c r="C15">
        <v>57</v>
      </c>
      <c r="D15">
        <v>56</v>
      </c>
      <c r="E15">
        <v>55</v>
      </c>
      <c r="F15">
        <v>55</v>
      </c>
      <c r="G15">
        <v>55</v>
      </c>
      <c r="H15">
        <v>55</v>
      </c>
      <c r="I15">
        <v>54</v>
      </c>
      <c r="J15">
        <v>54</v>
      </c>
      <c r="K15">
        <v>53</v>
      </c>
      <c r="L15">
        <v>53</v>
      </c>
      <c r="M15">
        <v>53</v>
      </c>
      <c r="N15">
        <v>53</v>
      </c>
      <c r="O15">
        <v>52</v>
      </c>
      <c r="P15">
        <v>51</v>
      </c>
      <c r="Q15">
        <v>52</v>
      </c>
      <c r="R15">
        <v>52</v>
      </c>
      <c r="S15">
        <v>52</v>
      </c>
      <c r="T15">
        <v>52</v>
      </c>
      <c r="U15">
        <v>51</v>
      </c>
      <c r="V15">
        <v>51</v>
      </c>
      <c r="W15">
        <v>52</v>
      </c>
      <c r="X15">
        <v>52</v>
      </c>
      <c r="Y15">
        <v>53</v>
      </c>
      <c r="Z15" s="2">
        <f>AVERAGE(Sheet1__7[[#This Row],[00:00:00]:[23:00:00]])</f>
        <v>53.333333333333336</v>
      </c>
      <c r="AA15" t="str" cm="1">
        <f t="array" ref="AA15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6" spans="1:27" x14ac:dyDescent="0.3">
      <c r="A16" s="1">
        <v>45853</v>
      </c>
      <c r="B16">
        <v>53</v>
      </c>
      <c r="C16">
        <v>52</v>
      </c>
      <c r="D16">
        <v>52</v>
      </c>
      <c r="E16">
        <v>52</v>
      </c>
      <c r="F16">
        <v>52</v>
      </c>
      <c r="G16">
        <v>51</v>
      </c>
      <c r="H16">
        <v>49</v>
      </c>
      <c r="I16">
        <v>48</v>
      </c>
      <c r="J16">
        <v>48</v>
      </c>
      <c r="K16">
        <v>47</v>
      </c>
      <c r="L16">
        <v>47</v>
      </c>
      <c r="M16">
        <v>47</v>
      </c>
      <c r="N16">
        <v>48</v>
      </c>
      <c r="O16">
        <v>48</v>
      </c>
      <c r="P16">
        <v>50</v>
      </c>
      <c r="Q16">
        <v>51</v>
      </c>
      <c r="R16">
        <v>51</v>
      </c>
      <c r="S16">
        <v>50</v>
      </c>
      <c r="T16">
        <v>48</v>
      </c>
      <c r="U16">
        <v>49</v>
      </c>
      <c r="V16">
        <v>49</v>
      </c>
      <c r="W16">
        <v>50</v>
      </c>
      <c r="X16">
        <v>50</v>
      </c>
      <c r="Y16">
        <v>48</v>
      </c>
      <c r="Z16" s="2">
        <f>AVERAGE(Sheet1__7[[#This Row],[00:00:00]:[23:00:00]])</f>
        <v>49.583333333333336</v>
      </c>
      <c r="AA16" t="str" cm="1">
        <f t="array" ref="AA16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7" spans="1:27" x14ac:dyDescent="0.3">
      <c r="A17" s="1">
        <v>45854</v>
      </c>
      <c r="B17">
        <v>47</v>
      </c>
      <c r="C17">
        <v>47</v>
      </c>
      <c r="D17">
        <v>48</v>
      </c>
      <c r="E17">
        <v>46</v>
      </c>
      <c r="F17">
        <v>44</v>
      </c>
      <c r="G17">
        <v>43</v>
      </c>
      <c r="H17">
        <v>42</v>
      </c>
      <c r="I17">
        <v>43</v>
      </c>
      <c r="J17">
        <v>44</v>
      </c>
      <c r="K17">
        <v>45</v>
      </c>
      <c r="L17">
        <v>46</v>
      </c>
      <c r="M17">
        <v>47</v>
      </c>
      <c r="N17">
        <v>49</v>
      </c>
      <c r="O17">
        <v>51</v>
      </c>
      <c r="P17">
        <v>53</v>
      </c>
      <c r="Q17">
        <v>54</v>
      </c>
      <c r="R17">
        <v>55</v>
      </c>
      <c r="S17">
        <v>56</v>
      </c>
      <c r="T17">
        <v>56</v>
      </c>
      <c r="U17">
        <v>58</v>
      </c>
      <c r="V17">
        <v>58</v>
      </c>
      <c r="W17">
        <v>61</v>
      </c>
      <c r="X17">
        <v>62</v>
      </c>
      <c r="Y17">
        <v>63</v>
      </c>
      <c r="Z17" s="2">
        <f>AVERAGE(Sheet1__7[[#This Row],[00:00:00]:[23:00:00]])</f>
        <v>50.75</v>
      </c>
      <c r="AA17" t="str" cm="1">
        <f t="array" ref="AA17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8" spans="1:27" x14ac:dyDescent="0.3">
      <c r="A18" s="1">
        <v>45855</v>
      </c>
      <c r="B18">
        <v>63</v>
      </c>
      <c r="C18">
        <v>63</v>
      </c>
      <c r="D18">
        <v>64</v>
      </c>
      <c r="E18">
        <v>64</v>
      </c>
      <c r="F18">
        <v>66</v>
      </c>
      <c r="G18">
        <v>67</v>
      </c>
      <c r="H18">
        <v>68</v>
      </c>
      <c r="I18">
        <v>69</v>
      </c>
      <c r="J18">
        <v>69</v>
      </c>
      <c r="K18">
        <v>70</v>
      </c>
      <c r="L18">
        <v>71</v>
      </c>
      <c r="M18">
        <v>72</v>
      </c>
      <c r="N18">
        <v>74</v>
      </c>
      <c r="O18">
        <v>74</v>
      </c>
      <c r="P18">
        <v>72</v>
      </c>
      <c r="Q18">
        <v>73</v>
      </c>
      <c r="R18">
        <v>73</v>
      </c>
      <c r="S18">
        <v>72</v>
      </c>
      <c r="T18">
        <v>73</v>
      </c>
      <c r="U18">
        <v>73</v>
      </c>
      <c r="V18">
        <v>74</v>
      </c>
      <c r="W18">
        <v>74</v>
      </c>
      <c r="X18">
        <v>74</v>
      </c>
      <c r="Y18">
        <v>74</v>
      </c>
      <c r="Z18" s="2">
        <f>AVERAGE(Sheet1__7[[#This Row],[00:00:00]:[23:00:00]])</f>
        <v>70.25</v>
      </c>
      <c r="AA18" t="str" cm="1">
        <f t="array" ref="AA18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9" spans="1:27" x14ac:dyDescent="0.3">
      <c r="A19" s="1">
        <v>45856</v>
      </c>
      <c r="B19">
        <v>74</v>
      </c>
      <c r="C19">
        <v>74</v>
      </c>
      <c r="D19">
        <v>71</v>
      </c>
      <c r="E19">
        <v>72</v>
      </c>
      <c r="F19">
        <v>73</v>
      </c>
      <c r="G19">
        <v>73</v>
      </c>
      <c r="H19">
        <v>72</v>
      </c>
      <c r="I19">
        <v>71</v>
      </c>
      <c r="J19">
        <v>70</v>
      </c>
      <c r="K19">
        <v>70</v>
      </c>
      <c r="L19">
        <v>70</v>
      </c>
      <c r="M19">
        <v>70</v>
      </c>
      <c r="N19">
        <v>69</v>
      </c>
      <c r="O19">
        <v>69</v>
      </c>
      <c r="P19">
        <v>69</v>
      </c>
      <c r="Q19">
        <v>69</v>
      </c>
      <c r="R19">
        <v>69</v>
      </c>
      <c r="S19">
        <v>69</v>
      </c>
      <c r="T19">
        <v>69</v>
      </c>
      <c r="U19">
        <v>68</v>
      </c>
      <c r="V19">
        <v>68</v>
      </c>
      <c r="W19">
        <v>67</v>
      </c>
      <c r="X19">
        <v>67</v>
      </c>
      <c r="Y19">
        <v>67</v>
      </c>
      <c r="Z19" s="2">
        <f>AVERAGE(Sheet1__7[[#This Row],[00:00:00]:[23:00:00]])</f>
        <v>70</v>
      </c>
      <c r="AA19" t="str" cm="1">
        <f t="array" ref="AA19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0" spans="1:27" x14ac:dyDescent="0.3">
      <c r="A20" s="1">
        <v>45857</v>
      </c>
      <c r="B20">
        <v>68</v>
      </c>
      <c r="C20">
        <v>67</v>
      </c>
      <c r="D20">
        <v>68</v>
      </c>
      <c r="E20">
        <v>69</v>
      </c>
      <c r="F20">
        <v>70</v>
      </c>
      <c r="G20">
        <v>70</v>
      </c>
      <c r="H20">
        <v>70</v>
      </c>
      <c r="I20">
        <v>70</v>
      </c>
      <c r="J20">
        <v>69</v>
      </c>
      <c r="K20">
        <v>68</v>
      </c>
      <c r="L20">
        <v>68</v>
      </c>
      <c r="M20">
        <v>68</v>
      </c>
      <c r="N20">
        <v>66</v>
      </c>
      <c r="O20">
        <v>65</v>
      </c>
      <c r="P20">
        <v>64</v>
      </c>
      <c r="Q20">
        <v>64</v>
      </c>
      <c r="R20">
        <v>63</v>
      </c>
      <c r="S20">
        <v>61</v>
      </c>
      <c r="T20">
        <v>60</v>
      </c>
      <c r="U20">
        <v>60</v>
      </c>
      <c r="V20">
        <v>59</v>
      </c>
      <c r="W20">
        <v>59</v>
      </c>
      <c r="X20">
        <v>60</v>
      </c>
      <c r="Y20">
        <v>59</v>
      </c>
      <c r="Z20" s="2">
        <f>AVERAGE(Sheet1__7[[#This Row],[00:00:00]:[23:00:00]])</f>
        <v>65.208333333333329</v>
      </c>
      <c r="AA20" t="str" cm="1">
        <f t="array" ref="AA20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1" spans="1:27" x14ac:dyDescent="0.3">
      <c r="A21" s="1">
        <v>45858</v>
      </c>
      <c r="B21">
        <v>58</v>
      </c>
      <c r="C21">
        <v>57</v>
      </c>
      <c r="D21">
        <v>56</v>
      </c>
      <c r="E21">
        <v>55</v>
      </c>
      <c r="F21">
        <v>55</v>
      </c>
      <c r="G21">
        <v>54</v>
      </c>
      <c r="H21">
        <v>54</v>
      </c>
      <c r="I21">
        <v>53</v>
      </c>
      <c r="J21">
        <v>53</v>
      </c>
      <c r="K21">
        <v>53</v>
      </c>
      <c r="L21">
        <v>53</v>
      </c>
      <c r="M21">
        <v>53</v>
      </c>
      <c r="N21">
        <v>53</v>
      </c>
      <c r="O21">
        <v>52</v>
      </c>
      <c r="P21">
        <v>52</v>
      </c>
      <c r="Q21">
        <v>51</v>
      </c>
      <c r="R21">
        <v>50</v>
      </c>
      <c r="S21">
        <v>49</v>
      </c>
      <c r="T21">
        <v>49</v>
      </c>
      <c r="U21">
        <v>48</v>
      </c>
      <c r="V21">
        <v>47</v>
      </c>
      <c r="W21">
        <v>46</v>
      </c>
      <c r="X21">
        <v>46</v>
      </c>
      <c r="Y21">
        <v>45</v>
      </c>
      <c r="Z21" s="2">
        <f>AVERAGE(Sheet1__7[[#This Row],[00:00:00]:[23:00:00]])</f>
        <v>51.75</v>
      </c>
      <c r="AA21" t="str" cm="1">
        <f t="array" ref="AA21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2" spans="1:27" x14ac:dyDescent="0.3">
      <c r="A22" s="1">
        <v>45859</v>
      </c>
      <c r="B22">
        <v>45</v>
      </c>
      <c r="C22">
        <v>45</v>
      </c>
      <c r="D22">
        <v>44</v>
      </c>
      <c r="E22">
        <v>44</v>
      </c>
      <c r="F22">
        <v>44</v>
      </c>
      <c r="G22">
        <v>42</v>
      </c>
      <c r="H22">
        <v>43</v>
      </c>
      <c r="I22">
        <v>43</v>
      </c>
      <c r="J22">
        <v>42</v>
      </c>
      <c r="K22">
        <v>42</v>
      </c>
      <c r="L22">
        <v>40</v>
      </c>
      <c r="M22">
        <v>40</v>
      </c>
      <c r="N22">
        <v>41</v>
      </c>
      <c r="O22">
        <v>42</v>
      </c>
      <c r="P22">
        <v>41</v>
      </c>
      <c r="Q22">
        <v>47</v>
      </c>
      <c r="R22">
        <v>46</v>
      </c>
      <c r="S22">
        <v>45</v>
      </c>
      <c r="T22">
        <v>45</v>
      </c>
      <c r="U22">
        <v>44</v>
      </c>
      <c r="V22">
        <v>44</v>
      </c>
      <c r="W22">
        <v>44</v>
      </c>
      <c r="X22">
        <v>44</v>
      </c>
      <c r="Y22">
        <v>44</v>
      </c>
      <c r="Z22" s="2">
        <f>AVERAGE(Sheet1__7[[#This Row],[00:00:00]:[23:00:00]])</f>
        <v>43.375</v>
      </c>
      <c r="AA22" t="str" cm="1">
        <f t="array" ref="AA22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3" spans="1:27" x14ac:dyDescent="0.3">
      <c r="A23" s="1">
        <v>45860</v>
      </c>
      <c r="B23">
        <v>44</v>
      </c>
      <c r="C23">
        <v>44</v>
      </c>
      <c r="D23">
        <v>44</v>
      </c>
      <c r="E23">
        <v>44</v>
      </c>
      <c r="F23">
        <v>44</v>
      </c>
      <c r="G23">
        <v>43</v>
      </c>
      <c r="H23">
        <v>43</v>
      </c>
      <c r="I23">
        <v>43</v>
      </c>
      <c r="J23">
        <v>43</v>
      </c>
      <c r="K23">
        <v>43</v>
      </c>
      <c r="L23">
        <v>52</v>
      </c>
      <c r="M23">
        <v>44</v>
      </c>
      <c r="N23">
        <v>44</v>
      </c>
      <c r="O23">
        <v>45</v>
      </c>
      <c r="P23">
        <v>45</v>
      </c>
      <c r="Q23">
        <v>45</v>
      </c>
      <c r="R23">
        <v>46</v>
      </c>
      <c r="S23">
        <v>46</v>
      </c>
      <c r="T23">
        <v>46</v>
      </c>
      <c r="U23">
        <v>46</v>
      </c>
      <c r="V23">
        <v>50</v>
      </c>
      <c r="W23">
        <v>58</v>
      </c>
      <c r="X23">
        <v>58</v>
      </c>
      <c r="Y23">
        <v>51</v>
      </c>
      <c r="Z23" s="2">
        <f>AVERAGE(Sheet1__7[[#This Row],[00:00:00]:[23:00:00]])</f>
        <v>46.291666666666664</v>
      </c>
      <c r="AA23" t="str" cm="1">
        <f t="array" ref="AA23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4" spans="1:27" x14ac:dyDescent="0.3">
      <c r="A24" s="1">
        <v>45861</v>
      </c>
      <c r="B24">
        <v>51</v>
      </c>
      <c r="C24">
        <v>51</v>
      </c>
      <c r="D24">
        <v>50</v>
      </c>
      <c r="E24">
        <v>50</v>
      </c>
      <c r="F24">
        <v>49</v>
      </c>
      <c r="G24">
        <v>48</v>
      </c>
      <c r="H24">
        <v>44</v>
      </c>
      <c r="J24">
        <v>44</v>
      </c>
      <c r="K24">
        <v>42</v>
      </c>
      <c r="L24">
        <v>41</v>
      </c>
      <c r="M24">
        <v>41</v>
      </c>
      <c r="N24">
        <v>43</v>
      </c>
      <c r="O24">
        <v>43</v>
      </c>
      <c r="P24">
        <v>47</v>
      </c>
      <c r="Q24">
        <v>48</v>
      </c>
      <c r="R24">
        <v>49</v>
      </c>
      <c r="S24">
        <v>49</v>
      </c>
      <c r="T24">
        <v>48</v>
      </c>
      <c r="U24">
        <v>49</v>
      </c>
      <c r="V24">
        <v>49</v>
      </c>
      <c r="W24">
        <v>49</v>
      </c>
      <c r="X24">
        <v>48</v>
      </c>
      <c r="Y24">
        <v>48</v>
      </c>
      <c r="Z24" s="2">
        <f>AVERAGE(Sheet1__7[[#This Row],[00:00:00]:[23:00:00]])</f>
        <v>47</v>
      </c>
      <c r="AA24" t="str" cm="1">
        <f t="array" ref="AA24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5" spans="1:27" x14ac:dyDescent="0.3">
      <c r="A25" s="1">
        <v>45862</v>
      </c>
      <c r="B25">
        <v>44</v>
      </c>
      <c r="C25">
        <v>44</v>
      </c>
      <c r="D25">
        <v>44</v>
      </c>
      <c r="E25">
        <v>43</v>
      </c>
      <c r="F25">
        <v>40</v>
      </c>
      <c r="G25">
        <v>40</v>
      </c>
      <c r="H25">
        <v>39</v>
      </c>
      <c r="I25">
        <v>40</v>
      </c>
      <c r="J25">
        <v>40</v>
      </c>
      <c r="K25">
        <v>41</v>
      </c>
      <c r="L25">
        <v>40</v>
      </c>
      <c r="M25">
        <v>40</v>
      </c>
      <c r="N25">
        <v>41</v>
      </c>
      <c r="O25">
        <v>41</v>
      </c>
      <c r="P25">
        <v>44</v>
      </c>
      <c r="Q25">
        <v>44</v>
      </c>
      <c r="R25">
        <v>49</v>
      </c>
      <c r="S25">
        <v>49</v>
      </c>
      <c r="T25">
        <v>48</v>
      </c>
      <c r="U25">
        <v>48</v>
      </c>
      <c r="V25">
        <v>48</v>
      </c>
      <c r="W25">
        <v>48</v>
      </c>
      <c r="X25">
        <v>52</v>
      </c>
      <c r="Y25">
        <v>57</v>
      </c>
      <c r="Z25" s="2">
        <f>AVERAGE(Sheet1__7[[#This Row],[00:00:00]:[23:00:00]])</f>
        <v>44.333333333333336</v>
      </c>
      <c r="AA25" t="str" cm="1">
        <f t="array" ref="AA25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6" spans="1:27" x14ac:dyDescent="0.3">
      <c r="A26" s="1">
        <v>45863</v>
      </c>
      <c r="B26">
        <v>62</v>
      </c>
      <c r="C26">
        <v>58</v>
      </c>
      <c r="D26">
        <v>57</v>
      </c>
      <c r="E26">
        <v>56</v>
      </c>
      <c r="F26">
        <v>56</v>
      </c>
      <c r="G26">
        <v>56</v>
      </c>
      <c r="H26">
        <v>55</v>
      </c>
      <c r="I26">
        <v>52</v>
      </c>
      <c r="J26">
        <v>53</v>
      </c>
      <c r="K26">
        <v>53</v>
      </c>
      <c r="L26">
        <v>54</v>
      </c>
      <c r="M26">
        <v>55</v>
      </c>
      <c r="N26">
        <v>55</v>
      </c>
      <c r="O26">
        <v>65</v>
      </c>
      <c r="P26">
        <v>56</v>
      </c>
      <c r="Q26">
        <v>57</v>
      </c>
      <c r="R26">
        <v>58</v>
      </c>
      <c r="S26">
        <v>59</v>
      </c>
      <c r="T26">
        <v>59</v>
      </c>
      <c r="U26">
        <v>56</v>
      </c>
      <c r="V26">
        <v>54</v>
      </c>
      <c r="W26">
        <v>58</v>
      </c>
      <c r="X26">
        <v>57</v>
      </c>
      <c r="Y26">
        <v>51</v>
      </c>
      <c r="Z26" s="2">
        <f>AVERAGE(Sheet1__7[[#This Row],[00:00:00]:[23:00:00]])</f>
        <v>56.333333333333336</v>
      </c>
      <c r="AA26" t="str" cm="1">
        <f t="array" ref="AA26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7" spans="1:27" x14ac:dyDescent="0.3">
      <c r="A27" s="1">
        <v>45864</v>
      </c>
      <c r="B27">
        <v>51</v>
      </c>
      <c r="C27">
        <v>50</v>
      </c>
      <c r="D27">
        <v>50</v>
      </c>
      <c r="E27">
        <v>55</v>
      </c>
      <c r="F27">
        <v>56</v>
      </c>
      <c r="G27">
        <v>59</v>
      </c>
      <c r="H27">
        <v>46</v>
      </c>
      <c r="I27">
        <v>46</v>
      </c>
      <c r="J27">
        <v>46</v>
      </c>
      <c r="K27">
        <v>46</v>
      </c>
      <c r="L27">
        <v>50</v>
      </c>
      <c r="M27">
        <v>50</v>
      </c>
      <c r="N27">
        <v>51</v>
      </c>
      <c r="O27">
        <v>48</v>
      </c>
      <c r="P27">
        <v>49</v>
      </c>
      <c r="Q27">
        <v>50</v>
      </c>
      <c r="R27">
        <v>50</v>
      </c>
      <c r="S27">
        <v>50</v>
      </c>
      <c r="T27">
        <v>50</v>
      </c>
      <c r="U27">
        <v>50</v>
      </c>
      <c r="V27">
        <v>50</v>
      </c>
      <c r="W27">
        <v>50</v>
      </c>
      <c r="X27">
        <v>50</v>
      </c>
      <c r="Y27">
        <v>51</v>
      </c>
      <c r="Z27" s="2">
        <f>AVERAGE(Sheet1__7[[#This Row],[00:00:00]:[23:00:00]])</f>
        <v>50.166666666666664</v>
      </c>
      <c r="AA27" t="str" cm="1">
        <f t="array" ref="AA27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8" spans="1:27" x14ac:dyDescent="0.3">
      <c r="A28" s="1">
        <v>45865</v>
      </c>
      <c r="B28">
        <v>51</v>
      </c>
      <c r="C28">
        <v>51</v>
      </c>
      <c r="D28">
        <v>51</v>
      </c>
      <c r="E28">
        <v>50</v>
      </c>
      <c r="F28">
        <v>50</v>
      </c>
      <c r="G28">
        <v>49</v>
      </c>
      <c r="H28">
        <v>49</v>
      </c>
      <c r="I28">
        <v>48</v>
      </c>
      <c r="J28">
        <v>48</v>
      </c>
      <c r="K28">
        <v>48</v>
      </c>
      <c r="L28">
        <v>48</v>
      </c>
      <c r="M28">
        <v>48</v>
      </c>
      <c r="N28">
        <v>48</v>
      </c>
      <c r="O28">
        <v>52</v>
      </c>
      <c r="P28">
        <v>46</v>
      </c>
      <c r="Q28">
        <v>45</v>
      </c>
      <c r="R28">
        <v>45</v>
      </c>
      <c r="S28">
        <v>45</v>
      </c>
      <c r="T28">
        <v>46</v>
      </c>
      <c r="U28">
        <v>51</v>
      </c>
      <c r="V28">
        <v>51</v>
      </c>
      <c r="X28">
        <v>53</v>
      </c>
      <c r="Y28">
        <v>54</v>
      </c>
      <c r="Z28" s="2">
        <f>AVERAGE(Sheet1__7[[#This Row],[00:00:00]:[23:00:00]])</f>
        <v>49</v>
      </c>
      <c r="AA28" t="str" cm="1">
        <f t="array" ref="AA28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9" spans="1:27" x14ac:dyDescent="0.3">
      <c r="A29" s="1">
        <v>45866</v>
      </c>
      <c r="B29">
        <v>55</v>
      </c>
      <c r="C29">
        <v>54</v>
      </c>
      <c r="D29">
        <v>61</v>
      </c>
      <c r="E29">
        <v>60</v>
      </c>
      <c r="F29">
        <v>60</v>
      </c>
      <c r="G29">
        <v>58</v>
      </c>
      <c r="H29">
        <v>54</v>
      </c>
      <c r="I29">
        <v>52</v>
      </c>
      <c r="J29">
        <v>50</v>
      </c>
      <c r="K29">
        <v>49</v>
      </c>
      <c r="L29">
        <v>49</v>
      </c>
      <c r="M29">
        <v>48</v>
      </c>
      <c r="N29">
        <v>46</v>
      </c>
      <c r="O29">
        <v>43</v>
      </c>
      <c r="P29">
        <v>43</v>
      </c>
      <c r="Q29">
        <v>43</v>
      </c>
      <c r="R29">
        <v>44</v>
      </c>
      <c r="S29">
        <v>43</v>
      </c>
      <c r="T29">
        <v>44</v>
      </c>
      <c r="U29">
        <v>47</v>
      </c>
      <c r="V29">
        <v>50</v>
      </c>
      <c r="W29">
        <v>51</v>
      </c>
      <c r="X29">
        <v>48</v>
      </c>
      <c r="Y29">
        <v>48</v>
      </c>
      <c r="Z29" s="2">
        <f>AVERAGE(Sheet1__7[[#This Row],[00:00:00]:[23:00:00]])</f>
        <v>50</v>
      </c>
      <c r="AA29" t="str" cm="1">
        <f t="array" ref="AA29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30" spans="1:27" x14ac:dyDescent="0.3">
      <c r="A30" s="1">
        <v>45867</v>
      </c>
      <c r="B30">
        <v>49</v>
      </c>
      <c r="C30">
        <v>51</v>
      </c>
      <c r="D30">
        <v>55</v>
      </c>
      <c r="E30">
        <v>53</v>
      </c>
      <c r="F30">
        <v>51</v>
      </c>
      <c r="G30">
        <v>49</v>
      </c>
      <c r="H30">
        <v>47</v>
      </c>
      <c r="I30">
        <v>54</v>
      </c>
      <c r="J30">
        <v>54</v>
      </c>
      <c r="K30">
        <v>56</v>
      </c>
      <c r="L30">
        <v>54</v>
      </c>
      <c r="M30">
        <v>55</v>
      </c>
      <c r="N30">
        <v>57</v>
      </c>
      <c r="O30">
        <v>57</v>
      </c>
      <c r="P30">
        <v>58</v>
      </c>
      <c r="Q30">
        <v>56</v>
      </c>
      <c r="R30">
        <v>55</v>
      </c>
      <c r="S30">
        <v>53</v>
      </c>
      <c r="T30">
        <v>54</v>
      </c>
      <c r="U30">
        <v>53</v>
      </c>
      <c r="V30">
        <v>52</v>
      </c>
      <c r="W30">
        <v>51</v>
      </c>
      <c r="X30">
        <v>53</v>
      </c>
      <c r="Y30">
        <v>54</v>
      </c>
      <c r="Z30" s="2">
        <f>AVERAGE(Sheet1__7[[#This Row],[00:00:00]:[23:00:00]])</f>
        <v>53.375</v>
      </c>
      <c r="AA30" t="str" cm="1">
        <f t="array" ref="AA30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31" spans="1:27" x14ac:dyDescent="0.3">
      <c r="A31" s="1">
        <v>45868</v>
      </c>
      <c r="B31">
        <v>55</v>
      </c>
      <c r="C31">
        <v>55</v>
      </c>
      <c r="D31">
        <v>54</v>
      </c>
      <c r="E31">
        <v>54</v>
      </c>
      <c r="F31">
        <v>56</v>
      </c>
      <c r="G31">
        <v>57</v>
      </c>
      <c r="H31">
        <v>58</v>
      </c>
      <c r="I31">
        <v>57</v>
      </c>
      <c r="J31">
        <v>57</v>
      </c>
      <c r="K31">
        <v>59</v>
      </c>
      <c r="L31">
        <v>60</v>
      </c>
      <c r="M31">
        <v>61</v>
      </c>
      <c r="N31">
        <v>61</v>
      </c>
      <c r="O31">
        <v>60</v>
      </c>
      <c r="P31">
        <v>61</v>
      </c>
      <c r="Q31">
        <v>62</v>
      </c>
      <c r="R31">
        <v>64</v>
      </c>
      <c r="S31">
        <v>64</v>
      </c>
      <c r="T31">
        <v>64</v>
      </c>
      <c r="U31">
        <v>64</v>
      </c>
      <c r="V31">
        <v>65</v>
      </c>
      <c r="W31">
        <v>66</v>
      </c>
      <c r="X31">
        <v>66</v>
      </c>
      <c r="Y31">
        <v>64</v>
      </c>
      <c r="Z31" s="2">
        <f>AVERAGE(Sheet1__7[[#This Row],[00:00:00]:[23:00:00]])</f>
        <v>60.166666666666664</v>
      </c>
      <c r="AA31" t="str" cm="1">
        <f t="array" ref="AA31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32" spans="1:27" x14ac:dyDescent="0.3">
      <c r="A32" s="1">
        <v>45869</v>
      </c>
      <c r="B32">
        <v>62</v>
      </c>
      <c r="C32">
        <v>62</v>
      </c>
      <c r="D32">
        <v>61</v>
      </c>
      <c r="E32">
        <v>60</v>
      </c>
      <c r="F32">
        <v>59</v>
      </c>
      <c r="G32">
        <v>58</v>
      </c>
      <c r="H32">
        <v>58</v>
      </c>
      <c r="I32">
        <v>57</v>
      </c>
      <c r="J32">
        <v>55</v>
      </c>
      <c r="K32">
        <v>55</v>
      </c>
      <c r="L32">
        <v>55</v>
      </c>
      <c r="M32">
        <v>55</v>
      </c>
      <c r="N32">
        <v>55</v>
      </c>
      <c r="O32">
        <v>54</v>
      </c>
      <c r="P32">
        <v>54</v>
      </c>
      <c r="Q32">
        <v>53</v>
      </c>
      <c r="R32">
        <v>52</v>
      </c>
      <c r="S32">
        <v>51</v>
      </c>
      <c r="T32">
        <v>51</v>
      </c>
      <c r="U32">
        <v>51</v>
      </c>
      <c r="V32">
        <v>51</v>
      </c>
      <c r="W32">
        <v>52</v>
      </c>
      <c r="X32">
        <v>54</v>
      </c>
      <c r="Y32">
        <v>54</v>
      </c>
      <c r="Z32" s="2">
        <f>AVERAGE(Sheet1__7[[#This Row],[00:00:00]:[23:00:00]])</f>
        <v>55.375</v>
      </c>
      <c r="AA32" t="str" cm="1">
        <f t="array" ref="AA32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33" spans="26:27" x14ac:dyDescent="0.3">
      <c r="Z33" s="2">
        <f>AVERAGE(Sheet1__7[AVERAGE AQI])</f>
        <v>53.206112669471715</v>
      </c>
      <c r="AA33" s="3"/>
    </row>
  </sheetData>
  <conditionalFormatting sqref="AA1:AA1048576">
    <cfRule type="containsText" dxfId="23" priority="1" operator="containsText" text="MODERATE">
      <formula>NOT(ISERROR(SEARCH("MODERATE",AA1)))</formula>
    </cfRule>
    <cfRule type="containsText" dxfId="22" priority="2" operator="containsText" text="GOOD">
      <formula>NOT(ISERROR(SEARCH("GOOD",AA1)))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3B57-B569-444D-A2D8-595035B65BF0}">
  <dimension ref="A1:AA33"/>
  <sheetViews>
    <sheetView topLeftCell="N8" workbookViewId="0">
      <selection activeCell="Z2" sqref="Z2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5.8867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27</v>
      </c>
      <c r="AA1" t="s">
        <v>28</v>
      </c>
    </row>
    <row r="2" spans="1:27" x14ac:dyDescent="0.3">
      <c r="A2" s="1">
        <v>45870</v>
      </c>
      <c r="B2">
        <v>57</v>
      </c>
      <c r="C2">
        <v>58</v>
      </c>
      <c r="D2">
        <v>58</v>
      </c>
      <c r="E2">
        <v>56</v>
      </c>
      <c r="F2">
        <v>56</v>
      </c>
      <c r="G2">
        <v>57</v>
      </c>
      <c r="H2">
        <v>56</v>
      </c>
      <c r="I2">
        <v>55</v>
      </c>
      <c r="J2">
        <v>55</v>
      </c>
      <c r="K2">
        <v>56</v>
      </c>
      <c r="L2">
        <v>55</v>
      </c>
      <c r="M2">
        <v>55</v>
      </c>
      <c r="N2">
        <v>56</v>
      </c>
      <c r="O2">
        <v>57</v>
      </c>
      <c r="P2">
        <v>57</v>
      </c>
      <c r="Q2">
        <v>59</v>
      </c>
      <c r="R2">
        <v>60</v>
      </c>
      <c r="S2">
        <v>60</v>
      </c>
      <c r="T2">
        <v>59</v>
      </c>
      <c r="U2">
        <v>58</v>
      </c>
      <c r="V2">
        <v>59</v>
      </c>
      <c r="W2">
        <v>59</v>
      </c>
      <c r="X2">
        <v>60</v>
      </c>
      <c r="Y2">
        <v>62</v>
      </c>
      <c r="Z2" s="2">
        <f>AVERAGE(Sheet1__8[[#This Row],[00:00:00]:[23:00:00]])</f>
        <v>57.5</v>
      </c>
      <c r="AA2" t="str" cm="1">
        <f t="array" ref="AA2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3" spans="1:27" x14ac:dyDescent="0.3">
      <c r="A3" s="1">
        <v>45871</v>
      </c>
      <c r="B3">
        <v>62</v>
      </c>
      <c r="C3">
        <v>62</v>
      </c>
      <c r="D3">
        <v>62</v>
      </c>
      <c r="E3">
        <v>62</v>
      </c>
      <c r="F3">
        <v>59</v>
      </c>
      <c r="G3">
        <v>60</v>
      </c>
      <c r="H3">
        <v>60</v>
      </c>
      <c r="I3">
        <v>61</v>
      </c>
      <c r="J3">
        <v>63</v>
      </c>
      <c r="K3">
        <v>64</v>
      </c>
      <c r="L3">
        <v>64</v>
      </c>
      <c r="M3">
        <v>64</v>
      </c>
      <c r="N3">
        <v>64</v>
      </c>
      <c r="O3">
        <v>64</v>
      </c>
      <c r="P3">
        <v>63</v>
      </c>
      <c r="Q3">
        <v>62</v>
      </c>
      <c r="R3">
        <v>61</v>
      </c>
      <c r="S3">
        <v>60</v>
      </c>
      <c r="T3">
        <v>60</v>
      </c>
      <c r="U3">
        <v>60</v>
      </c>
      <c r="V3">
        <v>59</v>
      </c>
      <c r="W3">
        <v>59</v>
      </c>
      <c r="X3">
        <v>59</v>
      </c>
      <c r="Y3">
        <v>59</v>
      </c>
      <c r="Z3" s="2">
        <f>AVERAGE(Sheet1__8[[#This Row],[00:00:00]:[23:00:00]])</f>
        <v>61.375</v>
      </c>
      <c r="AA3" t="str" cm="1">
        <f t="array" ref="AA3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4" spans="1:27" x14ac:dyDescent="0.3">
      <c r="A4" s="1">
        <v>45872</v>
      </c>
      <c r="B4">
        <v>59</v>
      </c>
      <c r="C4">
        <v>59</v>
      </c>
      <c r="D4">
        <v>58</v>
      </c>
      <c r="E4">
        <v>57</v>
      </c>
      <c r="F4">
        <v>58</v>
      </c>
      <c r="G4">
        <v>58</v>
      </c>
      <c r="H4">
        <v>58</v>
      </c>
      <c r="I4">
        <v>55</v>
      </c>
      <c r="J4">
        <v>52</v>
      </c>
      <c r="K4">
        <v>52</v>
      </c>
      <c r="L4">
        <v>52</v>
      </c>
      <c r="M4">
        <v>54</v>
      </c>
      <c r="N4">
        <v>55</v>
      </c>
      <c r="O4">
        <v>54</v>
      </c>
      <c r="P4">
        <v>55</v>
      </c>
      <c r="Q4">
        <v>56</v>
      </c>
      <c r="R4">
        <v>57</v>
      </c>
      <c r="S4">
        <v>57</v>
      </c>
      <c r="T4">
        <v>56</v>
      </c>
      <c r="U4">
        <v>56</v>
      </c>
      <c r="V4">
        <v>56</v>
      </c>
      <c r="W4">
        <v>56</v>
      </c>
      <c r="X4">
        <v>55</v>
      </c>
      <c r="Y4">
        <v>54</v>
      </c>
      <c r="Z4" s="2">
        <f>AVERAGE(Sheet1__8[[#This Row],[00:00:00]:[23:00:00]])</f>
        <v>55.791666666666664</v>
      </c>
      <c r="AA4" t="str" cm="1">
        <f t="array" ref="AA4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5" spans="1:27" x14ac:dyDescent="0.3">
      <c r="A5" s="1">
        <v>45873</v>
      </c>
      <c r="B5">
        <v>54</v>
      </c>
      <c r="C5">
        <v>54</v>
      </c>
      <c r="D5">
        <v>54</v>
      </c>
      <c r="E5">
        <v>53</v>
      </c>
      <c r="F5">
        <v>53</v>
      </c>
      <c r="G5">
        <v>52</v>
      </c>
      <c r="H5">
        <v>52</v>
      </c>
      <c r="I5">
        <v>52</v>
      </c>
      <c r="J5">
        <v>53</v>
      </c>
      <c r="K5">
        <v>54</v>
      </c>
      <c r="L5">
        <v>54</v>
      </c>
      <c r="M5">
        <v>55</v>
      </c>
      <c r="N5">
        <v>56</v>
      </c>
      <c r="O5">
        <v>58</v>
      </c>
      <c r="P5">
        <v>59</v>
      </c>
      <c r="Q5">
        <v>60</v>
      </c>
      <c r="R5">
        <v>61</v>
      </c>
      <c r="S5">
        <v>61</v>
      </c>
      <c r="T5">
        <v>64</v>
      </c>
      <c r="U5">
        <v>65</v>
      </c>
      <c r="V5">
        <v>65</v>
      </c>
      <c r="W5">
        <v>64</v>
      </c>
      <c r="X5">
        <v>65</v>
      </c>
      <c r="Y5">
        <v>67</v>
      </c>
      <c r="Z5" s="2">
        <f>AVERAGE(Sheet1__8[[#This Row],[00:00:00]:[23:00:00]])</f>
        <v>57.708333333333336</v>
      </c>
      <c r="AA5" t="str" cm="1">
        <f t="array" ref="AA5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6" spans="1:27" x14ac:dyDescent="0.3">
      <c r="A6" s="1">
        <v>45874</v>
      </c>
      <c r="B6">
        <v>68</v>
      </c>
      <c r="C6">
        <v>67</v>
      </c>
      <c r="D6">
        <v>67</v>
      </c>
      <c r="E6">
        <v>68</v>
      </c>
      <c r="F6">
        <v>69</v>
      </c>
      <c r="G6">
        <v>70</v>
      </c>
      <c r="H6">
        <v>70</v>
      </c>
      <c r="I6">
        <v>76</v>
      </c>
      <c r="J6">
        <v>76</v>
      </c>
      <c r="K6">
        <v>77</v>
      </c>
      <c r="L6">
        <v>79</v>
      </c>
      <c r="M6">
        <v>74</v>
      </c>
      <c r="N6">
        <v>74</v>
      </c>
      <c r="O6">
        <v>74</v>
      </c>
      <c r="P6">
        <v>73</v>
      </c>
      <c r="Q6">
        <v>74</v>
      </c>
      <c r="R6">
        <v>74</v>
      </c>
      <c r="S6">
        <v>74</v>
      </c>
      <c r="T6">
        <v>74</v>
      </c>
      <c r="U6">
        <v>73</v>
      </c>
      <c r="V6">
        <v>73</v>
      </c>
      <c r="W6">
        <v>76</v>
      </c>
      <c r="X6">
        <v>77</v>
      </c>
      <c r="Y6">
        <v>78</v>
      </c>
      <c r="Z6" s="2">
        <f>AVERAGE(Sheet1__8[[#This Row],[00:00:00]:[23:00:00]])</f>
        <v>73.125</v>
      </c>
      <c r="AA6" t="str" cm="1">
        <f t="array" ref="AA6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7" spans="1:27" x14ac:dyDescent="0.3">
      <c r="A7" s="1">
        <v>45875</v>
      </c>
      <c r="B7">
        <v>78</v>
      </c>
      <c r="C7">
        <v>80</v>
      </c>
      <c r="D7">
        <v>81</v>
      </c>
      <c r="E7">
        <v>83</v>
      </c>
      <c r="F7">
        <v>84</v>
      </c>
      <c r="G7">
        <v>83</v>
      </c>
      <c r="H7">
        <v>83</v>
      </c>
      <c r="I7">
        <v>84</v>
      </c>
      <c r="J7">
        <v>83</v>
      </c>
      <c r="K7">
        <v>82</v>
      </c>
      <c r="L7">
        <v>81</v>
      </c>
      <c r="M7">
        <v>81</v>
      </c>
      <c r="N7">
        <v>81</v>
      </c>
      <c r="O7">
        <v>81</v>
      </c>
      <c r="P7">
        <v>82</v>
      </c>
      <c r="Q7">
        <v>80</v>
      </c>
      <c r="R7">
        <v>80</v>
      </c>
      <c r="S7">
        <v>80</v>
      </c>
      <c r="T7">
        <v>82</v>
      </c>
      <c r="U7">
        <v>82</v>
      </c>
      <c r="V7">
        <v>82</v>
      </c>
      <c r="W7">
        <v>82</v>
      </c>
      <c r="X7">
        <v>82</v>
      </c>
      <c r="Y7">
        <v>83</v>
      </c>
      <c r="Z7" s="2">
        <f>AVERAGE(Sheet1__8[[#This Row],[00:00:00]:[23:00:00]])</f>
        <v>81.666666666666671</v>
      </c>
      <c r="AA7" t="str" cm="1">
        <f t="array" ref="AA7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8" spans="1:27" x14ac:dyDescent="0.3">
      <c r="A8" s="1">
        <v>45876</v>
      </c>
      <c r="B8">
        <v>84</v>
      </c>
      <c r="C8">
        <v>83</v>
      </c>
      <c r="D8">
        <v>83</v>
      </c>
      <c r="F8">
        <v>84</v>
      </c>
      <c r="G8">
        <v>84</v>
      </c>
      <c r="H8">
        <v>84</v>
      </c>
      <c r="I8">
        <v>83</v>
      </c>
      <c r="J8">
        <v>84</v>
      </c>
      <c r="K8">
        <v>85</v>
      </c>
      <c r="L8">
        <v>87</v>
      </c>
      <c r="M8">
        <v>88</v>
      </c>
      <c r="N8">
        <v>88</v>
      </c>
      <c r="P8">
        <v>84</v>
      </c>
      <c r="Q8">
        <v>85</v>
      </c>
      <c r="R8">
        <v>86</v>
      </c>
      <c r="S8">
        <v>82</v>
      </c>
      <c r="T8">
        <v>82</v>
      </c>
      <c r="U8">
        <v>82</v>
      </c>
      <c r="V8">
        <v>82</v>
      </c>
      <c r="W8">
        <v>81</v>
      </c>
      <c r="X8">
        <v>81</v>
      </c>
      <c r="Y8">
        <v>80</v>
      </c>
      <c r="Z8" s="2">
        <f>AVERAGE(Sheet1__8[[#This Row],[00:00:00]:[23:00:00]])</f>
        <v>83.727272727272734</v>
      </c>
      <c r="AA8" t="str" cm="1">
        <f t="array" ref="AA8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9" spans="1:27" x14ac:dyDescent="0.3">
      <c r="A9" s="1">
        <v>45877</v>
      </c>
      <c r="B9">
        <v>79</v>
      </c>
      <c r="C9">
        <v>81</v>
      </c>
      <c r="D9">
        <v>81</v>
      </c>
      <c r="E9">
        <v>81</v>
      </c>
      <c r="F9">
        <v>81</v>
      </c>
      <c r="G9">
        <v>82</v>
      </c>
      <c r="H9">
        <v>82</v>
      </c>
      <c r="I9">
        <v>82</v>
      </c>
      <c r="J9">
        <v>80</v>
      </c>
      <c r="K9">
        <v>79</v>
      </c>
      <c r="L9">
        <v>76</v>
      </c>
      <c r="M9">
        <v>74</v>
      </c>
      <c r="N9">
        <v>73</v>
      </c>
      <c r="O9">
        <v>73</v>
      </c>
      <c r="P9">
        <v>72</v>
      </c>
      <c r="Q9">
        <v>71</v>
      </c>
      <c r="R9">
        <v>71</v>
      </c>
      <c r="S9">
        <v>70</v>
      </c>
      <c r="T9">
        <v>70</v>
      </c>
      <c r="U9">
        <v>71</v>
      </c>
      <c r="V9">
        <v>71</v>
      </c>
      <c r="W9">
        <v>69</v>
      </c>
      <c r="X9">
        <v>66</v>
      </c>
      <c r="Y9">
        <v>65</v>
      </c>
      <c r="Z9" s="2">
        <f>AVERAGE(Sheet1__8[[#This Row],[00:00:00]:[23:00:00]])</f>
        <v>75</v>
      </c>
      <c r="AA9" t="str" cm="1">
        <f t="array" ref="AA9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0" spans="1:27" x14ac:dyDescent="0.3">
      <c r="A10" s="1">
        <v>45878</v>
      </c>
      <c r="B10">
        <v>65</v>
      </c>
      <c r="C10">
        <v>63</v>
      </c>
      <c r="D10">
        <v>62</v>
      </c>
      <c r="E10">
        <v>61</v>
      </c>
      <c r="F10">
        <v>60</v>
      </c>
      <c r="G10">
        <v>60</v>
      </c>
      <c r="H10">
        <v>60</v>
      </c>
      <c r="I10">
        <v>60</v>
      </c>
      <c r="J10">
        <v>59</v>
      </c>
      <c r="K10">
        <v>61</v>
      </c>
      <c r="L10">
        <v>60</v>
      </c>
      <c r="M10">
        <v>59</v>
      </c>
      <c r="N10">
        <v>59</v>
      </c>
      <c r="O10">
        <v>59</v>
      </c>
      <c r="P10">
        <v>59</v>
      </c>
      <c r="Q10">
        <v>60</v>
      </c>
      <c r="R10">
        <v>61</v>
      </c>
      <c r="S10">
        <v>61</v>
      </c>
      <c r="T10">
        <v>60</v>
      </c>
      <c r="U10">
        <v>61</v>
      </c>
      <c r="V10">
        <v>62</v>
      </c>
      <c r="W10">
        <v>62</v>
      </c>
      <c r="X10">
        <v>63</v>
      </c>
      <c r="Y10">
        <v>62</v>
      </c>
      <c r="Z10" s="2">
        <f>AVERAGE(Sheet1__8[[#This Row],[00:00:00]:[23:00:00]])</f>
        <v>60.791666666666664</v>
      </c>
      <c r="AA10" t="str" cm="1">
        <f t="array" ref="AA10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1" spans="1:27" x14ac:dyDescent="0.3">
      <c r="A11" s="1">
        <v>45879</v>
      </c>
      <c r="B11">
        <v>62</v>
      </c>
      <c r="C11">
        <v>68</v>
      </c>
      <c r="D11">
        <v>68</v>
      </c>
      <c r="E11">
        <v>68</v>
      </c>
      <c r="F11">
        <v>68</v>
      </c>
      <c r="G11">
        <v>68</v>
      </c>
      <c r="H11">
        <v>68</v>
      </c>
      <c r="I11">
        <v>68</v>
      </c>
      <c r="J11">
        <v>68</v>
      </c>
      <c r="K11">
        <v>69</v>
      </c>
      <c r="L11">
        <v>69</v>
      </c>
      <c r="M11">
        <v>69</v>
      </c>
      <c r="N11">
        <v>68</v>
      </c>
      <c r="O11">
        <v>68</v>
      </c>
      <c r="P11">
        <v>68</v>
      </c>
      <c r="Q11">
        <v>68</v>
      </c>
      <c r="R11">
        <v>68</v>
      </c>
      <c r="S11">
        <v>68</v>
      </c>
      <c r="T11">
        <v>67</v>
      </c>
      <c r="U11">
        <v>67</v>
      </c>
      <c r="V11">
        <v>66</v>
      </c>
      <c r="W11">
        <v>66</v>
      </c>
      <c r="X11">
        <v>65</v>
      </c>
      <c r="Y11">
        <v>64</v>
      </c>
      <c r="Z11" s="2">
        <f>AVERAGE(Sheet1__8[[#This Row],[00:00:00]:[23:00:00]])</f>
        <v>67.333333333333329</v>
      </c>
      <c r="AA11" t="str" cm="1">
        <f t="array" ref="AA11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2" spans="1:27" x14ac:dyDescent="0.3">
      <c r="A12" s="1">
        <v>45880</v>
      </c>
      <c r="B12">
        <v>61</v>
      </c>
      <c r="C12">
        <v>61</v>
      </c>
      <c r="D12">
        <v>60</v>
      </c>
      <c r="E12">
        <v>60</v>
      </c>
      <c r="F12">
        <v>60</v>
      </c>
      <c r="G12">
        <v>59</v>
      </c>
      <c r="H12">
        <v>51</v>
      </c>
      <c r="I12">
        <v>50</v>
      </c>
      <c r="J12">
        <v>50</v>
      </c>
      <c r="K12">
        <v>49</v>
      </c>
      <c r="L12">
        <v>49</v>
      </c>
      <c r="M12">
        <v>49</v>
      </c>
      <c r="N12">
        <v>49</v>
      </c>
      <c r="O12">
        <v>50</v>
      </c>
      <c r="P12">
        <v>50</v>
      </c>
      <c r="Q12">
        <v>51</v>
      </c>
      <c r="R12">
        <v>51</v>
      </c>
      <c r="S12">
        <v>51</v>
      </c>
      <c r="T12">
        <v>51</v>
      </c>
      <c r="U12">
        <v>52</v>
      </c>
      <c r="V12">
        <v>52</v>
      </c>
      <c r="W12">
        <v>53</v>
      </c>
      <c r="X12">
        <v>54</v>
      </c>
      <c r="Y12">
        <v>54</v>
      </c>
      <c r="Z12" s="2">
        <f>AVERAGE(Sheet1__8[[#This Row],[00:00:00]:[23:00:00]])</f>
        <v>53.208333333333336</v>
      </c>
      <c r="AA12" t="str" cm="1">
        <f t="array" ref="AA12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3" spans="1:27" x14ac:dyDescent="0.3">
      <c r="A13" s="1">
        <v>45881</v>
      </c>
      <c r="B13">
        <v>54</v>
      </c>
      <c r="C13">
        <v>53</v>
      </c>
      <c r="D13">
        <v>53</v>
      </c>
      <c r="E13">
        <v>52</v>
      </c>
      <c r="F13">
        <v>58</v>
      </c>
      <c r="G13">
        <v>58</v>
      </c>
      <c r="H13">
        <v>58</v>
      </c>
      <c r="I13">
        <v>57</v>
      </c>
      <c r="J13">
        <v>57</v>
      </c>
      <c r="K13">
        <v>56</v>
      </c>
      <c r="L13">
        <v>56</v>
      </c>
      <c r="M13">
        <v>58</v>
      </c>
      <c r="N13">
        <v>57</v>
      </c>
      <c r="O13">
        <v>58</v>
      </c>
      <c r="P13">
        <v>59</v>
      </c>
      <c r="Q13">
        <v>60</v>
      </c>
      <c r="R13">
        <v>60</v>
      </c>
      <c r="S13">
        <v>60</v>
      </c>
      <c r="T13">
        <v>60</v>
      </c>
      <c r="U13">
        <v>61</v>
      </c>
      <c r="V13">
        <v>61</v>
      </c>
      <c r="W13">
        <v>66</v>
      </c>
      <c r="X13">
        <v>66</v>
      </c>
      <c r="Y13">
        <v>67</v>
      </c>
      <c r="Z13" s="2">
        <f>AVERAGE(Sheet1__8[[#This Row],[00:00:00]:[23:00:00]])</f>
        <v>58.541666666666664</v>
      </c>
      <c r="AA13" t="str" cm="1">
        <f t="array" ref="AA13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4" spans="1:27" x14ac:dyDescent="0.3">
      <c r="A14" s="1">
        <v>45882</v>
      </c>
      <c r="B14">
        <v>66</v>
      </c>
      <c r="C14">
        <v>65</v>
      </c>
      <c r="D14">
        <v>64</v>
      </c>
      <c r="E14">
        <v>62</v>
      </c>
      <c r="F14">
        <v>60</v>
      </c>
      <c r="G14">
        <v>58</v>
      </c>
      <c r="H14">
        <v>58</v>
      </c>
      <c r="I14">
        <v>58</v>
      </c>
      <c r="J14">
        <v>58</v>
      </c>
      <c r="K14">
        <v>60</v>
      </c>
      <c r="L14">
        <v>60</v>
      </c>
      <c r="M14">
        <v>62</v>
      </c>
      <c r="N14">
        <v>62</v>
      </c>
      <c r="O14">
        <v>61</v>
      </c>
      <c r="P14">
        <v>60</v>
      </c>
      <c r="Q14">
        <v>60</v>
      </c>
      <c r="R14">
        <v>58</v>
      </c>
      <c r="S14">
        <v>58</v>
      </c>
      <c r="T14">
        <v>57</v>
      </c>
      <c r="U14">
        <v>58</v>
      </c>
      <c r="V14">
        <v>58</v>
      </c>
      <c r="W14">
        <v>58</v>
      </c>
      <c r="X14">
        <v>58</v>
      </c>
      <c r="Y14">
        <v>58</v>
      </c>
      <c r="Z14" s="2">
        <f>AVERAGE(Sheet1__8[[#This Row],[00:00:00]:[23:00:00]])</f>
        <v>59.875</v>
      </c>
      <c r="AA14" t="str" cm="1">
        <f t="array" ref="AA14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5" spans="1:27" x14ac:dyDescent="0.3">
      <c r="A15" s="1">
        <v>45883</v>
      </c>
      <c r="B15">
        <v>58</v>
      </c>
      <c r="C15">
        <v>58</v>
      </c>
      <c r="D15">
        <v>53</v>
      </c>
      <c r="E15">
        <v>52</v>
      </c>
      <c r="F15">
        <v>51</v>
      </c>
      <c r="G15">
        <v>50</v>
      </c>
      <c r="H15">
        <v>50</v>
      </c>
      <c r="I15">
        <v>49</v>
      </c>
      <c r="J15">
        <v>48</v>
      </c>
      <c r="K15">
        <v>49</v>
      </c>
      <c r="L15">
        <v>48</v>
      </c>
      <c r="M15">
        <v>47</v>
      </c>
      <c r="N15">
        <v>47</v>
      </c>
      <c r="O15">
        <v>47</v>
      </c>
      <c r="P15">
        <v>47</v>
      </c>
      <c r="Q15">
        <v>48</v>
      </c>
      <c r="R15">
        <v>49</v>
      </c>
      <c r="S15">
        <v>49</v>
      </c>
      <c r="T15">
        <v>48</v>
      </c>
      <c r="U15">
        <v>47</v>
      </c>
      <c r="V15">
        <v>47</v>
      </c>
      <c r="W15">
        <v>48</v>
      </c>
      <c r="X15">
        <v>48</v>
      </c>
      <c r="Y15">
        <v>49</v>
      </c>
      <c r="Z15" s="2">
        <f>AVERAGE(Sheet1__8[[#This Row],[00:00:00]:[23:00:00]])</f>
        <v>49.458333333333336</v>
      </c>
      <c r="AA15" t="str" cm="1">
        <f t="array" ref="AA15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6" spans="1:27" x14ac:dyDescent="0.3">
      <c r="A16" s="1">
        <v>45884</v>
      </c>
      <c r="B16">
        <v>48</v>
      </c>
      <c r="C16">
        <v>48</v>
      </c>
      <c r="D16">
        <v>47</v>
      </c>
      <c r="E16">
        <v>48</v>
      </c>
      <c r="F16">
        <v>48</v>
      </c>
      <c r="G16">
        <v>48</v>
      </c>
      <c r="H16">
        <v>48</v>
      </c>
      <c r="I16">
        <v>48</v>
      </c>
      <c r="J16">
        <v>49</v>
      </c>
      <c r="K16">
        <v>50</v>
      </c>
      <c r="L16">
        <v>50</v>
      </c>
      <c r="M16">
        <v>50</v>
      </c>
      <c r="N16">
        <v>51</v>
      </c>
      <c r="O16">
        <v>52</v>
      </c>
      <c r="P16">
        <v>52</v>
      </c>
      <c r="Q16">
        <v>52</v>
      </c>
      <c r="R16">
        <v>52</v>
      </c>
      <c r="S16">
        <v>50</v>
      </c>
      <c r="T16">
        <v>49</v>
      </c>
      <c r="U16">
        <v>48</v>
      </c>
      <c r="V16">
        <v>48</v>
      </c>
      <c r="W16">
        <v>48</v>
      </c>
      <c r="X16">
        <v>47</v>
      </c>
      <c r="Y16">
        <v>47</v>
      </c>
      <c r="Z16" s="2">
        <f>AVERAGE(Sheet1__8[[#This Row],[00:00:00]:[23:00:00]])</f>
        <v>49.083333333333336</v>
      </c>
      <c r="AA16" t="str" cm="1">
        <f t="array" ref="AA16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7" spans="1:27" x14ac:dyDescent="0.3">
      <c r="A17" s="1">
        <v>45885</v>
      </c>
      <c r="B17">
        <v>48</v>
      </c>
      <c r="C17">
        <v>48</v>
      </c>
      <c r="D17">
        <v>47</v>
      </c>
      <c r="E17">
        <v>47</v>
      </c>
      <c r="F17">
        <v>47</v>
      </c>
      <c r="G17">
        <v>46</v>
      </c>
      <c r="H17">
        <v>45</v>
      </c>
      <c r="I17">
        <v>44</v>
      </c>
      <c r="J17">
        <v>44</v>
      </c>
      <c r="K17">
        <v>44</v>
      </c>
      <c r="L17">
        <v>45</v>
      </c>
      <c r="M17">
        <v>40</v>
      </c>
      <c r="N17">
        <v>42</v>
      </c>
      <c r="O17">
        <v>44</v>
      </c>
      <c r="P17">
        <v>46</v>
      </c>
      <c r="Q17">
        <v>48</v>
      </c>
      <c r="R17">
        <v>50</v>
      </c>
      <c r="S17">
        <v>50</v>
      </c>
      <c r="T17">
        <v>49</v>
      </c>
      <c r="U17">
        <v>48</v>
      </c>
      <c r="V17">
        <v>50</v>
      </c>
      <c r="W17">
        <v>51</v>
      </c>
      <c r="X17">
        <v>52</v>
      </c>
      <c r="Y17">
        <v>52</v>
      </c>
      <c r="Z17" s="2">
        <f>AVERAGE(Sheet1__8[[#This Row],[00:00:00]:[23:00:00]])</f>
        <v>46.958333333333336</v>
      </c>
      <c r="AA17" t="str" cm="1">
        <f t="array" ref="AA17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8" spans="1:27" x14ac:dyDescent="0.3">
      <c r="A18" s="1">
        <v>45886</v>
      </c>
      <c r="B18">
        <v>51</v>
      </c>
      <c r="C18">
        <v>51</v>
      </c>
      <c r="D18">
        <v>50</v>
      </c>
      <c r="E18">
        <v>50</v>
      </c>
      <c r="F18">
        <v>48</v>
      </c>
      <c r="G18">
        <v>46</v>
      </c>
      <c r="H18">
        <v>45</v>
      </c>
      <c r="I18">
        <v>45</v>
      </c>
      <c r="J18">
        <v>45</v>
      </c>
      <c r="K18">
        <v>44</v>
      </c>
      <c r="L18">
        <v>44</v>
      </c>
      <c r="M18">
        <v>45</v>
      </c>
      <c r="N18">
        <v>45</v>
      </c>
      <c r="O18">
        <v>45</v>
      </c>
      <c r="P18">
        <v>45</v>
      </c>
      <c r="Q18">
        <v>44</v>
      </c>
      <c r="R18">
        <v>44</v>
      </c>
      <c r="S18">
        <v>43</v>
      </c>
      <c r="T18">
        <v>43</v>
      </c>
      <c r="U18">
        <v>43</v>
      </c>
      <c r="V18">
        <v>43</v>
      </c>
      <c r="W18">
        <v>43</v>
      </c>
      <c r="X18">
        <v>43</v>
      </c>
      <c r="Y18">
        <v>44</v>
      </c>
      <c r="Z18" s="2">
        <f>AVERAGE(Sheet1__8[[#This Row],[00:00:00]:[23:00:00]])</f>
        <v>45.375</v>
      </c>
      <c r="AA18" t="str" cm="1">
        <f t="array" ref="AA18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9" spans="1:27" x14ac:dyDescent="0.3">
      <c r="A19" s="1">
        <v>45887</v>
      </c>
      <c r="B19">
        <v>44</v>
      </c>
      <c r="C19">
        <v>44</v>
      </c>
      <c r="D19">
        <v>44</v>
      </c>
      <c r="E19">
        <v>43</v>
      </c>
      <c r="F19">
        <v>42</v>
      </c>
      <c r="G19">
        <v>41</v>
      </c>
      <c r="H19">
        <v>40</v>
      </c>
      <c r="I19">
        <v>40</v>
      </c>
      <c r="J19">
        <v>40</v>
      </c>
      <c r="K19">
        <v>40</v>
      </c>
      <c r="L19">
        <v>41</v>
      </c>
      <c r="M19">
        <v>43</v>
      </c>
      <c r="N19">
        <v>44</v>
      </c>
      <c r="O19">
        <v>44</v>
      </c>
      <c r="P19">
        <v>45</v>
      </c>
      <c r="Q19">
        <v>46</v>
      </c>
      <c r="R19">
        <v>47</v>
      </c>
      <c r="S19">
        <v>47</v>
      </c>
      <c r="T19">
        <v>47</v>
      </c>
      <c r="U19">
        <v>46</v>
      </c>
      <c r="V19">
        <v>46</v>
      </c>
      <c r="W19">
        <v>46</v>
      </c>
      <c r="X19">
        <v>46</v>
      </c>
      <c r="Y19">
        <v>47</v>
      </c>
      <c r="Z19" s="2">
        <f>AVERAGE(Sheet1__8[[#This Row],[00:00:00]:[23:00:00]])</f>
        <v>43.875</v>
      </c>
      <c r="AA19" t="str" cm="1">
        <f t="array" ref="AA19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0" spans="1:27" x14ac:dyDescent="0.3">
      <c r="A20" s="1">
        <v>45888</v>
      </c>
      <c r="B20">
        <v>47</v>
      </c>
      <c r="C20">
        <v>46</v>
      </c>
      <c r="D20">
        <v>45</v>
      </c>
      <c r="E20">
        <v>44</v>
      </c>
      <c r="F20">
        <v>42</v>
      </c>
      <c r="G20">
        <v>40</v>
      </c>
      <c r="H20">
        <v>38</v>
      </c>
      <c r="I20">
        <v>37</v>
      </c>
      <c r="J20">
        <v>37</v>
      </c>
      <c r="K20">
        <v>36</v>
      </c>
      <c r="L20">
        <v>38</v>
      </c>
      <c r="M20">
        <v>39</v>
      </c>
      <c r="N20">
        <v>39</v>
      </c>
      <c r="O20">
        <v>40</v>
      </c>
      <c r="P20">
        <v>40</v>
      </c>
      <c r="Q20">
        <v>41</v>
      </c>
      <c r="R20">
        <v>41</v>
      </c>
      <c r="S20">
        <v>40</v>
      </c>
      <c r="T20">
        <v>40</v>
      </c>
      <c r="U20">
        <v>39</v>
      </c>
      <c r="V20">
        <v>38</v>
      </c>
      <c r="W20">
        <v>38</v>
      </c>
      <c r="X20">
        <v>36</v>
      </c>
      <c r="Y20">
        <v>36</v>
      </c>
      <c r="Z20" s="2">
        <f>AVERAGE(Sheet1__8[[#This Row],[00:00:00]:[23:00:00]])</f>
        <v>39.875</v>
      </c>
      <c r="AA20" t="str" cm="1">
        <f t="array" ref="AA20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1" spans="1:27" x14ac:dyDescent="0.3">
      <c r="A21" s="1">
        <v>45889</v>
      </c>
      <c r="B21">
        <v>36</v>
      </c>
      <c r="C21">
        <v>36</v>
      </c>
      <c r="D21">
        <v>35</v>
      </c>
      <c r="E21">
        <v>34</v>
      </c>
      <c r="F21">
        <v>33</v>
      </c>
      <c r="G21">
        <v>33</v>
      </c>
      <c r="H21">
        <v>32</v>
      </c>
      <c r="I21">
        <v>31</v>
      </c>
      <c r="J21">
        <v>36</v>
      </c>
      <c r="K21">
        <v>37</v>
      </c>
      <c r="L21">
        <v>37</v>
      </c>
      <c r="M21">
        <v>40</v>
      </c>
      <c r="N21">
        <v>40</v>
      </c>
      <c r="O21">
        <v>44</v>
      </c>
      <c r="P21">
        <v>46</v>
      </c>
      <c r="Q21">
        <v>51</v>
      </c>
      <c r="R21">
        <v>52</v>
      </c>
      <c r="S21">
        <v>52</v>
      </c>
      <c r="T21">
        <v>51</v>
      </c>
      <c r="U21">
        <v>49</v>
      </c>
      <c r="V21">
        <v>49</v>
      </c>
      <c r="W21">
        <v>49</v>
      </c>
      <c r="X21">
        <v>50</v>
      </c>
      <c r="Y21">
        <v>50</v>
      </c>
      <c r="Z21" s="2">
        <f>AVERAGE(Sheet1__8[[#This Row],[00:00:00]:[23:00:00]])</f>
        <v>41.791666666666664</v>
      </c>
      <c r="AA21" t="str" cm="1">
        <f t="array" ref="AA21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2" spans="1:27" x14ac:dyDescent="0.3">
      <c r="A22" s="1">
        <v>45890</v>
      </c>
      <c r="B22">
        <v>51</v>
      </c>
      <c r="C22">
        <v>50</v>
      </c>
      <c r="D22">
        <v>50</v>
      </c>
      <c r="E22">
        <v>49</v>
      </c>
      <c r="F22">
        <v>48</v>
      </c>
      <c r="G22">
        <v>47</v>
      </c>
      <c r="H22">
        <v>45</v>
      </c>
      <c r="I22">
        <v>45</v>
      </c>
      <c r="J22">
        <v>45</v>
      </c>
      <c r="K22">
        <v>46</v>
      </c>
      <c r="L22">
        <v>47</v>
      </c>
      <c r="M22">
        <v>47</v>
      </c>
      <c r="N22">
        <v>50</v>
      </c>
      <c r="O22">
        <v>51</v>
      </c>
      <c r="P22">
        <v>53</v>
      </c>
      <c r="Q22">
        <v>56</v>
      </c>
      <c r="R22">
        <v>57</v>
      </c>
      <c r="S22">
        <v>57</v>
      </c>
      <c r="T22">
        <v>56</v>
      </c>
      <c r="U22">
        <v>55</v>
      </c>
      <c r="V22">
        <v>56</v>
      </c>
      <c r="W22">
        <v>55</v>
      </c>
      <c r="X22">
        <v>54</v>
      </c>
      <c r="Y22">
        <v>52</v>
      </c>
      <c r="Z22" s="2">
        <f>AVERAGE(Sheet1__8[[#This Row],[00:00:00]:[23:00:00]])</f>
        <v>50.916666666666664</v>
      </c>
      <c r="AA22" t="str" cm="1">
        <f t="array" ref="AA22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23" spans="1:27" x14ac:dyDescent="0.3">
      <c r="A23" s="1">
        <v>45891</v>
      </c>
      <c r="B23">
        <v>52</v>
      </c>
      <c r="C23">
        <v>51</v>
      </c>
      <c r="D23">
        <v>50</v>
      </c>
      <c r="E23">
        <v>48</v>
      </c>
      <c r="F23">
        <v>47</v>
      </c>
      <c r="G23">
        <v>45</v>
      </c>
      <c r="H23">
        <v>44</v>
      </c>
      <c r="I23">
        <v>43</v>
      </c>
      <c r="J23">
        <v>44</v>
      </c>
      <c r="K23">
        <v>44</v>
      </c>
      <c r="L23">
        <v>46</v>
      </c>
      <c r="M23">
        <v>47</v>
      </c>
      <c r="N23">
        <v>49</v>
      </c>
      <c r="O23">
        <v>51</v>
      </c>
      <c r="P23">
        <v>52</v>
      </c>
      <c r="Q23">
        <v>52</v>
      </c>
      <c r="R23">
        <v>51</v>
      </c>
      <c r="S23">
        <v>50</v>
      </c>
      <c r="T23">
        <v>51</v>
      </c>
      <c r="U23">
        <v>52</v>
      </c>
      <c r="V23">
        <v>52</v>
      </c>
      <c r="W23">
        <v>52</v>
      </c>
      <c r="X23">
        <v>51</v>
      </c>
      <c r="Y23">
        <v>50</v>
      </c>
      <c r="Z23" s="2">
        <f>AVERAGE(Sheet1__8[[#This Row],[00:00:00]:[23:00:00]])</f>
        <v>48.916666666666664</v>
      </c>
      <c r="AA23" t="str" cm="1">
        <f t="array" ref="AA23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4" spans="1:27" x14ac:dyDescent="0.3">
      <c r="A24" s="1">
        <v>45892</v>
      </c>
      <c r="B24">
        <v>51</v>
      </c>
      <c r="C24">
        <v>54</v>
      </c>
      <c r="D24">
        <v>55</v>
      </c>
      <c r="E24">
        <v>52</v>
      </c>
      <c r="F24">
        <v>50</v>
      </c>
      <c r="G24">
        <v>48</v>
      </c>
      <c r="H24">
        <v>47</v>
      </c>
      <c r="I24">
        <v>47</v>
      </c>
      <c r="J24">
        <v>47</v>
      </c>
      <c r="K24">
        <v>45</v>
      </c>
      <c r="L24">
        <v>45</v>
      </c>
      <c r="M24">
        <v>45</v>
      </c>
      <c r="N24">
        <v>46</v>
      </c>
      <c r="O24">
        <v>47</v>
      </c>
      <c r="P24">
        <v>47</v>
      </c>
      <c r="Q24">
        <v>47</v>
      </c>
      <c r="R24">
        <v>45</v>
      </c>
      <c r="S24">
        <v>45</v>
      </c>
      <c r="T24">
        <v>46</v>
      </c>
      <c r="U24">
        <v>47</v>
      </c>
      <c r="V24">
        <v>47</v>
      </c>
      <c r="W24">
        <v>47</v>
      </c>
      <c r="X24">
        <v>47</v>
      </c>
      <c r="Y24">
        <v>48</v>
      </c>
      <c r="Z24" s="2">
        <f>AVERAGE(Sheet1__8[[#This Row],[00:00:00]:[23:00:00]])</f>
        <v>47.708333333333336</v>
      </c>
      <c r="AA24" t="str" cm="1">
        <f t="array" ref="AA24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5" spans="1:27" x14ac:dyDescent="0.3">
      <c r="A25" s="1">
        <v>45893</v>
      </c>
      <c r="B25">
        <v>48</v>
      </c>
      <c r="C25">
        <v>48</v>
      </c>
      <c r="D25">
        <v>46</v>
      </c>
      <c r="E25">
        <v>45</v>
      </c>
      <c r="F25">
        <v>45</v>
      </c>
      <c r="G25">
        <v>44</v>
      </c>
      <c r="H25">
        <v>43</v>
      </c>
      <c r="I25">
        <v>43</v>
      </c>
      <c r="J25">
        <v>42</v>
      </c>
      <c r="K25">
        <v>42</v>
      </c>
      <c r="L25">
        <v>43</v>
      </c>
      <c r="M25">
        <v>43</v>
      </c>
      <c r="O25">
        <v>44</v>
      </c>
      <c r="P25">
        <v>45</v>
      </c>
      <c r="Q25">
        <v>46</v>
      </c>
      <c r="R25">
        <v>47</v>
      </c>
      <c r="S25">
        <v>47</v>
      </c>
      <c r="T25">
        <v>46</v>
      </c>
      <c r="U25">
        <v>46</v>
      </c>
      <c r="V25">
        <v>46</v>
      </c>
      <c r="W25">
        <v>46</v>
      </c>
      <c r="X25">
        <v>45</v>
      </c>
      <c r="Y25">
        <v>45</v>
      </c>
      <c r="Z25" s="2">
        <f>AVERAGE(Sheet1__8[[#This Row],[00:00:00]:[23:00:00]])</f>
        <v>45</v>
      </c>
      <c r="AA25" t="str" cm="1">
        <f t="array" ref="AA25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6" spans="1:27" x14ac:dyDescent="0.3">
      <c r="A26" s="1">
        <v>45894</v>
      </c>
      <c r="B26">
        <v>44</v>
      </c>
      <c r="C26">
        <v>44</v>
      </c>
      <c r="D26">
        <v>44</v>
      </c>
      <c r="E26">
        <v>43</v>
      </c>
      <c r="F26">
        <v>42</v>
      </c>
      <c r="G26">
        <v>41</v>
      </c>
      <c r="H26">
        <v>40</v>
      </c>
      <c r="I26">
        <v>40</v>
      </c>
      <c r="J26">
        <v>41</v>
      </c>
      <c r="K26">
        <v>41</v>
      </c>
      <c r="L26">
        <v>41</v>
      </c>
      <c r="M26">
        <v>43</v>
      </c>
      <c r="N26">
        <v>45</v>
      </c>
      <c r="O26">
        <v>46</v>
      </c>
      <c r="P26">
        <v>48</v>
      </c>
      <c r="Q26">
        <v>48</v>
      </c>
      <c r="R26">
        <v>49</v>
      </c>
      <c r="S26">
        <v>49</v>
      </c>
      <c r="T26">
        <v>49</v>
      </c>
      <c r="U26">
        <v>50</v>
      </c>
      <c r="V26">
        <v>50</v>
      </c>
      <c r="W26">
        <v>51</v>
      </c>
      <c r="X26">
        <v>53</v>
      </c>
      <c r="Y26">
        <v>55</v>
      </c>
      <c r="Z26" s="2">
        <f>AVERAGE(Sheet1__8[[#This Row],[00:00:00]:[23:00:00]])</f>
        <v>45.708333333333336</v>
      </c>
      <c r="AA26" t="str" cm="1">
        <f t="array" ref="AA26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7" spans="1:27" x14ac:dyDescent="0.3">
      <c r="A27" s="1">
        <v>45895</v>
      </c>
      <c r="B27">
        <v>56</v>
      </c>
      <c r="C27">
        <v>54</v>
      </c>
      <c r="D27">
        <v>53</v>
      </c>
      <c r="E27">
        <v>53</v>
      </c>
      <c r="F27">
        <v>52</v>
      </c>
      <c r="G27">
        <v>51</v>
      </c>
      <c r="H27">
        <v>50</v>
      </c>
      <c r="I27">
        <v>49</v>
      </c>
      <c r="J27">
        <v>48</v>
      </c>
      <c r="K27">
        <v>49</v>
      </c>
      <c r="L27">
        <v>50</v>
      </c>
      <c r="M27">
        <v>50</v>
      </c>
      <c r="N27">
        <v>50</v>
      </c>
      <c r="O27">
        <v>50</v>
      </c>
      <c r="P27">
        <v>54</v>
      </c>
      <c r="Q27">
        <v>60</v>
      </c>
      <c r="R27">
        <v>60</v>
      </c>
      <c r="S27">
        <v>61</v>
      </c>
      <c r="T27">
        <v>58</v>
      </c>
      <c r="U27">
        <v>57</v>
      </c>
      <c r="V27">
        <v>57</v>
      </c>
      <c r="W27">
        <v>57</v>
      </c>
      <c r="X27">
        <v>57</v>
      </c>
      <c r="Y27">
        <v>57</v>
      </c>
      <c r="Z27" s="2">
        <f>AVERAGE(Sheet1__8[[#This Row],[00:00:00]:[23:00:00]])</f>
        <v>53.875</v>
      </c>
      <c r="AA27" t="str" cm="1">
        <f t="array" ref="AA27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28" spans="1:27" x14ac:dyDescent="0.3">
      <c r="A28" s="1">
        <v>45896</v>
      </c>
      <c r="B28">
        <v>56</v>
      </c>
      <c r="C28">
        <v>55</v>
      </c>
      <c r="D28">
        <v>54</v>
      </c>
      <c r="E28">
        <v>54</v>
      </c>
      <c r="F28">
        <v>53</v>
      </c>
      <c r="G28">
        <v>52</v>
      </c>
      <c r="H28">
        <v>52</v>
      </c>
      <c r="I28">
        <v>52</v>
      </c>
      <c r="J28">
        <v>53</v>
      </c>
      <c r="K28">
        <v>53</v>
      </c>
      <c r="L28">
        <v>53</v>
      </c>
      <c r="M28">
        <v>53</v>
      </c>
      <c r="N28">
        <v>56</v>
      </c>
      <c r="O28">
        <v>58</v>
      </c>
      <c r="P28">
        <v>60</v>
      </c>
      <c r="Q28">
        <v>61</v>
      </c>
      <c r="R28">
        <v>61</v>
      </c>
      <c r="S28">
        <v>62</v>
      </c>
      <c r="T28">
        <v>63</v>
      </c>
      <c r="U28">
        <v>63</v>
      </c>
      <c r="V28">
        <v>63</v>
      </c>
      <c r="W28">
        <v>62</v>
      </c>
      <c r="X28">
        <v>63</v>
      </c>
      <c r="Y28">
        <v>62</v>
      </c>
      <c r="Z28" s="2">
        <f>AVERAGE(Sheet1__8[[#This Row],[00:00:00]:[23:00:00]])</f>
        <v>57.25</v>
      </c>
      <c r="AA28" t="str" cm="1">
        <f t="array" ref="AA28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29" spans="1:27" x14ac:dyDescent="0.3">
      <c r="A29" s="1">
        <v>45897</v>
      </c>
      <c r="B29">
        <v>60</v>
      </c>
      <c r="C29">
        <v>58</v>
      </c>
      <c r="D29">
        <v>55</v>
      </c>
      <c r="F29">
        <v>54</v>
      </c>
      <c r="G29">
        <v>52</v>
      </c>
      <c r="H29">
        <v>51</v>
      </c>
      <c r="I29">
        <v>49</v>
      </c>
      <c r="J29">
        <v>49</v>
      </c>
      <c r="K29">
        <v>51</v>
      </c>
      <c r="L29">
        <v>54</v>
      </c>
      <c r="M29">
        <v>56</v>
      </c>
      <c r="N29">
        <v>56</v>
      </c>
      <c r="O29">
        <v>56</v>
      </c>
      <c r="P29">
        <v>59</v>
      </c>
      <c r="Q29">
        <v>60</v>
      </c>
      <c r="R29">
        <v>61</v>
      </c>
      <c r="S29">
        <v>61</v>
      </c>
      <c r="U29">
        <v>61</v>
      </c>
      <c r="V29">
        <v>62</v>
      </c>
      <c r="W29">
        <v>63</v>
      </c>
      <c r="X29">
        <v>62</v>
      </c>
      <c r="Y29">
        <v>61</v>
      </c>
      <c r="Z29" s="2">
        <f>AVERAGE(Sheet1__8[[#This Row],[00:00:00]:[23:00:00]])</f>
        <v>56.863636363636367</v>
      </c>
      <c r="AA29" t="str" cm="1">
        <f t="array" ref="AA29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30" spans="1:27" x14ac:dyDescent="0.3">
      <c r="A30" s="1">
        <v>45898</v>
      </c>
      <c r="B30">
        <v>60</v>
      </c>
      <c r="C30">
        <v>59</v>
      </c>
      <c r="D30">
        <v>59</v>
      </c>
      <c r="E30">
        <v>57</v>
      </c>
      <c r="F30">
        <v>55</v>
      </c>
      <c r="G30">
        <v>52</v>
      </c>
      <c r="H30">
        <v>52</v>
      </c>
      <c r="I30">
        <v>53</v>
      </c>
      <c r="J30">
        <v>53</v>
      </c>
      <c r="K30">
        <v>54</v>
      </c>
      <c r="L30">
        <v>55</v>
      </c>
      <c r="M30">
        <v>55</v>
      </c>
      <c r="N30">
        <v>58</v>
      </c>
      <c r="O30">
        <v>59</v>
      </c>
      <c r="P30">
        <v>61</v>
      </c>
      <c r="Q30">
        <v>62</v>
      </c>
      <c r="R30">
        <v>62</v>
      </c>
      <c r="S30">
        <v>61</v>
      </c>
      <c r="T30">
        <v>61</v>
      </c>
      <c r="U30">
        <v>61</v>
      </c>
      <c r="V30">
        <v>60</v>
      </c>
      <c r="W30">
        <v>60</v>
      </c>
      <c r="X30">
        <v>60</v>
      </c>
      <c r="Y30">
        <v>61</v>
      </c>
      <c r="Z30" s="2">
        <f>AVERAGE(Sheet1__8[[#This Row],[00:00:00]:[23:00:00]])</f>
        <v>57.916666666666664</v>
      </c>
      <c r="AA30" t="str" cm="1">
        <f t="array" ref="AA30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31" spans="1:27" x14ac:dyDescent="0.3">
      <c r="A31" s="1">
        <v>45899</v>
      </c>
      <c r="B31">
        <v>61</v>
      </c>
      <c r="C31">
        <v>61</v>
      </c>
      <c r="D31">
        <v>61</v>
      </c>
      <c r="E31">
        <v>59</v>
      </c>
      <c r="F31">
        <v>59</v>
      </c>
      <c r="G31">
        <v>59</v>
      </c>
      <c r="H31">
        <v>59</v>
      </c>
      <c r="I31">
        <v>58</v>
      </c>
      <c r="J31">
        <v>58</v>
      </c>
      <c r="K31">
        <v>58</v>
      </c>
      <c r="L31">
        <v>58</v>
      </c>
      <c r="M31">
        <v>58</v>
      </c>
      <c r="N31">
        <v>59</v>
      </c>
      <c r="O31">
        <v>60</v>
      </c>
      <c r="P31">
        <v>61</v>
      </c>
      <c r="Q31">
        <v>62</v>
      </c>
      <c r="R31">
        <v>62</v>
      </c>
      <c r="S31">
        <v>61</v>
      </c>
      <c r="T31">
        <v>59</v>
      </c>
      <c r="U31">
        <v>58</v>
      </c>
      <c r="V31">
        <v>59</v>
      </c>
      <c r="W31">
        <v>58</v>
      </c>
      <c r="X31">
        <v>60</v>
      </c>
      <c r="Y31">
        <v>58</v>
      </c>
      <c r="Z31" s="2">
        <f>AVERAGE(Sheet1__8[[#This Row],[00:00:00]:[23:00:00]])</f>
        <v>59.416666666666664</v>
      </c>
      <c r="AA31" t="str" cm="1">
        <f t="array" ref="AA31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32" spans="1:27" x14ac:dyDescent="0.3">
      <c r="A32" s="1">
        <v>45900</v>
      </c>
      <c r="C32">
        <v>57</v>
      </c>
      <c r="D32">
        <v>57</v>
      </c>
      <c r="E32">
        <v>55</v>
      </c>
      <c r="F32">
        <v>52</v>
      </c>
      <c r="G32">
        <v>49</v>
      </c>
      <c r="H32">
        <v>48</v>
      </c>
      <c r="I32">
        <v>47</v>
      </c>
      <c r="J32">
        <v>44</v>
      </c>
      <c r="K32">
        <v>44</v>
      </c>
      <c r="L32">
        <v>44</v>
      </c>
      <c r="M32">
        <v>44</v>
      </c>
      <c r="N32">
        <v>44</v>
      </c>
      <c r="O32">
        <v>45</v>
      </c>
      <c r="P32">
        <v>46</v>
      </c>
      <c r="Q32">
        <v>47</v>
      </c>
      <c r="R32">
        <v>48</v>
      </c>
      <c r="S32">
        <v>48</v>
      </c>
      <c r="T32">
        <v>48</v>
      </c>
      <c r="U32">
        <v>48</v>
      </c>
      <c r="V32">
        <v>52</v>
      </c>
      <c r="W32">
        <v>53</v>
      </c>
      <c r="X32">
        <v>53</v>
      </c>
      <c r="Y32">
        <v>54</v>
      </c>
      <c r="Z32" s="2">
        <f>AVERAGE(Sheet1__8[[#This Row],[00:00:00]:[23:00:00]])</f>
        <v>49</v>
      </c>
      <c r="AA32" t="str" cm="1">
        <f t="array" ref="AA32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33" spans="26:26" x14ac:dyDescent="0.3">
      <c r="Z33" s="2">
        <f>AVERAGE(Sheet1__8[AVERAGE AQI])</f>
        <v>55.955889540566965</v>
      </c>
    </row>
  </sheetData>
  <conditionalFormatting sqref="AA1:AA1048576">
    <cfRule type="containsText" dxfId="21" priority="1" operator="containsText" text="MODERATE">
      <formula>NOT(ISERROR(SEARCH("MODERATE",AA1)))</formula>
    </cfRule>
    <cfRule type="containsText" dxfId="20" priority="3" operator="containsText" text="GOOD">
      <formula>NOT(ISERROR(SEARCH("GOOD",AA1)))</formula>
    </cfRule>
  </conditionalFormatting>
  <conditionalFormatting sqref="R16">
    <cfRule type="containsText" dxfId="19" priority="2" operator="containsText" text="MODERATE">
      <formula>NOT(ISERROR(SEARCH("MODERATE",R16)))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D320-349E-465F-93A3-0F50391259B1}">
  <dimension ref="A1:AA32"/>
  <sheetViews>
    <sheetView topLeftCell="A10" workbookViewId="0">
      <selection activeCell="Z1" sqref="Z1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4.777343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27</v>
      </c>
      <c r="AA1" t="s">
        <v>25</v>
      </c>
    </row>
    <row r="2" spans="1:27" x14ac:dyDescent="0.3">
      <c r="A2" s="1">
        <v>45901</v>
      </c>
      <c r="B2">
        <v>50</v>
      </c>
      <c r="C2">
        <v>49</v>
      </c>
      <c r="D2">
        <v>47</v>
      </c>
      <c r="E2">
        <v>46</v>
      </c>
      <c r="F2">
        <v>44</v>
      </c>
      <c r="G2">
        <v>43</v>
      </c>
      <c r="H2">
        <v>41</v>
      </c>
      <c r="I2">
        <v>43</v>
      </c>
      <c r="J2">
        <v>43</v>
      </c>
      <c r="K2">
        <v>47</v>
      </c>
      <c r="L2">
        <v>44</v>
      </c>
      <c r="M2">
        <v>45</v>
      </c>
      <c r="N2">
        <v>46</v>
      </c>
      <c r="O2">
        <v>45</v>
      </c>
      <c r="P2">
        <v>45</v>
      </c>
      <c r="Q2">
        <v>45</v>
      </c>
      <c r="R2">
        <v>46</v>
      </c>
      <c r="S2">
        <v>52</v>
      </c>
      <c r="T2">
        <v>50</v>
      </c>
      <c r="U2">
        <v>44</v>
      </c>
      <c r="V2">
        <v>44</v>
      </c>
      <c r="W2">
        <v>44</v>
      </c>
      <c r="X2">
        <v>44</v>
      </c>
      <c r="Y2">
        <v>43</v>
      </c>
      <c r="Z2" s="2">
        <f>AVERAGE(Sheet1__9[[#This Row],[00:00:00]:[23:00:00]])</f>
        <v>45.416666666666664</v>
      </c>
      <c r="AA2" t="str" cm="1">
        <f t="array" ref="AA2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3" spans="1:27" x14ac:dyDescent="0.3">
      <c r="A3" s="1">
        <v>45902</v>
      </c>
      <c r="B3">
        <v>43</v>
      </c>
      <c r="C3">
        <v>43</v>
      </c>
      <c r="D3">
        <v>43</v>
      </c>
      <c r="E3">
        <v>42</v>
      </c>
      <c r="F3">
        <v>41</v>
      </c>
      <c r="G3">
        <v>45</v>
      </c>
      <c r="H3">
        <v>44</v>
      </c>
      <c r="I3">
        <v>45</v>
      </c>
      <c r="J3">
        <v>45</v>
      </c>
      <c r="K3">
        <v>46</v>
      </c>
      <c r="L3">
        <v>47</v>
      </c>
      <c r="M3">
        <v>48</v>
      </c>
      <c r="N3">
        <v>49</v>
      </c>
      <c r="O3">
        <v>50</v>
      </c>
      <c r="P3">
        <v>52</v>
      </c>
      <c r="Q3">
        <v>53</v>
      </c>
      <c r="R3">
        <v>53</v>
      </c>
      <c r="S3">
        <v>52</v>
      </c>
      <c r="T3">
        <v>51</v>
      </c>
      <c r="U3">
        <v>48</v>
      </c>
      <c r="V3">
        <v>53</v>
      </c>
      <c r="W3">
        <v>53</v>
      </c>
      <c r="X3">
        <v>51</v>
      </c>
      <c r="Y3">
        <v>51</v>
      </c>
      <c r="Z3" s="2">
        <f>AVERAGE(Sheet1__9[[#This Row],[00:00:00]:[23:00:00]])</f>
        <v>47.833333333333336</v>
      </c>
      <c r="AA3" t="str" cm="1">
        <f t="array" ref="AA3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4" spans="1:27" x14ac:dyDescent="0.3">
      <c r="A4" s="1">
        <v>45903</v>
      </c>
      <c r="B4">
        <v>51</v>
      </c>
      <c r="C4">
        <v>50</v>
      </c>
      <c r="D4">
        <v>50</v>
      </c>
      <c r="E4">
        <v>50</v>
      </c>
      <c r="F4">
        <v>50</v>
      </c>
      <c r="G4">
        <v>49</v>
      </c>
      <c r="H4">
        <v>63</v>
      </c>
      <c r="I4">
        <v>62</v>
      </c>
      <c r="J4">
        <v>60</v>
      </c>
      <c r="K4">
        <v>59</v>
      </c>
      <c r="L4">
        <v>58</v>
      </c>
      <c r="M4">
        <v>58</v>
      </c>
      <c r="N4">
        <v>57</v>
      </c>
      <c r="O4">
        <v>57</v>
      </c>
      <c r="P4">
        <v>57</v>
      </c>
      <c r="Q4">
        <v>57</v>
      </c>
      <c r="R4">
        <v>55</v>
      </c>
      <c r="S4">
        <v>57</v>
      </c>
      <c r="T4">
        <v>56</v>
      </c>
      <c r="U4">
        <v>55</v>
      </c>
      <c r="V4">
        <v>55</v>
      </c>
      <c r="W4">
        <v>55</v>
      </c>
      <c r="X4">
        <v>55</v>
      </c>
      <c r="Y4">
        <v>56</v>
      </c>
      <c r="Z4" s="2">
        <f>AVERAGE(Sheet1__9[[#This Row],[00:00:00]:[23:00:00]])</f>
        <v>55.5</v>
      </c>
      <c r="AA4" t="str" cm="1">
        <f t="array" ref="AA4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5" spans="1:27" x14ac:dyDescent="0.3">
      <c r="A5" s="1">
        <v>45904</v>
      </c>
      <c r="B5">
        <v>57</v>
      </c>
      <c r="C5">
        <v>58</v>
      </c>
      <c r="D5">
        <v>58</v>
      </c>
      <c r="E5">
        <v>59</v>
      </c>
      <c r="F5">
        <v>61</v>
      </c>
      <c r="G5">
        <v>62</v>
      </c>
      <c r="H5">
        <v>57</v>
      </c>
      <c r="I5">
        <v>56</v>
      </c>
      <c r="J5">
        <v>56</v>
      </c>
      <c r="K5">
        <v>57</v>
      </c>
      <c r="M5">
        <v>58</v>
      </c>
      <c r="N5">
        <v>57</v>
      </c>
      <c r="O5">
        <v>56</v>
      </c>
      <c r="P5">
        <v>56</v>
      </c>
      <c r="Q5">
        <v>56</v>
      </c>
      <c r="R5">
        <v>56</v>
      </c>
      <c r="S5">
        <v>56</v>
      </c>
      <c r="T5">
        <v>56</v>
      </c>
      <c r="U5">
        <v>55</v>
      </c>
      <c r="V5">
        <v>54</v>
      </c>
      <c r="W5">
        <v>54</v>
      </c>
      <c r="X5">
        <v>61</v>
      </c>
      <c r="Y5">
        <v>61</v>
      </c>
      <c r="Z5" s="2">
        <f>AVERAGE(Sheet1__9[[#This Row],[00:00:00]:[23:00:00]])</f>
        <v>57.260869565217391</v>
      </c>
      <c r="AA5" t="str" cm="1">
        <f t="array" ref="AA5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6" spans="1:27" x14ac:dyDescent="0.3">
      <c r="A6" s="1">
        <v>45905</v>
      </c>
      <c r="B6">
        <v>61</v>
      </c>
      <c r="C6">
        <v>54</v>
      </c>
      <c r="D6">
        <v>60</v>
      </c>
      <c r="E6">
        <v>59</v>
      </c>
      <c r="F6">
        <v>59</v>
      </c>
      <c r="G6">
        <v>58</v>
      </c>
      <c r="H6">
        <v>58</v>
      </c>
      <c r="I6">
        <v>57</v>
      </c>
      <c r="J6">
        <v>62</v>
      </c>
      <c r="K6">
        <v>58</v>
      </c>
      <c r="L6">
        <v>57</v>
      </c>
      <c r="M6">
        <v>54</v>
      </c>
      <c r="N6">
        <v>53</v>
      </c>
      <c r="O6">
        <v>53</v>
      </c>
      <c r="P6">
        <v>54</v>
      </c>
      <c r="Q6">
        <v>56</v>
      </c>
      <c r="R6">
        <v>56</v>
      </c>
      <c r="S6">
        <v>56</v>
      </c>
      <c r="T6">
        <v>56</v>
      </c>
      <c r="U6">
        <v>56</v>
      </c>
      <c r="V6">
        <v>56</v>
      </c>
      <c r="W6">
        <v>56</v>
      </c>
      <c r="X6">
        <v>56</v>
      </c>
      <c r="Z6" s="2">
        <f>AVERAGE(Sheet1__9[[#This Row],[00:00:00]:[23:00:00]])</f>
        <v>56.739130434782609</v>
      </c>
      <c r="AA6" t="str" cm="1">
        <f t="array" ref="AA6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7" spans="1:27" x14ac:dyDescent="0.3">
      <c r="A7" s="1">
        <v>45906</v>
      </c>
      <c r="B7">
        <v>54</v>
      </c>
      <c r="C7">
        <v>53</v>
      </c>
      <c r="D7">
        <v>51</v>
      </c>
      <c r="F7">
        <v>50</v>
      </c>
      <c r="G7">
        <v>50</v>
      </c>
      <c r="H7">
        <v>49</v>
      </c>
      <c r="I7">
        <v>48</v>
      </c>
      <c r="J7">
        <v>48</v>
      </c>
      <c r="K7">
        <v>49</v>
      </c>
      <c r="L7">
        <v>49</v>
      </c>
      <c r="M7">
        <v>50</v>
      </c>
      <c r="N7">
        <v>49</v>
      </c>
      <c r="O7">
        <v>49</v>
      </c>
      <c r="P7">
        <v>50</v>
      </c>
      <c r="Q7">
        <v>51</v>
      </c>
      <c r="R7">
        <v>51</v>
      </c>
      <c r="S7">
        <v>51</v>
      </c>
      <c r="T7">
        <v>50</v>
      </c>
      <c r="U7">
        <v>49</v>
      </c>
      <c r="V7">
        <v>52</v>
      </c>
      <c r="W7">
        <v>52</v>
      </c>
      <c r="X7">
        <v>52</v>
      </c>
      <c r="Y7">
        <v>51</v>
      </c>
      <c r="Z7" s="2">
        <f>AVERAGE(Sheet1__9[[#This Row],[00:00:00]:[23:00:00]])</f>
        <v>50.347826086956523</v>
      </c>
      <c r="AA7" t="str" cm="1">
        <f t="array" ref="AA7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8" spans="1:27" x14ac:dyDescent="0.3">
      <c r="A8" s="1">
        <v>45907</v>
      </c>
      <c r="B8">
        <v>50</v>
      </c>
      <c r="C8">
        <v>50</v>
      </c>
      <c r="D8">
        <v>50</v>
      </c>
      <c r="E8">
        <v>50</v>
      </c>
      <c r="F8">
        <v>51</v>
      </c>
      <c r="G8">
        <v>52</v>
      </c>
      <c r="H8">
        <v>52</v>
      </c>
      <c r="I8">
        <v>53</v>
      </c>
      <c r="J8">
        <v>53</v>
      </c>
      <c r="K8">
        <v>53</v>
      </c>
      <c r="L8">
        <v>52</v>
      </c>
      <c r="M8">
        <v>52</v>
      </c>
      <c r="N8">
        <v>52</v>
      </c>
      <c r="O8">
        <v>53</v>
      </c>
      <c r="P8">
        <v>50</v>
      </c>
      <c r="Q8">
        <v>50</v>
      </c>
      <c r="R8">
        <v>49</v>
      </c>
      <c r="S8">
        <v>49</v>
      </c>
      <c r="T8">
        <v>49</v>
      </c>
      <c r="U8">
        <v>48</v>
      </c>
      <c r="V8">
        <v>47</v>
      </c>
      <c r="W8">
        <v>47</v>
      </c>
      <c r="X8">
        <v>47</v>
      </c>
      <c r="Y8">
        <v>48</v>
      </c>
      <c r="Z8" s="2">
        <f>AVERAGE(Sheet1__9[[#This Row],[00:00:00]:[23:00:00]])</f>
        <v>50.291666666666664</v>
      </c>
      <c r="AA8" t="str" cm="1">
        <f t="array" ref="AA8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9" spans="1:27" x14ac:dyDescent="0.3">
      <c r="A9" s="1">
        <v>45908</v>
      </c>
      <c r="B9">
        <v>47</v>
      </c>
      <c r="C9">
        <v>46</v>
      </c>
      <c r="D9">
        <v>45</v>
      </c>
      <c r="E9">
        <v>44</v>
      </c>
      <c r="F9">
        <v>44</v>
      </c>
      <c r="G9">
        <v>44</v>
      </c>
      <c r="H9">
        <v>44</v>
      </c>
      <c r="I9">
        <v>43</v>
      </c>
      <c r="J9">
        <v>41</v>
      </c>
      <c r="K9">
        <v>40</v>
      </c>
      <c r="L9">
        <v>38</v>
      </c>
      <c r="M9">
        <v>43</v>
      </c>
      <c r="O9">
        <v>44</v>
      </c>
      <c r="P9">
        <v>44</v>
      </c>
      <c r="Q9">
        <v>44</v>
      </c>
      <c r="R9">
        <v>45</v>
      </c>
      <c r="S9">
        <v>46</v>
      </c>
      <c r="T9">
        <v>46</v>
      </c>
      <c r="U9">
        <v>47</v>
      </c>
      <c r="V9">
        <v>48</v>
      </c>
      <c r="W9">
        <v>50</v>
      </c>
      <c r="X9">
        <v>50</v>
      </c>
      <c r="Y9">
        <v>50</v>
      </c>
      <c r="Z9" s="2">
        <f>AVERAGE(Sheet1__9[[#This Row],[00:00:00]:[23:00:00]])</f>
        <v>44.913043478260867</v>
      </c>
      <c r="AA9" t="str" cm="1">
        <f t="array" ref="AA9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0" spans="1:27" x14ac:dyDescent="0.3">
      <c r="A10" s="1">
        <v>45909</v>
      </c>
      <c r="B10">
        <v>55</v>
      </c>
      <c r="C10">
        <v>56</v>
      </c>
      <c r="D10">
        <v>58</v>
      </c>
      <c r="E10">
        <v>58</v>
      </c>
      <c r="F10">
        <v>58</v>
      </c>
      <c r="G10">
        <v>59</v>
      </c>
      <c r="H10">
        <v>60</v>
      </c>
      <c r="I10">
        <v>63</v>
      </c>
      <c r="J10">
        <v>64</v>
      </c>
      <c r="K10">
        <v>64</v>
      </c>
      <c r="L10">
        <v>64</v>
      </c>
      <c r="M10">
        <v>64</v>
      </c>
      <c r="N10">
        <v>64</v>
      </c>
      <c r="O10">
        <v>65</v>
      </c>
      <c r="P10">
        <v>66</v>
      </c>
      <c r="Q10">
        <v>67</v>
      </c>
      <c r="R10">
        <v>68</v>
      </c>
      <c r="S10">
        <v>68</v>
      </c>
      <c r="T10">
        <v>70</v>
      </c>
      <c r="U10">
        <v>71</v>
      </c>
      <c r="V10">
        <v>72</v>
      </c>
      <c r="W10">
        <v>73</v>
      </c>
      <c r="X10">
        <v>74</v>
      </c>
      <c r="Y10">
        <v>76</v>
      </c>
      <c r="Z10" s="2">
        <f>AVERAGE(Sheet1__9[[#This Row],[00:00:00]:[23:00:00]])</f>
        <v>64.875</v>
      </c>
      <c r="AA10" t="str" cm="1">
        <f t="array" ref="AA10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1" spans="1:27" x14ac:dyDescent="0.3">
      <c r="A11" s="1">
        <v>45910</v>
      </c>
      <c r="B11">
        <v>76</v>
      </c>
      <c r="C11">
        <v>76</v>
      </c>
      <c r="D11">
        <v>76</v>
      </c>
      <c r="E11">
        <v>76</v>
      </c>
      <c r="F11">
        <v>75</v>
      </c>
      <c r="G11">
        <v>75</v>
      </c>
      <c r="H11">
        <v>73</v>
      </c>
      <c r="I11">
        <v>70</v>
      </c>
      <c r="J11">
        <v>70</v>
      </c>
      <c r="K11">
        <v>71</v>
      </c>
      <c r="L11">
        <v>72</v>
      </c>
      <c r="M11">
        <v>71</v>
      </c>
      <c r="N11">
        <v>71</v>
      </c>
      <c r="O11">
        <v>71</v>
      </c>
      <c r="P11">
        <v>71</v>
      </c>
      <c r="Q11">
        <v>72</v>
      </c>
      <c r="R11">
        <v>72</v>
      </c>
      <c r="S11">
        <v>72</v>
      </c>
      <c r="T11">
        <v>72</v>
      </c>
      <c r="U11">
        <v>72</v>
      </c>
      <c r="V11">
        <v>73</v>
      </c>
      <c r="W11">
        <v>74</v>
      </c>
      <c r="X11">
        <v>74</v>
      </c>
      <c r="Y11">
        <v>76</v>
      </c>
      <c r="Z11" s="2">
        <f>AVERAGE(Sheet1__9[[#This Row],[00:00:00]:[23:00:00]])</f>
        <v>72.958333333333329</v>
      </c>
      <c r="AA11" t="str" cm="1">
        <f t="array" ref="AA11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2" spans="1:27" x14ac:dyDescent="0.3">
      <c r="A12" s="1">
        <v>45911</v>
      </c>
      <c r="B12">
        <v>79</v>
      </c>
      <c r="C12">
        <v>82</v>
      </c>
      <c r="D12">
        <v>82</v>
      </c>
      <c r="E12">
        <v>81</v>
      </c>
      <c r="F12">
        <v>83</v>
      </c>
      <c r="G12">
        <v>83</v>
      </c>
      <c r="H12">
        <v>83</v>
      </c>
      <c r="I12">
        <v>83</v>
      </c>
      <c r="J12">
        <v>85</v>
      </c>
      <c r="K12">
        <v>84</v>
      </c>
      <c r="L12">
        <v>84</v>
      </c>
      <c r="M12">
        <v>81</v>
      </c>
      <c r="N12">
        <v>80</v>
      </c>
      <c r="O12">
        <v>79</v>
      </c>
      <c r="P12">
        <v>79</v>
      </c>
      <c r="Q12">
        <v>78</v>
      </c>
      <c r="R12">
        <v>78</v>
      </c>
      <c r="S12">
        <v>78</v>
      </c>
      <c r="T12">
        <v>78</v>
      </c>
      <c r="U12">
        <v>101</v>
      </c>
      <c r="V12">
        <v>79</v>
      </c>
      <c r="W12">
        <v>79</v>
      </c>
      <c r="X12">
        <v>78</v>
      </c>
      <c r="Y12">
        <v>77</v>
      </c>
      <c r="Z12" s="2">
        <f>AVERAGE(Sheet1__9[[#This Row],[00:00:00]:[23:00:00]])</f>
        <v>81.416666666666671</v>
      </c>
      <c r="AA12" t="str" cm="1">
        <f t="array" ref="AA12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3" spans="1:27" x14ac:dyDescent="0.3">
      <c r="A13" s="1">
        <v>45912</v>
      </c>
      <c r="B13">
        <v>76</v>
      </c>
      <c r="C13">
        <v>76</v>
      </c>
      <c r="D13">
        <v>75</v>
      </c>
      <c r="E13">
        <v>72</v>
      </c>
      <c r="F13">
        <v>72</v>
      </c>
      <c r="G13">
        <v>71</v>
      </c>
      <c r="H13">
        <v>70</v>
      </c>
      <c r="I13">
        <v>70</v>
      </c>
      <c r="J13">
        <v>70</v>
      </c>
      <c r="K13">
        <v>70</v>
      </c>
      <c r="L13">
        <v>69</v>
      </c>
      <c r="M13">
        <v>69</v>
      </c>
      <c r="N13">
        <v>69</v>
      </c>
      <c r="O13">
        <v>69</v>
      </c>
      <c r="P13">
        <v>69</v>
      </c>
      <c r="Q13">
        <v>72</v>
      </c>
      <c r="R13">
        <v>71</v>
      </c>
      <c r="S13">
        <v>71</v>
      </c>
      <c r="T13">
        <v>70</v>
      </c>
      <c r="U13">
        <v>68</v>
      </c>
      <c r="V13">
        <v>68</v>
      </c>
      <c r="W13">
        <v>70</v>
      </c>
      <c r="X13">
        <v>69</v>
      </c>
      <c r="Y13">
        <v>72</v>
      </c>
      <c r="Z13" s="2">
        <f>AVERAGE(Sheet1__9[[#This Row],[00:00:00]:[23:00:00]])</f>
        <v>70.75</v>
      </c>
      <c r="AA13" t="str" cm="1">
        <f t="array" ref="AA13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4" spans="1:27" x14ac:dyDescent="0.3">
      <c r="A14" s="1">
        <v>45913</v>
      </c>
      <c r="B14">
        <v>72</v>
      </c>
      <c r="C14">
        <v>74</v>
      </c>
      <c r="D14">
        <v>74</v>
      </c>
      <c r="E14">
        <v>73</v>
      </c>
      <c r="F14">
        <v>73</v>
      </c>
      <c r="G14">
        <v>72</v>
      </c>
      <c r="H14">
        <v>73</v>
      </c>
      <c r="I14">
        <v>74</v>
      </c>
      <c r="J14">
        <v>73</v>
      </c>
      <c r="K14">
        <v>70</v>
      </c>
      <c r="L14">
        <v>70</v>
      </c>
      <c r="M14">
        <v>68</v>
      </c>
      <c r="N14">
        <v>68</v>
      </c>
      <c r="O14">
        <v>68</v>
      </c>
      <c r="P14">
        <v>70</v>
      </c>
      <c r="Q14">
        <v>69</v>
      </c>
      <c r="R14">
        <v>67</v>
      </c>
      <c r="S14">
        <v>67</v>
      </c>
      <c r="T14">
        <v>72</v>
      </c>
      <c r="U14">
        <v>68</v>
      </c>
      <c r="V14">
        <v>68</v>
      </c>
      <c r="W14">
        <v>68</v>
      </c>
      <c r="X14">
        <v>67</v>
      </c>
      <c r="Y14">
        <v>66</v>
      </c>
      <c r="Z14" s="2">
        <f>AVERAGE(Sheet1__9[[#This Row],[00:00:00]:[23:00:00]])</f>
        <v>70.166666666666671</v>
      </c>
      <c r="AA14" t="str" cm="1">
        <f t="array" ref="AA14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5" spans="1:27" x14ac:dyDescent="0.3">
      <c r="A15" s="1">
        <v>45914</v>
      </c>
      <c r="B15">
        <v>64</v>
      </c>
      <c r="C15">
        <v>62</v>
      </c>
      <c r="E15">
        <v>60</v>
      </c>
      <c r="F15">
        <v>58</v>
      </c>
      <c r="G15">
        <v>56</v>
      </c>
      <c r="H15">
        <v>55</v>
      </c>
      <c r="I15">
        <v>53</v>
      </c>
      <c r="J15">
        <v>52</v>
      </c>
      <c r="K15">
        <v>51</v>
      </c>
      <c r="L15">
        <v>50</v>
      </c>
      <c r="M15">
        <v>49</v>
      </c>
      <c r="N15">
        <v>52</v>
      </c>
      <c r="O15">
        <v>53</v>
      </c>
      <c r="P15">
        <v>54</v>
      </c>
      <c r="Q15">
        <v>54</v>
      </c>
      <c r="R15">
        <v>54</v>
      </c>
      <c r="S15">
        <v>53</v>
      </c>
      <c r="T15">
        <v>52</v>
      </c>
      <c r="U15">
        <v>49</v>
      </c>
      <c r="V15">
        <v>52</v>
      </c>
      <c r="W15">
        <v>54</v>
      </c>
      <c r="X15">
        <v>54</v>
      </c>
      <c r="Y15">
        <v>54</v>
      </c>
      <c r="Z15" s="2">
        <f>AVERAGE(Sheet1__9[[#This Row],[00:00:00]:[23:00:00]])</f>
        <v>54.130434782608695</v>
      </c>
      <c r="AA15" t="str" cm="1">
        <f t="array" ref="AA15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6" spans="1:27" x14ac:dyDescent="0.3">
      <c r="A16" s="1">
        <v>45915</v>
      </c>
      <c r="B16">
        <v>52</v>
      </c>
      <c r="C16">
        <v>50</v>
      </c>
      <c r="D16">
        <v>48</v>
      </c>
      <c r="E16">
        <v>48</v>
      </c>
      <c r="F16">
        <v>47</v>
      </c>
      <c r="G16">
        <v>45</v>
      </c>
      <c r="H16">
        <v>44</v>
      </c>
      <c r="I16">
        <v>44</v>
      </c>
      <c r="J16">
        <v>43</v>
      </c>
      <c r="K16">
        <v>43</v>
      </c>
      <c r="L16">
        <v>44</v>
      </c>
      <c r="M16">
        <v>46</v>
      </c>
      <c r="N16">
        <v>45</v>
      </c>
      <c r="O16">
        <v>47</v>
      </c>
      <c r="P16">
        <v>51</v>
      </c>
      <c r="Q16">
        <v>52</v>
      </c>
      <c r="R16">
        <v>54</v>
      </c>
      <c r="S16">
        <v>53</v>
      </c>
      <c r="T16">
        <v>52</v>
      </c>
      <c r="U16">
        <v>56</v>
      </c>
      <c r="V16">
        <v>55</v>
      </c>
      <c r="W16">
        <v>57</v>
      </c>
      <c r="X16">
        <v>58</v>
      </c>
      <c r="Y16">
        <v>57</v>
      </c>
      <c r="Z16" s="2">
        <f>AVERAGE(Sheet1__9[[#This Row],[00:00:00]:[23:00:00]])</f>
        <v>49.625</v>
      </c>
      <c r="AA16" t="str" cm="1">
        <f t="array" ref="AA16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7" spans="1:27" x14ac:dyDescent="0.3">
      <c r="A17" s="1">
        <v>45916</v>
      </c>
      <c r="B17">
        <v>54</v>
      </c>
      <c r="C17">
        <v>52</v>
      </c>
      <c r="D17">
        <v>50</v>
      </c>
      <c r="E17">
        <v>48</v>
      </c>
      <c r="F17">
        <v>44</v>
      </c>
      <c r="G17">
        <v>40</v>
      </c>
      <c r="H17">
        <v>37</v>
      </c>
      <c r="I17">
        <v>36</v>
      </c>
      <c r="J17">
        <v>37</v>
      </c>
      <c r="K17">
        <v>39</v>
      </c>
      <c r="L17">
        <v>40</v>
      </c>
      <c r="M17">
        <v>44</v>
      </c>
      <c r="N17">
        <v>46</v>
      </c>
      <c r="O17">
        <v>48</v>
      </c>
      <c r="P17">
        <v>51</v>
      </c>
      <c r="Q17">
        <v>52</v>
      </c>
      <c r="R17">
        <v>55</v>
      </c>
      <c r="S17">
        <v>56</v>
      </c>
      <c r="T17">
        <v>54</v>
      </c>
      <c r="U17">
        <v>53</v>
      </c>
      <c r="V17">
        <v>54</v>
      </c>
      <c r="W17">
        <v>56</v>
      </c>
      <c r="X17">
        <v>57</v>
      </c>
      <c r="Y17">
        <v>61</v>
      </c>
      <c r="Z17" s="2">
        <f>AVERAGE(Sheet1__9[[#This Row],[00:00:00]:[23:00:00]])</f>
        <v>48.5</v>
      </c>
      <c r="AA17" t="str" cm="1">
        <f t="array" ref="AA17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8" spans="1:27" x14ac:dyDescent="0.3">
      <c r="A18" s="1">
        <v>45917</v>
      </c>
      <c r="B18">
        <v>59</v>
      </c>
      <c r="C18">
        <v>57</v>
      </c>
      <c r="D18">
        <v>55</v>
      </c>
      <c r="E18">
        <v>56</v>
      </c>
      <c r="F18">
        <v>57</v>
      </c>
      <c r="G18">
        <v>56</v>
      </c>
      <c r="H18">
        <v>55</v>
      </c>
      <c r="I18">
        <v>54</v>
      </c>
      <c r="J18">
        <v>52</v>
      </c>
      <c r="K18">
        <v>52</v>
      </c>
      <c r="L18">
        <v>52</v>
      </c>
      <c r="M18">
        <v>51</v>
      </c>
      <c r="N18">
        <v>50</v>
      </c>
      <c r="O18">
        <v>49</v>
      </c>
      <c r="P18">
        <v>49</v>
      </c>
      <c r="Q18">
        <v>48</v>
      </c>
      <c r="R18">
        <v>48</v>
      </c>
      <c r="S18">
        <v>47</v>
      </c>
      <c r="T18">
        <v>47</v>
      </c>
      <c r="U18">
        <v>50</v>
      </c>
      <c r="V18">
        <v>51</v>
      </c>
      <c r="W18">
        <v>51</v>
      </c>
      <c r="X18">
        <v>51</v>
      </c>
      <c r="Y18">
        <v>51</v>
      </c>
      <c r="Z18" s="2">
        <f>AVERAGE(Sheet1__9[[#This Row],[00:00:00]:[23:00:00]])</f>
        <v>52</v>
      </c>
      <c r="AA18" t="str" cm="1">
        <f t="array" ref="AA18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9" spans="1:27" x14ac:dyDescent="0.3">
      <c r="A19" s="1">
        <v>45918</v>
      </c>
      <c r="B19">
        <v>50</v>
      </c>
      <c r="C19">
        <v>51</v>
      </c>
      <c r="D19">
        <v>50</v>
      </c>
      <c r="E19">
        <v>50</v>
      </c>
      <c r="F19">
        <v>48</v>
      </c>
      <c r="G19">
        <v>47</v>
      </c>
      <c r="H19">
        <v>47</v>
      </c>
      <c r="I19">
        <v>46</v>
      </c>
      <c r="J19">
        <v>50</v>
      </c>
      <c r="K19">
        <v>49</v>
      </c>
      <c r="L19">
        <v>48</v>
      </c>
      <c r="M19">
        <v>49</v>
      </c>
      <c r="N19">
        <v>49</v>
      </c>
      <c r="O19">
        <v>51</v>
      </c>
      <c r="P19">
        <v>54</v>
      </c>
      <c r="Q19">
        <v>56</v>
      </c>
      <c r="R19">
        <v>56</v>
      </c>
      <c r="S19">
        <v>56</v>
      </c>
      <c r="U19">
        <v>55</v>
      </c>
      <c r="V19">
        <v>54</v>
      </c>
      <c r="W19">
        <v>53</v>
      </c>
      <c r="X19">
        <v>52</v>
      </c>
      <c r="Y19">
        <v>52</v>
      </c>
      <c r="Z19" s="2">
        <f>AVERAGE(Sheet1__9[[#This Row],[00:00:00]:[23:00:00]])</f>
        <v>51</v>
      </c>
      <c r="AA19" t="str" cm="1">
        <f t="array" ref="AA19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0" spans="1:27" x14ac:dyDescent="0.3">
      <c r="A20" s="1">
        <v>45919</v>
      </c>
      <c r="B20">
        <v>51</v>
      </c>
      <c r="C20">
        <v>50</v>
      </c>
      <c r="D20">
        <v>50</v>
      </c>
      <c r="E20">
        <v>49</v>
      </c>
      <c r="F20">
        <v>48</v>
      </c>
      <c r="G20">
        <v>47</v>
      </c>
      <c r="H20">
        <v>46</v>
      </c>
      <c r="I20">
        <v>45</v>
      </c>
      <c r="J20">
        <v>45</v>
      </c>
      <c r="K20">
        <v>45</v>
      </c>
      <c r="L20">
        <v>46</v>
      </c>
      <c r="M20">
        <v>47</v>
      </c>
      <c r="N20">
        <v>48</v>
      </c>
      <c r="O20">
        <v>49</v>
      </c>
      <c r="P20">
        <v>50</v>
      </c>
      <c r="Q20">
        <v>52</v>
      </c>
      <c r="R20">
        <v>52</v>
      </c>
      <c r="S20">
        <v>52</v>
      </c>
      <c r="T20">
        <v>51</v>
      </c>
      <c r="U20">
        <v>48</v>
      </c>
      <c r="V20">
        <v>49</v>
      </c>
      <c r="W20">
        <v>49</v>
      </c>
      <c r="X20">
        <v>48</v>
      </c>
      <c r="Y20">
        <v>47</v>
      </c>
      <c r="Z20" s="2">
        <f>AVERAGE(Sheet1__9[[#This Row],[00:00:00]:[23:00:00]])</f>
        <v>48.5</v>
      </c>
      <c r="AA20" t="str" cm="1">
        <f t="array" ref="AA20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1" spans="1:27" x14ac:dyDescent="0.3">
      <c r="A21" s="1">
        <v>45920</v>
      </c>
      <c r="B21">
        <v>47</v>
      </c>
      <c r="C21">
        <v>44</v>
      </c>
      <c r="D21">
        <v>44</v>
      </c>
      <c r="E21">
        <v>46</v>
      </c>
      <c r="F21">
        <v>44</v>
      </c>
      <c r="G21">
        <v>44</v>
      </c>
      <c r="H21">
        <v>44</v>
      </c>
      <c r="I21">
        <v>44</v>
      </c>
      <c r="J21">
        <v>44</v>
      </c>
      <c r="K21">
        <v>44</v>
      </c>
      <c r="L21">
        <v>45</v>
      </c>
      <c r="M21">
        <v>46</v>
      </c>
      <c r="N21">
        <v>46</v>
      </c>
      <c r="O21">
        <v>46</v>
      </c>
      <c r="P21">
        <v>45</v>
      </c>
      <c r="Q21">
        <v>46</v>
      </c>
      <c r="R21">
        <v>46</v>
      </c>
      <c r="S21">
        <v>46</v>
      </c>
      <c r="T21">
        <v>47</v>
      </c>
      <c r="U21">
        <v>48</v>
      </c>
      <c r="V21">
        <v>50</v>
      </c>
      <c r="W21">
        <v>51</v>
      </c>
      <c r="X21">
        <v>51</v>
      </c>
      <c r="Y21">
        <v>51</v>
      </c>
      <c r="Z21" s="2">
        <f>AVERAGE(Sheet1__9[[#This Row],[00:00:00]:[23:00:00]])</f>
        <v>46.208333333333336</v>
      </c>
      <c r="AA21" t="str" cm="1">
        <f t="array" ref="AA21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2" spans="1:27" x14ac:dyDescent="0.3">
      <c r="A22" s="1">
        <v>45921</v>
      </c>
      <c r="B22">
        <v>52</v>
      </c>
      <c r="C22">
        <v>52</v>
      </c>
      <c r="D22">
        <v>51</v>
      </c>
      <c r="E22">
        <v>50</v>
      </c>
      <c r="F22">
        <v>48</v>
      </c>
      <c r="G22">
        <v>48</v>
      </c>
      <c r="H22">
        <v>48</v>
      </c>
      <c r="I22">
        <v>48</v>
      </c>
      <c r="J22">
        <v>47</v>
      </c>
      <c r="K22">
        <v>47</v>
      </c>
      <c r="L22">
        <v>47</v>
      </c>
      <c r="M22">
        <v>48</v>
      </c>
      <c r="N22">
        <v>49</v>
      </c>
      <c r="O22">
        <v>49</v>
      </c>
      <c r="P22">
        <v>49</v>
      </c>
      <c r="Q22">
        <v>49</v>
      </c>
      <c r="R22">
        <v>50</v>
      </c>
      <c r="S22">
        <v>50</v>
      </c>
      <c r="T22">
        <v>50</v>
      </c>
      <c r="U22">
        <v>49</v>
      </c>
      <c r="V22">
        <v>49</v>
      </c>
      <c r="W22">
        <v>49</v>
      </c>
      <c r="X22">
        <v>49</v>
      </c>
      <c r="Y22">
        <v>49</v>
      </c>
      <c r="Z22" s="2">
        <f>AVERAGE(Sheet1__9[[#This Row],[00:00:00]:[23:00:00]])</f>
        <v>49.041666666666664</v>
      </c>
      <c r="AA22" t="str" cm="1">
        <f t="array" ref="AA22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3" spans="1:27" x14ac:dyDescent="0.3">
      <c r="A23" s="1">
        <v>45922</v>
      </c>
      <c r="B23">
        <v>49</v>
      </c>
      <c r="C23">
        <v>48</v>
      </c>
      <c r="D23">
        <v>48</v>
      </c>
      <c r="E23">
        <v>48</v>
      </c>
      <c r="F23">
        <v>48</v>
      </c>
      <c r="G23">
        <v>46</v>
      </c>
      <c r="H23">
        <v>45</v>
      </c>
      <c r="I23">
        <v>45</v>
      </c>
      <c r="J23">
        <v>45</v>
      </c>
      <c r="K23">
        <v>46</v>
      </c>
      <c r="L23">
        <v>47</v>
      </c>
      <c r="M23">
        <v>48</v>
      </c>
      <c r="N23">
        <v>48</v>
      </c>
      <c r="O23">
        <v>48</v>
      </c>
      <c r="P23">
        <v>50</v>
      </c>
      <c r="Q23">
        <v>50</v>
      </c>
      <c r="R23">
        <v>51</v>
      </c>
      <c r="S23">
        <v>51</v>
      </c>
      <c r="T23">
        <v>50</v>
      </c>
      <c r="U23">
        <v>49</v>
      </c>
      <c r="V23">
        <v>50</v>
      </c>
      <c r="W23">
        <v>50</v>
      </c>
      <c r="X23">
        <v>49</v>
      </c>
      <c r="Y23">
        <v>48</v>
      </c>
      <c r="Z23" s="2">
        <f>AVERAGE(Sheet1__9[[#This Row],[00:00:00]:[23:00:00]])</f>
        <v>48.208333333333336</v>
      </c>
      <c r="AA23" t="str" cm="1">
        <f t="array" ref="AA23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4" spans="1:27" x14ac:dyDescent="0.3">
      <c r="A24" s="1">
        <v>45923</v>
      </c>
      <c r="B24">
        <v>48</v>
      </c>
      <c r="C24">
        <v>47</v>
      </c>
      <c r="D24">
        <v>46</v>
      </c>
      <c r="E24">
        <v>44</v>
      </c>
      <c r="F24">
        <v>42</v>
      </c>
      <c r="G24">
        <v>42</v>
      </c>
      <c r="H24">
        <v>42</v>
      </c>
      <c r="I24">
        <v>42</v>
      </c>
      <c r="J24">
        <v>42</v>
      </c>
      <c r="K24">
        <v>42</v>
      </c>
      <c r="L24">
        <v>43</v>
      </c>
      <c r="M24">
        <v>49</v>
      </c>
      <c r="N24">
        <v>53</v>
      </c>
      <c r="O24">
        <v>54</v>
      </c>
      <c r="P24">
        <v>54</v>
      </c>
      <c r="Q24">
        <v>56</v>
      </c>
      <c r="R24">
        <v>57</v>
      </c>
      <c r="S24">
        <v>56</v>
      </c>
      <c r="T24">
        <v>57</v>
      </c>
      <c r="U24">
        <v>58</v>
      </c>
      <c r="V24">
        <v>56</v>
      </c>
      <c r="W24">
        <v>56</v>
      </c>
      <c r="X24">
        <v>57</v>
      </c>
      <c r="Y24">
        <v>57</v>
      </c>
      <c r="Z24" s="2">
        <f>AVERAGE(Sheet1__9[[#This Row],[00:00:00]:[23:00:00]])</f>
        <v>50</v>
      </c>
      <c r="AA24" t="str" cm="1">
        <f t="array" ref="AA24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5" spans="1:27" x14ac:dyDescent="0.3">
      <c r="A25" s="1">
        <v>45924</v>
      </c>
      <c r="B25">
        <v>57</v>
      </c>
      <c r="C25">
        <v>55</v>
      </c>
      <c r="D25">
        <v>54</v>
      </c>
      <c r="E25">
        <v>54</v>
      </c>
      <c r="F25">
        <v>55</v>
      </c>
      <c r="G25">
        <v>71</v>
      </c>
      <c r="H25">
        <v>70</v>
      </c>
      <c r="I25">
        <v>69</v>
      </c>
      <c r="J25">
        <v>70</v>
      </c>
      <c r="K25">
        <v>73</v>
      </c>
      <c r="L25">
        <v>76</v>
      </c>
      <c r="M25">
        <v>76</v>
      </c>
      <c r="N25">
        <v>67</v>
      </c>
      <c r="O25">
        <v>65</v>
      </c>
      <c r="P25">
        <v>65</v>
      </c>
      <c r="Q25">
        <v>65</v>
      </c>
      <c r="R25">
        <v>66</v>
      </c>
      <c r="S25">
        <v>64</v>
      </c>
      <c r="T25">
        <v>65</v>
      </c>
      <c r="U25">
        <v>65</v>
      </c>
      <c r="V25">
        <v>74</v>
      </c>
      <c r="W25">
        <v>77</v>
      </c>
      <c r="X25">
        <v>77</v>
      </c>
      <c r="Y25">
        <v>66</v>
      </c>
      <c r="Z25" s="2">
        <f>AVERAGE(Sheet1__9[[#This Row],[00:00:00]:[23:00:00]])</f>
        <v>66.5</v>
      </c>
      <c r="AA25" t="str" cm="1">
        <f t="array" ref="AA25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6" spans="1:27" x14ac:dyDescent="0.3">
      <c r="A26" s="1">
        <v>45925</v>
      </c>
      <c r="B26">
        <v>66</v>
      </c>
      <c r="C26">
        <v>61</v>
      </c>
      <c r="D26">
        <v>61</v>
      </c>
      <c r="E26">
        <v>62</v>
      </c>
      <c r="F26">
        <v>62</v>
      </c>
      <c r="G26">
        <v>64</v>
      </c>
      <c r="H26">
        <v>66</v>
      </c>
      <c r="I26">
        <v>60</v>
      </c>
      <c r="J26">
        <v>60</v>
      </c>
      <c r="K26">
        <v>67</v>
      </c>
      <c r="L26">
        <v>68</v>
      </c>
      <c r="M26">
        <v>66</v>
      </c>
      <c r="N26">
        <v>57</v>
      </c>
      <c r="O26">
        <v>57</v>
      </c>
      <c r="P26">
        <v>56</v>
      </c>
      <c r="Q26">
        <v>56</v>
      </c>
      <c r="R26">
        <v>66</v>
      </c>
      <c r="S26">
        <v>54</v>
      </c>
      <c r="T26">
        <v>66</v>
      </c>
      <c r="U26">
        <v>61</v>
      </c>
      <c r="V26">
        <v>64</v>
      </c>
      <c r="W26">
        <v>66</v>
      </c>
      <c r="X26">
        <v>64</v>
      </c>
      <c r="Y26">
        <v>68</v>
      </c>
      <c r="Z26" s="2">
        <f>AVERAGE(Sheet1__9[[#This Row],[00:00:00]:[23:00:00]])</f>
        <v>62.416666666666664</v>
      </c>
      <c r="AA26" t="str" cm="1">
        <f t="array" ref="AA26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7" spans="1:27" x14ac:dyDescent="0.3">
      <c r="A27" s="1">
        <v>45926</v>
      </c>
      <c r="B27">
        <v>69</v>
      </c>
      <c r="C27">
        <v>66</v>
      </c>
      <c r="D27">
        <v>68</v>
      </c>
      <c r="E27">
        <v>68</v>
      </c>
      <c r="F27">
        <v>70</v>
      </c>
      <c r="G27">
        <v>71</v>
      </c>
      <c r="H27">
        <v>66</v>
      </c>
      <c r="I27">
        <v>67</v>
      </c>
      <c r="J27">
        <v>66</v>
      </c>
      <c r="K27">
        <v>64</v>
      </c>
      <c r="L27">
        <v>65</v>
      </c>
      <c r="N27">
        <v>65</v>
      </c>
      <c r="O27">
        <v>68</v>
      </c>
      <c r="P27">
        <v>74</v>
      </c>
      <c r="Q27">
        <v>70</v>
      </c>
      <c r="R27">
        <v>68</v>
      </c>
      <c r="S27">
        <v>70</v>
      </c>
      <c r="T27">
        <v>70</v>
      </c>
      <c r="U27">
        <v>70</v>
      </c>
      <c r="V27">
        <v>65</v>
      </c>
      <c r="W27">
        <v>72</v>
      </c>
      <c r="X27">
        <v>69</v>
      </c>
      <c r="Y27">
        <v>68</v>
      </c>
      <c r="Z27" s="2">
        <f>AVERAGE(Sheet1__9[[#This Row],[00:00:00]:[23:00:00]])</f>
        <v>68.217391304347828</v>
      </c>
      <c r="AA27" t="str" cm="1">
        <f t="array" ref="AA27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8" spans="1:27" x14ac:dyDescent="0.3">
      <c r="A28" s="1">
        <v>45927</v>
      </c>
      <c r="B28">
        <v>67</v>
      </c>
      <c r="C28">
        <v>64</v>
      </c>
      <c r="D28">
        <v>60</v>
      </c>
      <c r="E28">
        <v>58</v>
      </c>
      <c r="F28">
        <v>70</v>
      </c>
      <c r="G28">
        <v>69</v>
      </c>
      <c r="H28">
        <v>59</v>
      </c>
      <c r="I28">
        <v>59</v>
      </c>
      <c r="J28">
        <v>60</v>
      </c>
      <c r="K28">
        <v>59</v>
      </c>
      <c r="L28">
        <v>60</v>
      </c>
      <c r="M28">
        <v>62</v>
      </c>
      <c r="N28">
        <v>61</v>
      </c>
      <c r="O28">
        <v>65</v>
      </c>
      <c r="P28">
        <v>71</v>
      </c>
      <c r="Q28">
        <v>70</v>
      </c>
      <c r="R28">
        <v>70</v>
      </c>
      <c r="S28">
        <v>68</v>
      </c>
      <c r="T28">
        <v>64</v>
      </c>
      <c r="U28">
        <v>64</v>
      </c>
      <c r="V28">
        <v>62</v>
      </c>
      <c r="W28">
        <v>61</v>
      </c>
      <c r="X28">
        <v>61</v>
      </c>
      <c r="Y28">
        <v>61</v>
      </c>
      <c r="Z28" s="2">
        <f>AVERAGE(Sheet1__9[[#This Row],[00:00:00]:[23:00:00]])</f>
        <v>63.541666666666664</v>
      </c>
      <c r="AA28" t="str" cm="1">
        <f t="array" ref="AA28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9" spans="1:27" x14ac:dyDescent="0.3">
      <c r="A29" s="1">
        <v>45928</v>
      </c>
      <c r="B29">
        <v>60</v>
      </c>
      <c r="C29">
        <v>59</v>
      </c>
      <c r="D29">
        <v>58</v>
      </c>
      <c r="E29">
        <v>57</v>
      </c>
      <c r="F29">
        <v>55</v>
      </c>
      <c r="G29">
        <v>60</v>
      </c>
      <c r="H29">
        <v>60</v>
      </c>
      <c r="I29">
        <v>60</v>
      </c>
      <c r="J29">
        <v>60</v>
      </c>
      <c r="K29">
        <v>61</v>
      </c>
      <c r="L29">
        <v>61</v>
      </c>
      <c r="M29">
        <v>60</v>
      </c>
      <c r="N29">
        <v>61</v>
      </c>
      <c r="O29">
        <v>62</v>
      </c>
      <c r="P29">
        <v>62</v>
      </c>
      <c r="Q29">
        <v>62</v>
      </c>
      <c r="R29">
        <v>62</v>
      </c>
      <c r="S29">
        <v>62</v>
      </c>
      <c r="T29">
        <v>62</v>
      </c>
      <c r="U29">
        <v>62</v>
      </c>
      <c r="V29">
        <v>62</v>
      </c>
      <c r="W29">
        <v>62</v>
      </c>
      <c r="X29">
        <v>60</v>
      </c>
      <c r="Y29">
        <v>61</v>
      </c>
      <c r="Z29" s="2">
        <f>AVERAGE(Sheet1__9[[#This Row],[00:00:00]:[23:00:00]])</f>
        <v>60.458333333333336</v>
      </c>
      <c r="AA29" t="str" cm="1">
        <f t="array" ref="AA29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30" spans="1:27" x14ac:dyDescent="0.3">
      <c r="A30" s="1">
        <v>45929</v>
      </c>
      <c r="B30">
        <v>60</v>
      </c>
      <c r="C30">
        <v>61</v>
      </c>
      <c r="D30">
        <v>66</v>
      </c>
      <c r="E30">
        <v>65</v>
      </c>
      <c r="F30">
        <v>65</v>
      </c>
      <c r="G30">
        <v>65</v>
      </c>
      <c r="H30">
        <v>63</v>
      </c>
      <c r="I30">
        <v>62</v>
      </c>
      <c r="J30">
        <v>62</v>
      </c>
      <c r="K30">
        <v>62</v>
      </c>
      <c r="L30">
        <v>64</v>
      </c>
      <c r="M30">
        <v>64</v>
      </c>
      <c r="N30">
        <v>63</v>
      </c>
      <c r="O30">
        <v>63</v>
      </c>
      <c r="P30">
        <v>58</v>
      </c>
      <c r="Q30">
        <v>56</v>
      </c>
      <c r="R30">
        <v>55</v>
      </c>
      <c r="S30">
        <v>54</v>
      </c>
      <c r="T30">
        <v>54</v>
      </c>
      <c r="U30">
        <v>76</v>
      </c>
      <c r="V30">
        <v>78</v>
      </c>
      <c r="W30">
        <v>77</v>
      </c>
      <c r="X30">
        <v>59</v>
      </c>
      <c r="Y30">
        <v>71</v>
      </c>
      <c r="Z30" s="2">
        <f>AVERAGE(Sheet1__9[[#This Row],[00:00:00]:[23:00:00]])</f>
        <v>63.458333333333336</v>
      </c>
      <c r="AA30" t="str" cm="1">
        <f t="array" ref="AA30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31" spans="1:27" x14ac:dyDescent="0.3">
      <c r="A31" s="1">
        <v>45930</v>
      </c>
      <c r="B31">
        <v>64</v>
      </c>
      <c r="C31">
        <v>66</v>
      </c>
      <c r="D31">
        <v>67</v>
      </c>
      <c r="E31">
        <v>68</v>
      </c>
      <c r="F31">
        <v>66</v>
      </c>
      <c r="G31">
        <v>66</v>
      </c>
      <c r="H31">
        <v>60</v>
      </c>
      <c r="I31">
        <v>60</v>
      </c>
      <c r="J31">
        <v>60</v>
      </c>
      <c r="K31">
        <v>60</v>
      </c>
      <c r="L31">
        <v>75</v>
      </c>
      <c r="M31">
        <v>75</v>
      </c>
      <c r="N31">
        <v>70</v>
      </c>
      <c r="O31">
        <v>66</v>
      </c>
      <c r="P31">
        <v>66</v>
      </c>
      <c r="Q31">
        <v>77</v>
      </c>
      <c r="R31">
        <v>66</v>
      </c>
      <c r="S31">
        <v>75</v>
      </c>
      <c r="T31">
        <v>72</v>
      </c>
      <c r="U31">
        <v>69</v>
      </c>
      <c r="V31">
        <v>71</v>
      </c>
      <c r="W31">
        <v>69</v>
      </c>
      <c r="X31">
        <v>72</v>
      </c>
      <c r="Y31">
        <v>69</v>
      </c>
      <c r="Z31" s="2">
        <f>AVERAGE(Sheet1__9[[#This Row],[00:00:00]:[23:00:00]])</f>
        <v>67.875</v>
      </c>
      <c r="AA31" t="str" cm="1">
        <f t="array" ref="AA31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32" spans="1:27" x14ac:dyDescent="0.3">
      <c r="Z32" s="2">
        <f>AVERAGE(Sheet1__9[AVERAGE AQI])</f>
        <v>57.271678743961353</v>
      </c>
      <c r="AA32" s="3"/>
    </row>
  </sheetData>
  <conditionalFormatting sqref="AA1:AA1048576">
    <cfRule type="containsText" dxfId="18" priority="1" operator="containsText" text="MODERATE">
      <formula>NOT(ISERROR(SEARCH("MODERATE",AA1)))</formula>
    </cfRule>
    <cfRule type="containsText" dxfId="17" priority="2" operator="containsText" text="GOOD">
      <formula>NOT(ISERROR(SEARCH("GOOD",AA1)))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8DE0-8D58-44A7-A5A3-C34DA44C2AAF}">
  <dimension ref="A1:AA33"/>
  <sheetViews>
    <sheetView workbookViewId="0">
      <selection activeCell="AD19" sqref="AD19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9.441406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27</v>
      </c>
      <c r="AA1" t="s">
        <v>25</v>
      </c>
    </row>
    <row r="2" spans="1:27" x14ac:dyDescent="0.3">
      <c r="A2" s="1">
        <v>45931</v>
      </c>
      <c r="B2">
        <v>68</v>
      </c>
      <c r="C2">
        <v>70</v>
      </c>
      <c r="D2">
        <v>68</v>
      </c>
      <c r="E2">
        <v>66</v>
      </c>
      <c r="F2">
        <v>64</v>
      </c>
      <c r="G2">
        <v>63</v>
      </c>
      <c r="H2">
        <v>62</v>
      </c>
      <c r="I2">
        <v>60</v>
      </c>
      <c r="J2">
        <v>59</v>
      </c>
      <c r="K2">
        <v>58</v>
      </c>
      <c r="L2">
        <v>61</v>
      </c>
      <c r="M2">
        <v>53</v>
      </c>
      <c r="N2">
        <v>59</v>
      </c>
      <c r="O2">
        <v>52</v>
      </c>
      <c r="P2">
        <v>50</v>
      </c>
      <c r="Q2">
        <v>59</v>
      </c>
      <c r="R2">
        <v>51</v>
      </c>
      <c r="S2">
        <v>65</v>
      </c>
      <c r="T2">
        <v>63</v>
      </c>
      <c r="U2">
        <v>56</v>
      </c>
      <c r="V2">
        <v>52</v>
      </c>
      <c r="W2">
        <v>53</v>
      </c>
      <c r="X2">
        <v>56</v>
      </c>
      <c r="Y2">
        <v>59</v>
      </c>
      <c r="Z2" s="2">
        <f>AVERAGE(Sheet1__10[[#This Row],[00:00:00]:[23:00:00]])</f>
        <v>59.458333333333336</v>
      </c>
      <c r="AA2" t="str" cm="1">
        <f t="array" ref="AA2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3" spans="1:27" x14ac:dyDescent="0.3">
      <c r="A3" s="1">
        <v>45932</v>
      </c>
      <c r="B3">
        <v>59</v>
      </c>
      <c r="C3">
        <v>61</v>
      </c>
      <c r="D3">
        <v>61</v>
      </c>
      <c r="E3">
        <v>61</v>
      </c>
      <c r="F3">
        <v>62</v>
      </c>
      <c r="G3">
        <v>64</v>
      </c>
      <c r="H3">
        <v>67</v>
      </c>
      <c r="I3">
        <v>61</v>
      </c>
      <c r="J3">
        <v>61</v>
      </c>
      <c r="K3">
        <v>59</v>
      </c>
      <c r="L3">
        <v>57</v>
      </c>
      <c r="M3">
        <v>55</v>
      </c>
      <c r="N3">
        <v>55</v>
      </c>
      <c r="O3">
        <v>51</v>
      </c>
      <c r="P3">
        <v>48</v>
      </c>
      <c r="Q3">
        <v>45</v>
      </c>
      <c r="R3">
        <v>44</v>
      </c>
      <c r="S3">
        <v>43</v>
      </c>
      <c r="T3">
        <v>60</v>
      </c>
      <c r="U3">
        <v>63</v>
      </c>
      <c r="V3">
        <v>60</v>
      </c>
      <c r="W3">
        <v>54</v>
      </c>
      <c r="X3">
        <v>61</v>
      </c>
      <c r="Y3">
        <v>60</v>
      </c>
      <c r="Z3" s="2">
        <f>AVERAGE(Sheet1__10[[#This Row],[00:00:00]:[23:00:00]])</f>
        <v>57.166666666666664</v>
      </c>
      <c r="AA3" t="str" cm="1">
        <f t="array" ref="AA3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4" spans="1:27" x14ac:dyDescent="0.3">
      <c r="A4" s="1">
        <v>45933</v>
      </c>
      <c r="B4">
        <v>59</v>
      </c>
      <c r="C4">
        <v>59</v>
      </c>
      <c r="D4">
        <v>58</v>
      </c>
      <c r="E4">
        <v>58</v>
      </c>
      <c r="F4">
        <v>58</v>
      </c>
      <c r="G4">
        <v>57</v>
      </c>
      <c r="H4">
        <v>56</v>
      </c>
      <c r="I4">
        <v>56</v>
      </c>
      <c r="J4">
        <v>56</v>
      </c>
      <c r="K4">
        <v>57</v>
      </c>
      <c r="L4">
        <v>56</v>
      </c>
      <c r="M4">
        <v>56</v>
      </c>
      <c r="N4">
        <v>55</v>
      </c>
      <c r="O4">
        <v>55</v>
      </c>
      <c r="P4">
        <v>54</v>
      </c>
      <c r="Q4">
        <v>53</v>
      </c>
      <c r="R4">
        <v>55</v>
      </c>
      <c r="S4">
        <v>59</v>
      </c>
      <c r="T4">
        <v>56</v>
      </c>
      <c r="U4">
        <v>56</v>
      </c>
      <c r="V4">
        <v>52</v>
      </c>
      <c r="W4">
        <v>52</v>
      </c>
      <c r="X4">
        <v>53</v>
      </c>
      <c r="Y4">
        <v>53</v>
      </c>
      <c r="Z4" s="2">
        <f>AVERAGE(Sheet1__10[[#This Row],[00:00:00]:[23:00:00]])</f>
        <v>55.791666666666664</v>
      </c>
      <c r="AA4" t="str" cm="1">
        <f t="array" ref="AA4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5" spans="1:27" x14ac:dyDescent="0.3">
      <c r="A5" s="1">
        <v>45934</v>
      </c>
      <c r="B5">
        <v>55</v>
      </c>
      <c r="C5">
        <v>57</v>
      </c>
      <c r="D5">
        <v>58</v>
      </c>
      <c r="E5">
        <v>59</v>
      </c>
      <c r="F5">
        <v>59</v>
      </c>
      <c r="G5">
        <v>56</v>
      </c>
      <c r="H5">
        <v>55</v>
      </c>
      <c r="I5">
        <v>54</v>
      </c>
      <c r="J5">
        <v>54</v>
      </c>
      <c r="K5">
        <v>57</v>
      </c>
      <c r="L5">
        <v>59</v>
      </c>
      <c r="M5">
        <v>60</v>
      </c>
      <c r="N5">
        <v>54</v>
      </c>
      <c r="O5">
        <v>52</v>
      </c>
      <c r="P5">
        <v>51</v>
      </c>
      <c r="Q5">
        <v>53</v>
      </c>
      <c r="R5">
        <v>51</v>
      </c>
      <c r="S5">
        <v>50</v>
      </c>
      <c r="T5">
        <v>47</v>
      </c>
      <c r="U5">
        <v>46</v>
      </c>
      <c r="V5">
        <v>68</v>
      </c>
      <c r="W5">
        <v>68</v>
      </c>
      <c r="X5">
        <v>66</v>
      </c>
      <c r="Y5">
        <v>68</v>
      </c>
      <c r="Z5" s="2">
        <f>AVERAGE(Sheet1__10[[#This Row],[00:00:00]:[23:00:00]])</f>
        <v>56.541666666666664</v>
      </c>
      <c r="AA5" t="str" cm="1">
        <f t="array" ref="AA5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6" spans="1:27" x14ac:dyDescent="0.3">
      <c r="A6" s="1">
        <v>45935</v>
      </c>
      <c r="B6">
        <v>67</v>
      </c>
      <c r="C6">
        <v>69</v>
      </c>
      <c r="D6">
        <v>58</v>
      </c>
      <c r="E6">
        <v>57</v>
      </c>
      <c r="F6">
        <v>55</v>
      </c>
      <c r="G6">
        <v>60</v>
      </c>
      <c r="H6">
        <v>59</v>
      </c>
      <c r="I6">
        <v>59</v>
      </c>
      <c r="J6">
        <v>62</v>
      </c>
      <c r="K6">
        <v>55</v>
      </c>
      <c r="L6">
        <v>53</v>
      </c>
      <c r="M6">
        <v>53</v>
      </c>
      <c r="N6">
        <v>50</v>
      </c>
      <c r="O6">
        <v>51</v>
      </c>
      <c r="P6">
        <v>49</v>
      </c>
      <c r="Q6">
        <v>49</v>
      </c>
      <c r="R6">
        <v>48</v>
      </c>
      <c r="S6">
        <v>45</v>
      </c>
      <c r="T6">
        <v>43</v>
      </c>
      <c r="U6">
        <v>43</v>
      </c>
      <c r="V6">
        <v>44</v>
      </c>
      <c r="W6">
        <v>62</v>
      </c>
      <c r="X6">
        <v>47</v>
      </c>
      <c r="Y6">
        <v>64</v>
      </c>
      <c r="Z6" s="2">
        <f>AVERAGE(Sheet1__10[[#This Row],[00:00:00]:[23:00:00]])</f>
        <v>54.25</v>
      </c>
      <c r="AA6" t="str" cm="1">
        <f t="array" ref="AA6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7" spans="1:27" x14ac:dyDescent="0.3">
      <c r="A7" s="1">
        <v>45936</v>
      </c>
      <c r="B7">
        <v>63</v>
      </c>
      <c r="C7">
        <v>68</v>
      </c>
      <c r="D7">
        <v>68</v>
      </c>
      <c r="E7">
        <v>60</v>
      </c>
      <c r="F7">
        <v>62</v>
      </c>
      <c r="G7">
        <v>73</v>
      </c>
      <c r="H7">
        <v>72</v>
      </c>
      <c r="I7">
        <v>69</v>
      </c>
      <c r="J7">
        <v>69</v>
      </c>
      <c r="K7">
        <v>69</v>
      </c>
      <c r="L7">
        <v>72</v>
      </c>
      <c r="M7">
        <v>72</v>
      </c>
      <c r="N7">
        <v>69</v>
      </c>
      <c r="O7">
        <v>69</v>
      </c>
      <c r="P7">
        <v>67</v>
      </c>
      <c r="Q7">
        <v>62</v>
      </c>
      <c r="R7">
        <v>60</v>
      </c>
      <c r="S7">
        <v>57</v>
      </c>
      <c r="T7">
        <v>54</v>
      </c>
      <c r="U7">
        <v>51</v>
      </c>
      <c r="V7">
        <v>74</v>
      </c>
      <c r="W7">
        <v>57</v>
      </c>
      <c r="X7">
        <v>57</v>
      </c>
      <c r="Y7">
        <v>57</v>
      </c>
      <c r="Z7" s="2">
        <f>AVERAGE(Sheet1__10[[#This Row],[00:00:00]:[23:00:00]])</f>
        <v>64.625</v>
      </c>
      <c r="AA7" t="str" cm="1">
        <f t="array" ref="AA7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8" spans="1:27" x14ac:dyDescent="0.3">
      <c r="A8" s="1">
        <v>45937</v>
      </c>
      <c r="B8">
        <v>56</v>
      </c>
      <c r="C8">
        <v>55</v>
      </c>
      <c r="D8">
        <v>54</v>
      </c>
      <c r="E8">
        <v>53</v>
      </c>
      <c r="F8">
        <v>52</v>
      </c>
      <c r="G8">
        <v>52</v>
      </c>
      <c r="H8">
        <v>52</v>
      </c>
      <c r="I8">
        <v>52</v>
      </c>
      <c r="J8">
        <v>53</v>
      </c>
      <c r="K8">
        <v>53</v>
      </c>
      <c r="L8">
        <v>52</v>
      </c>
      <c r="M8">
        <v>52</v>
      </c>
      <c r="N8">
        <v>54</v>
      </c>
      <c r="O8">
        <v>54</v>
      </c>
      <c r="P8">
        <v>54</v>
      </c>
      <c r="Q8">
        <v>53</v>
      </c>
      <c r="R8">
        <v>53</v>
      </c>
      <c r="S8">
        <v>53</v>
      </c>
      <c r="T8">
        <v>51</v>
      </c>
      <c r="U8">
        <v>50</v>
      </c>
      <c r="V8">
        <v>50</v>
      </c>
      <c r="W8">
        <v>53</v>
      </c>
      <c r="X8">
        <v>54</v>
      </c>
      <c r="Y8">
        <v>52</v>
      </c>
      <c r="Z8" s="2">
        <f>AVERAGE(Sheet1__10[[#This Row],[00:00:00]:[23:00:00]])</f>
        <v>52.791666666666664</v>
      </c>
      <c r="AA8" t="str" cm="1">
        <f t="array" ref="AA8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9" spans="1:27" x14ac:dyDescent="0.3">
      <c r="A9" s="1">
        <v>45938</v>
      </c>
      <c r="B9">
        <v>51</v>
      </c>
      <c r="C9">
        <v>51</v>
      </c>
      <c r="D9">
        <v>54</v>
      </c>
      <c r="E9">
        <v>56</v>
      </c>
      <c r="F9">
        <v>54</v>
      </c>
      <c r="G9">
        <v>55</v>
      </c>
      <c r="H9">
        <v>55</v>
      </c>
      <c r="I9">
        <v>55</v>
      </c>
      <c r="J9">
        <v>56</v>
      </c>
      <c r="K9">
        <v>56</v>
      </c>
      <c r="L9">
        <v>57</v>
      </c>
      <c r="M9">
        <v>70</v>
      </c>
      <c r="N9">
        <v>66</v>
      </c>
      <c r="O9">
        <v>66</v>
      </c>
      <c r="P9">
        <v>71</v>
      </c>
      <c r="Q9">
        <v>70</v>
      </c>
      <c r="R9">
        <v>72</v>
      </c>
      <c r="S9">
        <v>70</v>
      </c>
      <c r="T9">
        <v>69</v>
      </c>
      <c r="U9">
        <v>74</v>
      </c>
      <c r="V9">
        <v>73</v>
      </c>
      <c r="W9">
        <v>70</v>
      </c>
      <c r="X9">
        <v>70</v>
      </c>
      <c r="Y9">
        <v>67</v>
      </c>
      <c r="Z9" s="2">
        <f>AVERAGE(Sheet1__10[[#This Row],[00:00:00]:[23:00:00]])</f>
        <v>62.833333333333336</v>
      </c>
      <c r="AA9" t="str" cm="1">
        <f t="array" ref="AA9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10" spans="1:27" x14ac:dyDescent="0.3">
      <c r="A10" s="1">
        <v>45939</v>
      </c>
      <c r="B10">
        <v>68</v>
      </c>
      <c r="C10">
        <v>70</v>
      </c>
      <c r="D10">
        <v>72</v>
      </c>
      <c r="E10">
        <v>74</v>
      </c>
      <c r="F10">
        <v>76</v>
      </c>
      <c r="G10">
        <v>82</v>
      </c>
      <c r="H10">
        <v>80</v>
      </c>
      <c r="I10">
        <v>82</v>
      </c>
      <c r="J10">
        <v>82</v>
      </c>
      <c r="K10">
        <v>83</v>
      </c>
      <c r="L10">
        <v>84</v>
      </c>
      <c r="M10">
        <v>85</v>
      </c>
      <c r="N10">
        <v>86</v>
      </c>
      <c r="O10">
        <v>89</v>
      </c>
      <c r="P10">
        <v>92</v>
      </c>
      <c r="Q10">
        <v>94</v>
      </c>
      <c r="R10">
        <v>98</v>
      </c>
      <c r="S10">
        <v>98</v>
      </c>
      <c r="U10">
        <v>105</v>
      </c>
      <c r="V10">
        <v>106</v>
      </c>
      <c r="W10">
        <v>107</v>
      </c>
      <c r="X10">
        <v>107</v>
      </c>
      <c r="Y10">
        <v>108</v>
      </c>
      <c r="Z10" s="2">
        <f>AVERAGE(Sheet1__10[[#This Row],[00:00:00]:[23:00:00]])</f>
        <v>88.173913043478265</v>
      </c>
      <c r="AA10" t="str" cm="1">
        <f t="array" ref="AA10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11" spans="1:27" x14ac:dyDescent="0.3">
      <c r="A11" s="1">
        <v>45940</v>
      </c>
      <c r="B11">
        <v>109</v>
      </c>
      <c r="C11">
        <v>110</v>
      </c>
      <c r="D11">
        <v>112</v>
      </c>
      <c r="E11">
        <v>113</v>
      </c>
      <c r="F11">
        <v>114</v>
      </c>
      <c r="G11">
        <v>112</v>
      </c>
      <c r="H11">
        <v>113</v>
      </c>
      <c r="I11">
        <v>114</v>
      </c>
      <c r="J11">
        <v>115</v>
      </c>
      <c r="K11">
        <v>116</v>
      </c>
      <c r="L11">
        <v>116</v>
      </c>
      <c r="M11">
        <v>116</v>
      </c>
      <c r="N11">
        <v>112</v>
      </c>
      <c r="O11">
        <v>116</v>
      </c>
      <c r="P11">
        <v>121</v>
      </c>
      <c r="Q11">
        <v>121</v>
      </c>
      <c r="R11">
        <v>125</v>
      </c>
      <c r="S11">
        <v>116</v>
      </c>
      <c r="T11">
        <v>118</v>
      </c>
      <c r="U11">
        <v>120</v>
      </c>
      <c r="V11">
        <v>120</v>
      </c>
      <c r="W11">
        <v>116</v>
      </c>
      <c r="X11">
        <v>119</v>
      </c>
      <c r="Y11">
        <v>123</v>
      </c>
      <c r="Z11" s="2">
        <f>AVERAGE(Sheet1__10[[#This Row],[00:00:00]:[23:00:00]])</f>
        <v>116.125</v>
      </c>
      <c r="AA11" t="str" cm="1">
        <f t="array" ref="AA11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2" spans="1:27" x14ac:dyDescent="0.3">
      <c r="A12" s="1">
        <v>45941</v>
      </c>
      <c r="B12">
        <v>126</v>
      </c>
      <c r="C12">
        <v>127</v>
      </c>
      <c r="D12">
        <v>124</v>
      </c>
      <c r="E12">
        <v>125</v>
      </c>
      <c r="F12">
        <v>125</v>
      </c>
      <c r="G12">
        <v>123</v>
      </c>
      <c r="H12">
        <v>123</v>
      </c>
      <c r="I12">
        <v>127</v>
      </c>
      <c r="J12">
        <v>130</v>
      </c>
      <c r="K12">
        <v>131</v>
      </c>
      <c r="L12">
        <v>132</v>
      </c>
      <c r="M12">
        <v>122</v>
      </c>
      <c r="N12">
        <v>123</v>
      </c>
      <c r="O12">
        <v>126</v>
      </c>
      <c r="P12">
        <v>129</v>
      </c>
      <c r="Q12">
        <v>131</v>
      </c>
      <c r="R12">
        <v>133</v>
      </c>
      <c r="S12">
        <v>134</v>
      </c>
      <c r="T12">
        <v>142</v>
      </c>
      <c r="U12">
        <v>141</v>
      </c>
      <c r="V12">
        <v>141</v>
      </c>
      <c r="W12">
        <v>140</v>
      </c>
      <c r="X12">
        <v>141</v>
      </c>
      <c r="Y12">
        <v>140</v>
      </c>
      <c r="Z12" s="2">
        <f>AVERAGE(Sheet1__10[[#This Row],[00:00:00]:[23:00:00]])</f>
        <v>130.66666666666666</v>
      </c>
      <c r="AA12" t="str" cm="1">
        <f t="array" ref="AA12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3" spans="1:27" x14ac:dyDescent="0.3">
      <c r="A13" s="1">
        <v>45942</v>
      </c>
      <c r="C13">
        <v>122</v>
      </c>
      <c r="D13">
        <v>122</v>
      </c>
      <c r="E13">
        <v>122</v>
      </c>
      <c r="F13">
        <v>139</v>
      </c>
      <c r="G13">
        <v>140</v>
      </c>
      <c r="H13">
        <v>139</v>
      </c>
      <c r="I13">
        <v>138</v>
      </c>
      <c r="J13">
        <v>137</v>
      </c>
      <c r="K13">
        <v>137</v>
      </c>
      <c r="L13">
        <v>137</v>
      </c>
      <c r="M13">
        <v>136</v>
      </c>
      <c r="N13">
        <v>136</v>
      </c>
      <c r="O13">
        <v>135</v>
      </c>
      <c r="P13">
        <v>134</v>
      </c>
      <c r="Q13">
        <v>133</v>
      </c>
      <c r="R13">
        <v>132</v>
      </c>
      <c r="S13">
        <v>130</v>
      </c>
      <c r="T13">
        <v>129</v>
      </c>
      <c r="U13">
        <v>129</v>
      </c>
      <c r="V13">
        <v>129</v>
      </c>
      <c r="W13">
        <v>129</v>
      </c>
      <c r="X13">
        <v>127</v>
      </c>
      <c r="Y13">
        <v>127</v>
      </c>
      <c r="Z13" s="2">
        <f>AVERAGE(Sheet1__10[[#This Row],[00:00:00]:[23:00:00]])</f>
        <v>132.13043478260869</v>
      </c>
      <c r="AA13" t="str" cm="1">
        <f t="array" ref="AA13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4" spans="1:27" x14ac:dyDescent="0.3">
      <c r="A14" s="1">
        <v>45943</v>
      </c>
      <c r="B14">
        <v>127</v>
      </c>
      <c r="C14">
        <v>127</v>
      </c>
      <c r="D14">
        <v>127</v>
      </c>
      <c r="E14">
        <v>127</v>
      </c>
      <c r="F14">
        <v>126</v>
      </c>
      <c r="G14">
        <v>125</v>
      </c>
      <c r="H14">
        <v>125</v>
      </c>
      <c r="I14">
        <v>125</v>
      </c>
      <c r="J14">
        <v>125</v>
      </c>
      <c r="K14">
        <v>124</v>
      </c>
      <c r="L14">
        <v>123</v>
      </c>
      <c r="M14">
        <v>122</v>
      </c>
      <c r="N14">
        <v>122</v>
      </c>
      <c r="O14">
        <v>122</v>
      </c>
      <c r="P14">
        <v>121</v>
      </c>
      <c r="Q14">
        <v>120</v>
      </c>
      <c r="R14">
        <v>120</v>
      </c>
      <c r="S14">
        <v>120</v>
      </c>
      <c r="T14">
        <v>120</v>
      </c>
      <c r="U14">
        <v>120</v>
      </c>
      <c r="V14">
        <v>119</v>
      </c>
      <c r="W14">
        <v>119</v>
      </c>
      <c r="X14">
        <v>118</v>
      </c>
      <c r="Y14">
        <v>118</v>
      </c>
      <c r="Z14" s="2">
        <f>AVERAGE(Sheet1__10[[#This Row],[00:00:00]:[23:00:00]])</f>
        <v>122.58333333333333</v>
      </c>
      <c r="AA14" t="str" cm="1">
        <f t="array" ref="AA14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5" spans="1:27" x14ac:dyDescent="0.3">
      <c r="A15" s="1">
        <v>45944</v>
      </c>
      <c r="B15">
        <v>117</v>
      </c>
      <c r="C15">
        <v>117</v>
      </c>
      <c r="D15">
        <v>117</v>
      </c>
      <c r="E15">
        <v>117</v>
      </c>
      <c r="F15">
        <v>118</v>
      </c>
      <c r="G15">
        <v>118</v>
      </c>
      <c r="H15">
        <v>117</v>
      </c>
      <c r="I15">
        <v>117</v>
      </c>
      <c r="J15">
        <v>118</v>
      </c>
      <c r="K15">
        <v>118</v>
      </c>
      <c r="L15">
        <v>118</v>
      </c>
      <c r="M15">
        <v>118</v>
      </c>
      <c r="N15">
        <v>118</v>
      </c>
      <c r="O15">
        <v>118</v>
      </c>
      <c r="P15">
        <v>117</v>
      </c>
      <c r="Q15">
        <v>117</v>
      </c>
      <c r="R15">
        <v>116</v>
      </c>
      <c r="S15">
        <v>116</v>
      </c>
      <c r="T15">
        <v>115</v>
      </c>
      <c r="U15">
        <v>116</v>
      </c>
      <c r="V15">
        <v>119</v>
      </c>
      <c r="W15">
        <v>121</v>
      </c>
      <c r="X15">
        <v>122</v>
      </c>
      <c r="Y15">
        <v>124</v>
      </c>
      <c r="Z15" s="2">
        <f>AVERAGE(Sheet1__10[[#This Row],[00:00:00]:[23:00:00]])</f>
        <v>117.875</v>
      </c>
      <c r="AA15" t="str" cm="1">
        <f t="array" ref="AA15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6" spans="1:27" x14ac:dyDescent="0.3">
      <c r="A16" s="1">
        <v>45945</v>
      </c>
      <c r="B16">
        <v>126</v>
      </c>
      <c r="C16">
        <v>127</v>
      </c>
      <c r="D16">
        <v>128</v>
      </c>
      <c r="E16">
        <v>129</v>
      </c>
      <c r="G16">
        <v>129</v>
      </c>
      <c r="H16">
        <v>129</v>
      </c>
      <c r="I16">
        <v>130</v>
      </c>
      <c r="J16">
        <v>130</v>
      </c>
      <c r="K16">
        <v>130</v>
      </c>
      <c r="L16">
        <v>131</v>
      </c>
      <c r="M16">
        <v>130</v>
      </c>
      <c r="N16">
        <v>130</v>
      </c>
      <c r="O16">
        <v>131</v>
      </c>
      <c r="P16">
        <v>131</v>
      </c>
      <c r="Q16">
        <v>131</v>
      </c>
      <c r="R16">
        <v>133</v>
      </c>
      <c r="S16">
        <v>132</v>
      </c>
      <c r="T16">
        <v>133</v>
      </c>
      <c r="U16">
        <v>133</v>
      </c>
      <c r="V16">
        <v>133</v>
      </c>
      <c r="W16">
        <v>127</v>
      </c>
      <c r="X16">
        <v>127</v>
      </c>
      <c r="Y16">
        <v>122</v>
      </c>
      <c r="Z16" s="2">
        <f>AVERAGE(Sheet1__10[[#This Row],[00:00:00]:[23:00:00]])</f>
        <v>129.65217391304347</v>
      </c>
      <c r="AA16" t="str" cm="1">
        <f t="array" ref="AA16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7" spans="1:27" x14ac:dyDescent="0.3">
      <c r="A17" s="1">
        <v>45946</v>
      </c>
      <c r="B17">
        <v>116</v>
      </c>
      <c r="C17">
        <v>112</v>
      </c>
      <c r="D17">
        <v>108</v>
      </c>
      <c r="E17">
        <v>104</v>
      </c>
      <c r="F17">
        <v>101</v>
      </c>
      <c r="G17">
        <v>98</v>
      </c>
      <c r="H17">
        <v>96</v>
      </c>
      <c r="I17">
        <v>92</v>
      </c>
      <c r="J17">
        <v>67</v>
      </c>
      <c r="K17">
        <v>86</v>
      </c>
      <c r="L17">
        <v>84</v>
      </c>
      <c r="M17">
        <v>78</v>
      </c>
      <c r="N17">
        <v>75</v>
      </c>
      <c r="O17">
        <v>73</v>
      </c>
      <c r="P17">
        <v>71</v>
      </c>
      <c r="Q17">
        <v>69</v>
      </c>
      <c r="R17">
        <v>69</v>
      </c>
      <c r="S17">
        <v>67</v>
      </c>
      <c r="T17">
        <v>64</v>
      </c>
      <c r="U17">
        <v>64</v>
      </c>
      <c r="V17">
        <v>65</v>
      </c>
      <c r="W17">
        <v>65</v>
      </c>
      <c r="X17">
        <v>61</v>
      </c>
      <c r="Y17">
        <v>62</v>
      </c>
      <c r="Z17" s="2">
        <f>AVERAGE(Sheet1__10[[#This Row],[00:00:00]:[23:00:00]])</f>
        <v>81.125</v>
      </c>
      <c r="AA17" t="str" cm="1">
        <f t="array" ref="AA17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18" spans="1:27" x14ac:dyDescent="0.3">
      <c r="A18" s="1">
        <v>45947</v>
      </c>
      <c r="B18">
        <v>62</v>
      </c>
      <c r="C18">
        <v>64</v>
      </c>
      <c r="D18">
        <v>65</v>
      </c>
      <c r="E18">
        <v>67</v>
      </c>
      <c r="F18">
        <v>68</v>
      </c>
      <c r="G18">
        <v>69</v>
      </c>
      <c r="H18">
        <v>70</v>
      </c>
      <c r="I18">
        <v>72</v>
      </c>
      <c r="J18">
        <v>61</v>
      </c>
      <c r="K18">
        <v>76</v>
      </c>
      <c r="L18">
        <v>77</v>
      </c>
      <c r="M18">
        <v>78</v>
      </c>
      <c r="N18">
        <v>79</v>
      </c>
      <c r="O18">
        <v>65</v>
      </c>
      <c r="P18">
        <v>82</v>
      </c>
      <c r="Q18">
        <v>83</v>
      </c>
      <c r="R18">
        <v>85</v>
      </c>
      <c r="S18">
        <v>87</v>
      </c>
      <c r="T18">
        <v>88</v>
      </c>
      <c r="U18">
        <v>88</v>
      </c>
      <c r="V18">
        <v>88</v>
      </c>
      <c r="W18">
        <v>89</v>
      </c>
      <c r="X18">
        <v>91</v>
      </c>
      <c r="Y18">
        <v>94</v>
      </c>
      <c r="Z18" s="2">
        <f>AVERAGE(Sheet1__10[[#This Row],[00:00:00]:[23:00:00]])</f>
        <v>77</v>
      </c>
      <c r="AA18" t="str" cm="1">
        <f t="array" ref="AA18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19" spans="1:27" x14ac:dyDescent="0.3">
      <c r="A19" s="1">
        <v>45948</v>
      </c>
      <c r="B19">
        <v>97</v>
      </c>
      <c r="C19">
        <v>100</v>
      </c>
      <c r="D19">
        <v>103</v>
      </c>
      <c r="E19">
        <v>105</v>
      </c>
      <c r="F19">
        <v>104</v>
      </c>
      <c r="G19">
        <v>105</v>
      </c>
      <c r="H19">
        <v>108</v>
      </c>
      <c r="I19">
        <v>107</v>
      </c>
      <c r="J19">
        <v>107</v>
      </c>
      <c r="K19">
        <v>108</v>
      </c>
      <c r="L19">
        <v>110</v>
      </c>
      <c r="M19">
        <v>111</v>
      </c>
      <c r="N19">
        <v>112</v>
      </c>
      <c r="O19">
        <v>114</v>
      </c>
      <c r="P19">
        <v>114</v>
      </c>
      <c r="Q19">
        <v>114</v>
      </c>
      <c r="R19">
        <v>114</v>
      </c>
      <c r="S19">
        <v>114</v>
      </c>
      <c r="T19">
        <v>115</v>
      </c>
      <c r="U19">
        <v>122</v>
      </c>
      <c r="V19">
        <v>122</v>
      </c>
      <c r="W19">
        <v>124</v>
      </c>
      <c r="X19">
        <v>127</v>
      </c>
      <c r="Y19">
        <v>131</v>
      </c>
      <c r="Z19" s="2">
        <f>AVERAGE(Sheet1__10[[#This Row],[00:00:00]:[23:00:00]])</f>
        <v>112</v>
      </c>
      <c r="AA19" t="str" cm="1">
        <f t="array" ref="AA19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20" spans="1:27" x14ac:dyDescent="0.3">
      <c r="A20" s="1">
        <v>45949</v>
      </c>
      <c r="B20">
        <v>133</v>
      </c>
      <c r="C20">
        <v>135</v>
      </c>
      <c r="D20">
        <v>137</v>
      </c>
      <c r="E20">
        <v>140</v>
      </c>
      <c r="F20">
        <v>142</v>
      </c>
      <c r="G20">
        <v>144</v>
      </c>
      <c r="H20">
        <v>147</v>
      </c>
      <c r="I20">
        <v>149</v>
      </c>
      <c r="J20">
        <v>151</v>
      </c>
      <c r="K20">
        <v>151</v>
      </c>
      <c r="L20">
        <v>152</v>
      </c>
      <c r="M20">
        <v>153</v>
      </c>
      <c r="N20">
        <v>155</v>
      </c>
      <c r="O20">
        <v>156</v>
      </c>
      <c r="P20">
        <v>158</v>
      </c>
      <c r="Q20">
        <v>160</v>
      </c>
      <c r="R20">
        <v>162</v>
      </c>
      <c r="S20">
        <v>163</v>
      </c>
      <c r="T20">
        <v>164</v>
      </c>
      <c r="U20">
        <v>164</v>
      </c>
      <c r="V20">
        <v>166</v>
      </c>
      <c r="W20">
        <v>167</v>
      </c>
      <c r="X20">
        <v>168</v>
      </c>
      <c r="Y20">
        <v>169</v>
      </c>
      <c r="Z20" s="2">
        <f>AVERAGE(Sheet1__10[[#This Row],[00:00:00]:[23:00:00]])</f>
        <v>153.58333333333334</v>
      </c>
      <c r="AA20" t="str" cm="1">
        <f t="array" ref="AA20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VERY BAD</v>
      </c>
    </row>
    <row r="21" spans="1:27" x14ac:dyDescent="0.3">
      <c r="A21" s="1">
        <v>45950</v>
      </c>
      <c r="B21">
        <v>170</v>
      </c>
      <c r="C21">
        <v>171</v>
      </c>
      <c r="D21">
        <v>173</v>
      </c>
      <c r="E21">
        <v>174</v>
      </c>
      <c r="F21">
        <v>175</v>
      </c>
      <c r="G21">
        <v>177</v>
      </c>
      <c r="H21">
        <v>168</v>
      </c>
      <c r="I21">
        <v>169</v>
      </c>
      <c r="J21">
        <v>170</v>
      </c>
      <c r="K21">
        <v>172</v>
      </c>
      <c r="L21">
        <v>172</v>
      </c>
      <c r="M21">
        <v>171</v>
      </c>
      <c r="N21">
        <v>170</v>
      </c>
      <c r="O21">
        <v>169</v>
      </c>
      <c r="P21">
        <v>168</v>
      </c>
      <c r="Q21">
        <v>171</v>
      </c>
      <c r="R21">
        <v>170</v>
      </c>
      <c r="S21">
        <v>168</v>
      </c>
      <c r="T21">
        <v>165</v>
      </c>
      <c r="U21">
        <v>163</v>
      </c>
      <c r="V21">
        <v>162</v>
      </c>
      <c r="W21">
        <v>160</v>
      </c>
      <c r="X21">
        <v>158</v>
      </c>
      <c r="Y21">
        <v>156</v>
      </c>
      <c r="Z21" s="2">
        <f>AVERAGE(Sheet1__10[[#This Row],[00:00:00]:[23:00:00]])</f>
        <v>168.41666666666666</v>
      </c>
      <c r="AA21" t="str" cm="1">
        <f t="array" ref="AA21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VERY BAD</v>
      </c>
    </row>
    <row r="22" spans="1:27" x14ac:dyDescent="0.3">
      <c r="A22" s="1">
        <v>45951</v>
      </c>
      <c r="B22">
        <v>156</v>
      </c>
      <c r="C22">
        <v>154</v>
      </c>
      <c r="D22">
        <v>153</v>
      </c>
      <c r="E22">
        <v>151</v>
      </c>
      <c r="F22">
        <v>149</v>
      </c>
      <c r="G22">
        <v>145</v>
      </c>
      <c r="H22">
        <v>142</v>
      </c>
      <c r="I22">
        <v>140</v>
      </c>
      <c r="J22">
        <v>138</v>
      </c>
      <c r="K22">
        <v>136</v>
      </c>
      <c r="L22">
        <v>135</v>
      </c>
      <c r="M22">
        <v>134</v>
      </c>
      <c r="N22">
        <v>133</v>
      </c>
      <c r="O22">
        <v>132</v>
      </c>
      <c r="P22">
        <v>130</v>
      </c>
      <c r="Q22">
        <v>130</v>
      </c>
      <c r="R22">
        <v>129</v>
      </c>
      <c r="S22">
        <v>129</v>
      </c>
      <c r="T22">
        <v>128</v>
      </c>
      <c r="U22">
        <v>132</v>
      </c>
      <c r="V22">
        <v>126</v>
      </c>
      <c r="W22">
        <v>124</v>
      </c>
      <c r="X22">
        <v>110</v>
      </c>
      <c r="Y22">
        <v>132</v>
      </c>
      <c r="Z22" s="2">
        <f>AVERAGE(Sheet1__10[[#This Row],[00:00:00]:[23:00:00]])</f>
        <v>136.16666666666666</v>
      </c>
      <c r="AA22" t="str" cm="1">
        <f t="array" ref="AA22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23" spans="1:27" x14ac:dyDescent="0.3">
      <c r="A23" s="1">
        <v>45952</v>
      </c>
      <c r="B23">
        <v>135</v>
      </c>
      <c r="C23">
        <v>141</v>
      </c>
      <c r="D23">
        <v>130</v>
      </c>
      <c r="E23">
        <v>131</v>
      </c>
      <c r="F23">
        <v>130</v>
      </c>
      <c r="G23">
        <v>129</v>
      </c>
      <c r="H23">
        <v>127</v>
      </c>
      <c r="I23">
        <v>124</v>
      </c>
      <c r="J23">
        <v>122</v>
      </c>
      <c r="K23">
        <v>122</v>
      </c>
      <c r="L23">
        <v>120</v>
      </c>
      <c r="M23">
        <v>117</v>
      </c>
      <c r="N23">
        <v>116</v>
      </c>
      <c r="O23">
        <v>116</v>
      </c>
      <c r="P23">
        <v>118</v>
      </c>
      <c r="Q23">
        <v>118</v>
      </c>
      <c r="R23">
        <v>116</v>
      </c>
      <c r="S23">
        <v>115</v>
      </c>
      <c r="T23">
        <v>115</v>
      </c>
      <c r="U23">
        <v>118</v>
      </c>
      <c r="V23">
        <v>117</v>
      </c>
      <c r="W23">
        <v>115</v>
      </c>
      <c r="X23">
        <v>107</v>
      </c>
      <c r="Z23" s="2">
        <f>AVERAGE(Sheet1__10[[#This Row],[00:00:00]:[23:00:00]])</f>
        <v>121.69565217391305</v>
      </c>
      <c r="AA23" t="str" cm="1">
        <f t="array" ref="AA23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24" spans="1:27" x14ac:dyDescent="0.3">
      <c r="A24" s="1">
        <v>45953</v>
      </c>
      <c r="B24">
        <v>94</v>
      </c>
      <c r="C24">
        <v>87</v>
      </c>
      <c r="D24">
        <v>84</v>
      </c>
      <c r="E24">
        <v>84</v>
      </c>
      <c r="F24">
        <v>84</v>
      </c>
      <c r="G24">
        <v>84</v>
      </c>
      <c r="H24">
        <v>84</v>
      </c>
      <c r="I24">
        <v>84</v>
      </c>
      <c r="J24">
        <v>84</v>
      </c>
      <c r="K24">
        <v>83</v>
      </c>
      <c r="L24">
        <v>82</v>
      </c>
      <c r="M24">
        <v>82</v>
      </c>
      <c r="N24">
        <v>81</v>
      </c>
      <c r="O24">
        <v>81</v>
      </c>
      <c r="P24">
        <v>82</v>
      </c>
      <c r="Q24">
        <v>81</v>
      </c>
      <c r="R24">
        <v>81</v>
      </c>
      <c r="T24">
        <v>85</v>
      </c>
      <c r="U24">
        <v>85</v>
      </c>
      <c r="V24">
        <v>86</v>
      </c>
      <c r="W24">
        <v>87</v>
      </c>
      <c r="X24">
        <v>86</v>
      </c>
      <c r="Y24">
        <v>82</v>
      </c>
      <c r="Z24" s="2">
        <f>AVERAGE(Sheet1__10[[#This Row],[00:00:00]:[23:00:00]])</f>
        <v>84.043478260869563</v>
      </c>
      <c r="AA24" t="str" cm="1">
        <f t="array" ref="AA24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25" spans="1:27" x14ac:dyDescent="0.3">
      <c r="A25" s="1">
        <v>45954</v>
      </c>
      <c r="B25">
        <v>78</v>
      </c>
      <c r="C25">
        <v>76</v>
      </c>
      <c r="D25">
        <v>59</v>
      </c>
      <c r="E25">
        <v>56</v>
      </c>
      <c r="F25">
        <v>54</v>
      </c>
      <c r="G25">
        <v>52</v>
      </c>
      <c r="H25">
        <v>51</v>
      </c>
      <c r="I25">
        <v>51</v>
      </c>
      <c r="J25">
        <v>50</v>
      </c>
      <c r="K25">
        <v>49</v>
      </c>
      <c r="L25">
        <v>49</v>
      </c>
      <c r="M25">
        <v>49</v>
      </c>
      <c r="N25">
        <v>49</v>
      </c>
      <c r="O25">
        <v>49</v>
      </c>
      <c r="P25">
        <v>48</v>
      </c>
      <c r="Q25">
        <v>54</v>
      </c>
      <c r="R25">
        <v>55</v>
      </c>
      <c r="S25">
        <v>55</v>
      </c>
      <c r="T25">
        <v>54</v>
      </c>
      <c r="U25">
        <v>52</v>
      </c>
      <c r="V25">
        <v>51</v>
      </c>
      <c r="W25">
        <v>49</v>
      </c>
      <c r="X25">
        <v>48</v>
      </c>
      <c r="Y25">
        <v>48</v>
      </c>
      <c r="Z25" s="2">
        <f>AVERAGE(Sheet1__10[[#This Row],[00:00:00]:[23:00:00]])</f>
        <v>53.583333333333336</v>
      </c>
      <c r="AA25" t="str" cm="1">
        <f t="array" ref="AA25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26" spans="1:27" x14ac:dyDescent="0.3">
      <c r="A26" s="1">
        <v>45955</v>
      </c>
      <c r="B26">
        <v>48</v>
      </c>
      <c r="C26">
        <v>48</v>
      </c>
      <c r="D26">
        <v>48</v>
      </c>
      <c r="E26">
        <v>48</v>
      </c>
      <c r="F26">
        <v>49</v>
      </c>
      <c r="G26">
        <v>49</v>
      </c>
      <c r="H26">
        <v>50</v>
      </c>
      <c r="I26">
        <v>50</v>
      </c>
      <c r="J26">
        <v>51</v>
      </c>
      <c r="K26">
        <v>51</v>
      </c>
      <c r="L26">
        <v>52</v>
      </c>
      <c r="M26">
        <v>52</v>
      </c>
      <c r="N26">
        <v>52</v>
      </c>
      <c r="O26">
        <v>52</v>
      </c>
      <c r="P26">
        <v>53</v>
      </c>
      <c r="Q26">
        <v>53</v>
      </c>
      <c r="R26">
        <v>53</v>
      </c>
      <c r="S26">
        <v>52</v>
      </c>
      <c r="T26">
        <v>52</v>
      </c>
      <c r="U26">
        <v>52</v>
      </c>
      <c r="V26">
        <v>52</v>
      </c>
      <c r="W26">
        <v>52</v>
      </c>
      <c r="X26">
        <v>51</v>
      </c>
      <c r="Y26">
        <v>50</v>
      </c>
      <c r="Z26" s="2">
        <f>AVERAGE(Sheet1__10[[#This Row],[00:00:00]:[23:00:00]])</f>
        <v>50.833333333333336</v>
      </c>
      <c r="AA26" t="str" cm="1">
        <f t="array" ref="AA26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27" spans="1:27" x14ac:dyDescent="0.3">
      <c r="A27" s="1">
        <v>45956</v>
      </c>
      <c r="B27">
        <v>50</v>
      </c>
      <c r="C27">
        <v>50</v>
      </c>
      <c r="D27">
        <v>49</v>
      </c>
      <c r="E27">
        <v>48</v>
      </c>
      <c r="F27">
        <v>48</v>
      </c>
      <c r="G27">
        <v>47</v>
      </c>
      <c r="H27">
        <v>47</v>
      </c>
      <c r="I27">
        <v>46</v>
      </c>
      <c r="J27">
        <v>48</v>
      </c>
      <c r="K27">
        <v>49</v>
      </c>
      <c r="L27">
        <v>50</v>
      </c>
      <c r="M27">
        <v>51</v>
      </c>
      <c r="N27">
        <v>52</v>
      </c>
      <c r="O27">
        <v>52</v>
      </c>
      <c r="P27">
        <v>52</v>
      </c>
      <c r="Q27">
        <v>52</v>
      </c>
      <c r="R27">
        <v>53</v>
      </c>
      <c r="S27">
        <v>54</v>
      </c>
      <c r="T27">
        <v>56</v>
      </c>
      <c r="U27">
        <v>50</v>
      </c>
      <c r="V27">
        <v>49</v>
      </c>
      <c r="W27">
        <v>49</v>
      </c>
      <c r="X27">
        <v>48</v>
      </c>
      <c r="Y27">
        <v>48</v>
      </c>
      <c r="Z27" s="2">
        <f>AVERAGE(Sheet1__10[[#This Row],[00:00:00]:[23:00:00]])</f>
        <v>49.916666666666664</v>
      </c>
      <c r="AA27" t="str" cm="1">
        <f t="array" ref="AA27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28" spans="1:27" x14ac:dyDescent="0.3">
      <c r="A28" s="1">
        <v>45957</v>
      </c>
      <c r="B28">
        <v>48</v>
      </c>
      <c r="C28">
        <v>49</v>
      </c>
      <c r="D28">
        <v>49</v>
      </c>
      <c r="E28">
        <v>49</v>
      </c>
      <c r="F28">
        <v>48</v>
      </c>
      <c r="G28">
        <v>47</v>
      </c>
      <c r="H28">
        <v>47</v>
      </c>
      <c r="I28">
        <v>46</v>
      </c>
      <c r="J28">
        <v>45</v>
      </c>
      <c r="K28">
        <v>44</v>
      </c>
      <c r="L28">
        <v>46</v>
      </c>
      <c r="M28">
        <v>45</v>
      </c>
      <c r="N28">
        <v>44</v>
      </c>
      <c r="O28">
        <v>44</v>
      </c>
      <c r="P28">
        <v>44</v>
      </c>
      <c r="Q28">
        <v>44</v>
      </c>
      <c r="R28">
        <v>44</v>
      </c>
      <c r="S28">
        <v>44</v>
      </c>
      <c r="T28">
        <v>44</v>
      </c>
      <c r="U28">
        <v>42</v>
      </c>
      <c r="V28">
        <v>43</v>
      </c>
      <c r="W28">
        <v>44</v>
      </c>
      <c r="X28">
        <v>44</v>
      </c>
      <c r="Y28">
        <v>44</v>
      </c>
      <c r="Z28" s="2">
        <f>AVERAGE(Sheet1__10[[#This Row],[00:00:00]:[23:00:00]])</f>
        <v>45.333333333333336</v>
      </c>
      <c r="AA28" t="str" cm="1">
        <f t="array" ref="AA28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29" spans="1:27" x14ac:dyDescent="0.3">
      <c r="A29" s="1">
        <v>45958</v>
      </c>
      <c r="B29">
        <v>45</v>
      </c>
      <c r="C29">
        <v>46</v>
      </c>
      <c r="D29">
        <v>44</v>
      </c>
      <c r="E29">
        <v>48</v>
      </c>
      <c r="G29">
        <v>43</v>
      </c>
      <c r="H29">
        <v>42</v>
      </c>
      <c r="I29">
        <v>47</v>
      </c>
      <c r="J29">
        <v>47</v>
      </c>
      <c r="K29">
        <v>48</v>
      </c>
      <c r="L29">
        <v>50</v>
      </c>
      <c r="M29">
        <v>51</v>
      </c>
      <c r="N29">
        <v>47</v>
      </c>
      <c r="O29">
        <v>48</v>
      </c>
      <c r="P29">
        <v>53</v>
      </c>
      <c r="Q29">
        <v>55</v>
      </c>
      <c r="R29">
        <v>56</v>
      </c>
      <c r="S29">
        <v>57</v>
      </c>
      <c r="T29">
        <v>57</v>
      </c>
      <c r="U29">
        <v>57</v>
      </c>
      <c r="V29">
        <v>57</v>
      </c>
      <c r="W29">
        <v>57</v>
      </c>
      <c r="X29">
        <v>56</v>
      </c>
      <c r="Y29">
        <v>58</v>
      </c>
      <c r="Z29" s="2">
        <f>AVERAGE(Sheet1__10[[#This Row],[00:00:00]:[23:00:00]])</f>
        <v>50.826086956521742</v>
      </c>
      <c r="AA29" t="str" cm="1">
        <f t="array" ref="AA29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30" spans="1:27" x14ac:dyDescent="0.3">
      <c r="A30" s="1">
        <v>45959</v>
      </c>
      <c r="B30">
        <v>61</v>
      </c>
      <c r="C30">
        <v>64</v>
      </c>
      <c r="D30">
        <v>69</v>
      </c>
      <c r="E30">
        <v>71</v>
      </c>
      <c r="F30">
        <v>74</v>
      </c>
      <c r="G30">
        <v>79</v>
      </c>
      <c r="H30">
        <v>80</v>
      </c>
      <c r="I30">
        <v>80</v>
      </c>
      <c r="J30">
        <v>82</v>
      </c>
      <c r="K30">
        <v>83</v>
      </c>
      <c r="L30">
        <v>85</v>
      </c>
      <c r="M30">
        <v>81</v>
      </c>
      <c r="N30">
        <v>81</v>
      </c>
      <c r="O30">
        <v>81</v>
      </c>
      <c r="P30">
        <v>81</v>
      </c>
      <c r="Q30">
        <v>83</v>
      </c>
      <c r="R30">
        <v>85</v>
      </c>
      <c r="S30">
        <v>87</v>
      </c>
      <c r="T30">
        <v>89</v>
      </c>
      <c r="U30">
        <v>92</v>
      </c>
      <c r="V30">
        <v>92</v>
      </c>
      <c r="W30">
        <v>90</v>
      </c>
      <c r="X30">
        <v>88</v>
      </c>
      <c r="Y30">
        <v>87</v>
      </c>
      <c r="Z30" s="2">
        <f>AVERAGE(Sheet1__10[[#This Row],[00:00:00]:[23:00:00]])</f>
        <v>81.041666666666671</v>
      </c>
      <c r="AA30" t="str" cm="1">
        <f t="array" ref="AA30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31" spans="1:27" x14ac:dyDescent="0.3">
      <c r="A31" s="1">
        <v>45960</v>
      </c>
      <c r="B31">
        <v>87</v>
      </c>
      <c r="C31">
        <v>84</v>
      </c>
      <c r="D31">
        <v>84</v>
      </c>
      <c r="E31">
        <v>84</v>
      </c>
      <c r="F31">
        <v>83</v>
      </c>
      <c r="G31">
        <v>82</v>
      </c>
      <c r="H31">
        <v>82</v>
      </c>
      <c r="I31">
        <v>83</v>
      </c>
      <c r="J31">
        <v>81</v>
      </c>
      <c r="K31">
        <v>80</v>
      </c>
      <c r="L31">
        <v>78</v>
      </c>
      <c r="M31">
        <v>77</v>
      </c>
      <c r="N31">
        <v>77</v>
      </c>
      <c r="O31">
        <v>77</v>
      </c>
      <c r="P31">
        <v>76</v>
      </c>
      <c r="Q31">
        <v>75</v>
      </c>
      <c r="R31">
        <v>74</v>
      </c>
      <c r="S31">
        <v>73</v>
      </c>
      <c r="T31">
        <v>67</v>
      </c>
      <c r="U31">
        <v>65</v>
      </c>
      <c r="V31">
        <v>65</v>
      </c>
      <c r="W31">
        <v>65</v>
      </c>
      <c r="X31">
        <v>65</v>
      </c>
      <c r="Y31">
        <v>65</v>
      </c>
      <c r="Z31" s="2">
        <f>AVERAGE(Sheet1__10[[#This Row],[00:00:00]:[23:00:00]])</f>
        <v>76.208333333333329</v>
      </c>
      <c r="AA31" t="str" cm="1">
        <f t="array" ref="AA31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32" spans="1:27" x14ac:dyDescent="0.3">
      <c r="A32" s="1">
        <v>45961</v>
      </c>
      <c r="B32">
        <v>65</v>
      </c>
      <c r="C32">
        <v>66</v>
      </c>
      <c r="D32">
        <v>66</v>
      </c>
      <c r="E32">
        <v>66</v>
      </c>
      <c r="F32">
        <v>67</v>
      </c>
      <c r="G32">
        <v>67</v>
      </c>
      <c r="H32">
        <v>67</v>
      </c>
      <c r="I32">
        <v>68</v>
      </c>
      <c r="J32">
        <v>69</v>
      </c>
      <c r="K32">
        <v>71</v>
      </c>
      <c r="L32">
        <v>72</v>
      </c>
      <c r="M32">
        <v>74</v>
      </c>
      <c r="N32">
        <v>74</v>
      </c>
      <c r="O32">
        <v>73</v>
      </c>
      <c r="P32">
        <v>74</v>
      </c>
      <c r="Q32">
        <v>74</v>
      </c>
      <c r="R32">
        <v>73</v>
      </c>
      <c r="S32">
        <v>73</v>
      </c>
      <c r="T32">
        <v>73</v>
      </c>
      <c r="U32">
        <v>72</v>
      </c>
      <c r="V32">
        <v>71</v>
      </c>
      <c r="W32">
        <v>70</v>
      </c>
      <c r="X32">
        <v>70</v>
      </c>
      <c r="Y32">
        <v>71</v>
      </c>
      <c r="Z32" s="2">
        <f>AVERAGE(Sheet1__10[[#This Row],[00:00:00]:[23:00:00]])</f>
        <v>70.25</v>
      </c>
      <c r="AA32" t="str" cm="1">
        <f t="array" ref="AA32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33" spans="26:27" x14ac:dyDescent="0.3">
      <c r="Z33" s="2">
        <f>AVERAGE(Sheet1__10[AVERAGE AQI])</f>
        <v>87.506077606358119</v>
      </c>
      <c r="AA33" s="3"/>
    </row>
  </sheetData>
  <conditionalFormatting sqref="AA1:AA1048576">
    <cfRule type="containsText" dxfId="16" priority="1" operator="containsText" text="VERY BAD">
      <formula>NOT(ISERROR(SEARCH("VERY BAD",AA1)))</formula>
    </cfRule>
    <cfRule type="containsText" dxfId="15" priority="2" operator="containsText" text="MODERATE">
      <formula>NOT(ISERROR(SEARCH("MODERATE",AA1)))</formula>
    </cfRule>
    <cfRule type="containsText" dxfId="14" priority="3" operator="containsText" text="BAD">
      <formula>NOT(ISERROR(SEARCH("BAD",AA1)))</formula>
    </cfRule>
    <cfRule type="containsText" dxfId="13" priority="4" operator="containsText" text="GOOD">
      <formula>NOT(ISERROR(SEARCH("GOOD",AA1)))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0D67-216A-4CFB-9B22-4B46FAA0FBB9}">
  <dimension ref="A1:AA32"/>
  <sheetViews>
    <sheetView workbookViewId="0">
      <selection activeCell="Z2" sqref="Z2"/>
    </sheetView>
  </sheetViews>
  <sheetFormatPr defaultRowHeight="14.4" x14ac:dyDescent="0.3"/>
  <cols>
    <col min="1" max="25" width="10.33203125" bestFit="1" customWidth="1"/>
    <col min="26" max="26" width="15.6640625" customWidth="1"/>
    <col min="27" max="27" width="17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27</v>
      </c>
      <c r="AA1" t="s">
        <v>25</v>
      </c>
    </row>
    <row r="2" spans="1:27" x14ac:dyDescent="0.3">
      <c r="A2" s="1">
        <v>45962</v>
      </c>
      <c r="B2">
        <v>73</v>
      </c>
      <c r="C2">
        <v>73</v>
      </c>
      <c r="D2">
        <v>74</v>
      </c>
      <c r="E2">
        <v>74</v>
      </c>
      <c r="F2">
        <v>73</v>
      </c>
      <c r="G2">
        <v>71</v>
      </c>
      <c r="H2">
        <v>70</v>
      </c>
      <c r="I2">
        <v>69</v>
      </c>
      <c r="J2">
        <v>67</v>
      </c>
      <c r="K2">
        <v>63</v>
      </c>
      <c r="L2">
        <v>61</v>
      </c>
      <c r="M2">
        <v>60</v>
      </c>
      <c r="N2">
        <v>59</v>
      </c>
      <c r="O2">
        <v>58</v>
      </c>
      <c r="P2">
        <v>58</v>
      </c>
      <c r="Q2">
        <v>57</v>
      </c>
      <c r="R2">
        <v>56</v>
      </c>
      <c r="S2">
        <v>56</v>
      </c>
      <c r="T2">
        <v>54</v>
      </c>
      <c r="U2">
        <v>54</v>
      </c>
      <c r="V2">
        <v>54</v>
      </c>
      <c r="W2">
        <v>54</v>
      </c>
      <c r="X2">
        <v>54</v>
      </c>
      <c r="Y2">
        <v>58</v>
      </c>
      <c r="Z2" s="2">
        <f>AVERAGE(Sheet1__11[[#This Row],[00:00:00]:[23:00:00]])</f>
        <v>62.5</v>
      </c>
      <c r="AA2" t="str" cm="1">
        <f t="array" ref="AA2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3" spans="1:27" x14ac:dyDescent="0.3">
      <c r="A3" s="1">
        <v>45963</v>
      </c>
      <c r="B3">
        <v>59</v>
      </c>
      <c r="C3">
        <v>59</v>
      </c>
      <c r="D3">
        <v>60</v>
      </c>
      <c r="E3">
        <v>59</v>
      </c>
      <c r="F3">
        <v>58</v>
      </c>
      <c r="G3">
        <v>57</v>
      </c>
      <c r="H3">
        <v>56</v>
      </c>
      <c r="I3">
        <v>55</v>
      </c>
      <c r="J3">
        <v>54</v>
      </c>
      <c r="K3">
        <v>48</v>
      </c>
      <c r="L3">
        <v>46</v>
      </c>
      <c r="M3">
        <v>45</v>
      </c>
      <c r="N3">
        <v>45</v>
      </c>
      <c r="O3">
        <v>44</v>
      </c>
      <c r="P3">
        <v>44</v>
      </c>
      <c r="Q3">
        <v>43</v>
      </c>
      <c r="R3">
        <v>42</v>
      </c>
      <c r="S3">
        <v>42</v>
      </c>
      <c r="T3">
        <v>42</v>
      </c>
      <c r="U3">
        <v>42</v>
      </c>
      <c r="V3">
        <v>43</v>
      </c>
      <c r="W3">
        <v>43</v>
      </c>
      <c r="X3">
        <v>44</v>
      </c>
      <c r="Y3">
        <v>45</v>
      </c>
      <c r="Z3" s="2">
        <f>AVERAGE(Sheet1__11[[#This Row],[00:00:00]:[23:00:00]])</f>
        <v>48.958333333333336</v>
      </c>
      <c r="AA3" t="str" cm="1">
        <f t="array" ref="AA3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GOOD</v>
      </c>
    </row>
    <row r="4" spans="1:27" x14ac:dyDescent="0.3">
      <c r="A4" s="1">
        <v>45964</v>
      </c>
      <c r="B4">
        <v>45</v>
      </c>
      <c r="C4">
        <v>45</v>
      </c>
      <c r="D4">
        <v>45</v>
      </c>
      <c r="E4">
        <v>43</v>
      </c>
      <c r="F4">
        <v>42</v>
      </c>
      <c r="G4">
        <v>41</v>
      </c>
      <c r="H4">
        <v>41</v>
      </c>
      <c r="I4">
        <v>41</v>
      </c>
      <c r="J4">
        <v>41</v>
      </c>
      <c r="K4">
        <v>41</v>
      </c>
      <c r="L4">
        <v>42</v>
      </c>
      <c r="M4">
        <v>41</v>
      </c>
      <c r="N4">
        <v>42</v>
      </c>
      <c r="O4">
        <v>42</v>
      </c>
      <c r="P4">
        <v>43</v>
      </c>
      <c r="Q4">
        <v>44</v>
      </c>
      <c r="R4">
        <v>44</v>
      </c>
      <c r="S4">
        <v>46</v>
      </c>
      <c r="T4">
        <v>46</v>
      </c>
      <c r="U4">
        <v>46</v>
      </c>
      <c r="V4">
        <v>48</v>
      </c>
      <c r="W4">
        <v>50</v>
      </c>
      <c r="X4">
        <v>51</v>
      </c>
      <c r="Y4">
        <v>52</v>
      </c>
      <c r="Z4" s="2">
        <f>AVERAGE(Sheet1__11[[#This Row],[00:00:00]:[23:00:00]])</f>
        <v>44.25</v>
      </c>
      <c r="AA4" t="str" cm="1">
        <f t="array" ref="AA4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GOOD</v>
      </c>
    </row>
    <row r="5" spans="1:27" x14ac:dyDescent="0.3">
      <c r="A5" s="1">
        <v>45965</v>
      </c>
      <c r="B5">
        <v>52</v>
      </c>
      <c r="C5">
        <v>52</v>
      </c>
      <c r="D5">
        <v>51</v>
      </c>
      <c r="E5">
        <v>56</v>
      </c>
      <c r="F5">
        <v>56</v>
      </c>
      <c r="G5">
        <v>55</v>
      </c>
      <c r="H5">
        <v>54</v>
      </c>
      <c r="I5">
        <v>55</v>
      </c>
      <c r="J5">
        <v>55</v>
      </c>
      <c r="K5">
        <v>56</v>
      </c>
      <c r="L5">
        <v>56</v>
      </c>
      <c r="M5">
        <v>57</v>
      </c>
      <c r="N5">
        <v>58</v>
      </c>
      <c r="O5">
        <v>59</v>
      </c>
      <c r="P5">
        <v>61</v>
      </c>
      <c r="Q5">
        <v>61</v>
      </c>
      <c r="R5">
        <v>62</v>
      </c>
      <c r="S5">
        <v>63</v>
      </c>
      <c r="T5">
        <v>64</v>
      </c>
      <c r="U5">
        <v>65</v>
      </c>
      <c r="V5">
        <v>65</v>
      </c>
      <c r="W5">
        <v>65</v>
      </c>
      <c r="X5">
        <v>65</v>
      </c>
      <c r="Y5">
        <v>63</v>
      </c>
      <c r="Z5" s="2">
        <f>AVERAGE(Sheet1__11[[#This Row],[00:00:00]:[23:00:00]])</f>
        <v>58.583333333333336</v>
      </c>
      <c r="AA5" t="str" cm="1">
        <f t="array" ref="AA5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6" spans="1:27" x14ac:dyDescent="0.3">
      <c r="A6" s="1">
        <v>45966</v>
      </c>
      <c r="B6">
        <v>60</v>
      </c>
      <c r="C6">
        <v>63</v>
      </c>
      <c r="D6">
        <v>70</v>
      </c>
      <c r="E6">
        <v>69</v>
      </c>
      <c r="F6">
        <v>68</v>
      </c>
      <c r="G6">
        <v>60</v>
      </c>
      <c r="H6">
        <v>62</v>
      </c>
      <c r="I6">
        <v>62</v>
      </c>
      <c r="J6">
        <v>63</v>
      </c>
      <c r="K6">
        <v>63</v>
      </c>
      <c r="L6">
        <v>63</v>
      </c>
      <c r="M6">
        <v>66</v>
      </c>
      <c r="N6">
        <v>68</v>
      </c>
      <c r="O6">
        <v>69</v>
      </c>
      <c r="P6">
        <v>71</v>
      </c>
      <c r="Q6">
        <v>71</v>
      </c>
      <c r="R6">
        <v>71</v>
      </c>
      <c r="S6">
        <v>70</v>
      </c>
      <c r="T6">
        <v>68</v>
      </c>
      <c r="U6">
        <v>69</v>
      </c>
      <c r="V6">
        <v>70</v>
      </c>
      <c r="W6">
        <v>71</v>
      </c>
      <c r="X6">
        <v>72</v>
      </c>
      <c r="Y6">
        <v>73</v>
      </c>
      <c r="Z6" s="2">
        <f>AVERAGE(Sheet1__11[[#This Row],[00:00:00]:[23:00:00]])</f>
        <v>67.166666666666671</v>
      </c>
      <c r="AA6" t="str" cm="1">
        <f t="array" ref="AA6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7" spans="1:27" x14ac:dyDescent="0.3">
      <c r="A7" s="1">
        <v>45967</v>
      </c>
      <c r="B7">
        <v>76</v>
      </c>
      <c r="C7">
        <v>77</v>
      </c>
      <c r="D7">
        <v>77</v>
      </c>
      <c r="E7">
        <v>85</v>
      </c>
      <c r="F7">
        <v>85</v>
      </c>
      <c r="G7">
        <v>85</v>
      </c>
      <c r="H7">
        <v>84</v>
      </c>
      <c r="I7">
        <v>84</v>
      </c>
      <c r="J7">
        <v>84</v>
      </c>
      <c r="K7">
        <v>84</v>
      </c>
      <c r="L7">
        <v>85</v>
      </c>
      <c r="M7">
        <v>85</v>
      </c>
      <c r="N7">
        <v>86</v>
      </c>
      <c r="O7">
        <v>86</v>
      </c>
      <c r="P7">
        <v>87</v>
      </c>
      <c r="Q7">
        <v>88</v>
      </c>
      <c r="R7">
        <v>88</v>
      </c>
      <c r="S7">
        <v>88</v>
      </c>
      <c r="T7">
        <v>90</v>
      </c>
      <c r="U7">
        <v>93</v>
      </c>
      <c r="V7">
        <v>94</v>
      </c>
      <c r="W7">
        <v>99</v>
      </c>
      <c r="X7">
        <v>100</v>
      </c>
      <c r="Y7">
        <v>100</v>
      </c>
      <c r="Z7" s="2">
        <f>AVERAGE(Sheet1__11[[#This Row],[00:00:00]:[23:00:00]])</f>
        <v>87.083333333333329</v>
      </c>
      <c r="AA7" t="str" cm="1">
        <f t="array" ref="AA7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8" spans="1:27" x14ac:dyDescent="0.3">
      <c r="A8" s="1">
        <v>45968</v>
      </c>
      <c r="B8">
        <v>101</v>
      </c>
      <c r="C8">
        <v>94</v>
      </c>
      <c r="D8">
        <v>94</v>
      </c>
      <c r="E8">
        <v>95</v>
      </c>
      <c r="F8">
        <v>96</v>
      </c>
      <c r="G8">
        <v>95</v>
      </c>
      <c r="H8">
        <v>96</v>
      </c>
      <c r="I8">
        <v>101</v>
      </c>
      <c r="J8">
        <v>103</v>
      </c>
      <c r="K8">
        <v>105</v>
      </c>
      <c r="L8">
        <v>107</v>
      </c>
      <c r="M8">
        <v>108</v>
      </c>
      <c r="N8">
        <v>108</v>
      </c>
      <c r="O8">
        <v>109</v>
      </c>
      <c r="P8">
        <v>109</v>
      </c>
      <c r="Q8">
        <v>110</v>
      </c>
      <c r="R8">
        <v>113</v>
      </c>
      <c r="S8">
        <v>114</v>
      </c>
      <c r="T8">
        <v>114</v>
      </c>
      <c r="U8">
        <v>113</v>
      </c>
      <c r="V8">
        <v>112</v>
      </c>
      <c r="W8">
        <v>111</v>
      </c>
      <c r="X8">
        <v>104</v>
      </c>
      <c r="Y8">
        <v>107</v>
      </c>
      <c r="Z8" s="2">
        <f>AVERAGE(Sheet1__11[[#This Row],[00:00:00]:[23:00:00]])</f>
        <v>104.95833333333333</v>
      </c>
      <c r="AA8" t="str" cm="1">
        <f t="array" ref="AA8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9" spans="1:27" x14ac:dyDescent="0.3">
      <c r="A9" s="1">
        <v>45969</v>
      </c>
      <c r="B9">
        <v>107</v>
      </c>
      <c r="C9">
        <v>109</v>
      </c>
      <c r="E9">
        <v>108</v>
      </c>
      <c r="F9">
        <v>109</v>
      </c>
      <c r="G9">
        <v>109</v>
      </c>
      <c r="H9">
        <v>109</v>
      </c>
      <c r="I9">
        <v>109</v>
      </c>
      <c r="J9">
        <v>109</v>
      </c>
      <c r="K9">
        <v>109</v>
      </c>
      <c r="L9">
        <v>109</v>
      </c>
      <c r="M9">
        <v>110</v>
      </c>
      <c r="N9">
        <v>112</v>
      </c>
      <c r="O9">
        <v>112</v>
      </c>
      <c r="P9">
        <v>112</v>
      </c>
      <c r="Q9">
        <v>112</v>
      </c>
      <c r="R9">
        <v>112</v>
      </c>
      <c r="S9">
        <v>111</v>
      </c>
      <c r="T9">
        <v>111</v>
      </c>
      <c r="U9">
        <v>109</v>
      </c>
      <c r="V9">
        <v>107</v>
      </c>
      <c r="W9">
        <v>106</v>
      </c>
      <c r="X9">
        <v>104</v>
      </c>
      <c r="Y9">
        <v>103</v>
      </c>
      <c r="Z9" s="2">
        <f>AVERAGE(Sheet1__11[[#This Row],[00:00:00]:[23:00:00]])</f>
        <v>109.04347826086956</v>
      </c>
      <c r="AA9" t="str" cm="1">
        <f t="array" ref="AA9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0" spans="1:27" x14ac:dyDescent="0.3">
      <c r="A10" s="1">
        <v>45970</v>
      </c>
      <c r="B10">
        <v>102</v>
      </c>
      <c r="C10">
        <v>102</v>
      </c>
      <c r="D10">
        <v>101</v>
      </c>
      <c r="E10">
        <v>100</v>
      </c>
      <c r="F10">
        <v>99</v>
      </c>
      <c r="G10">
        <v>99</v>
      </c>
      <c r="H10">
        <v>98</v>
      </c>
      <c r="I10">
        <v>97</v>
      </c>
      <c r="J10">
        <v>92</v>
      </c>
      <c r="K10">
        <v>97</v>
      </c>
      <c r="L10">
        <v>95</v>
      </c>
      <c r="M10">
        <v>93</v>
      </c>
      <c r="N10">
        <v>92</v>
      </c>
      <c r="O10">
        <v>91</v>
      </c>
      <c r="P10">
        <v>90</v>
      </c>
      <c r="Q10">
        <v>90</v>
      </c>
      <c r="R10">
        <v>90</v>
      </c>
      <c r="S10">
        <v>94</v>
      </c>
      <c r="T10">
        <v>96</v>
      </c>
      <c r="U10">
        <v>96</v>
      </c>
      <c r="V10">
        <v>94</v>
      </c>
      <c r="W10">
        <v>92</v>
      </c>
      <c r="X10">
        <v>91</v>
      </c>
      <c r="Y10">
        <v>90</v>
      </c>
      <c r="Z10" s="2">
        <f>AVERAGE(Sheet1__11[[#This Row],[00:00:00]:[23:00:00]])</f>
        <v>95.041666666666671</v>
      </c>
      <c r="AA10" t="str" cm="1">
        <f t="array" ref="AA10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11" spans="1:27" x14ac:dyDescent="0.3">
      <c r="A11" s="1">
        <v>45971</v>
      </c>
      <c r="B11">
        <v>89</v>
      </c>
      <c r="C11">
        <v>88</v>
      </c>
      <c r="D11">
        <v>88</v>
      </c>
      <c r="E11">
        <v>87</v>
      </c>
      <c r="F11">
        <v>87</v>
      </c>
      <c r="G11">
        <v>86</v>
      </c>
      <c r="H11">
        <v>85</v>
      </c>
      <c r="I11">
        <v>85</v>
      </c>
      <c r="J11">
        <v>86</v>
      </c>
      <c r="K11">
        <v>86</v>
      </c>
      <c r="L11">
        <v>86</v>
      </c>
      <c r="M11">
        <v>87</v>
      </c>
      <c r="N11">
        <v>86</v>
      </c>
      <c r="O11">
        <v>97</v>
      </c>
      <c r="P11">
        <v>101</v>
      </c>
      <c r="Q11">
        <v>100</v>
      </c>
      <c r="R11">
        <v>101</v>
      </c>
      <c r="S11">
        <v>101</v>
      </c>
      <c r="T11">
        <v>102</v>
      </c>
      <c r="U11">
        <v>103</v>
      </c>
      <c r="V11">
        <v>105</v>
      </c>
      <c r="W11">
        <v>107</v>
      </c>
      <c r="X11">
        <v>109</v>
      </c>
      <c r="Y11">
        <v>110</v>
      </c>
      <c r="Z11" s="2">
        <f>AVERAGE(Sheet1__11[[#This Row],[00:00:00]:[23:00:00]])</f>
        <v>94.25</v>
      </c>
      <c r="AA11" t="str" cm="1">
        <f t="array" ref="AA1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12" spans="1:27" x14ac:dyDescent="0.3">
      <c r="A12" s="1">
        <v>45972</v>
      </c>
      <c r="B12">
        <v>111</v>
      </c>
      <c r="C12">
        <v>100</v>
      </c>
      <c r="D12">
        <v>101</v>
      </c>
      <c r="E12">
        <v>101</v>
      </c>
      <c r="F12">
        <v>102</v>
      </c>
      <c r="G12">
        <v>102</v>
      </c>
      <c r="H12">
        <v>103</v>
      </c>
      <c r="I12">
        <v>105</v>
      </c>
      <c r="J12">
        <v>104</v>
      </c>
      <c r="K12">
        <v>104</v>
      </c>
      <c r="L12">
        <v>103</v>
      </c>
      <c r="M12">
        <v>103</v>
      </c>
      <c r="N12">
        <v>104</v>
      </c>
      <c r="O12">
        <v>105</v>
      </c>
      <c r="P12">
        <v>106</v>
      </c>
      <c r="Q12">
        <v>107</v>
      </c>
      <c r="R12">
        <v>107</v>
      </c>
      <c r="S12">
        <v>107</v>
      </c>
      <c r="T12">
        <v>108</v>
      </c>
      <c r="U12">
        <v>108</v>
      </c>
      <c r="V12">
        <v>109</v>
      </c>
      <c r="W12">
        <v>109</v>
      </c>
      <c r="X12">
        <v>110</v>
      </c>
      <c r="Y12">
        <v>111</v>
      </c>
      <c r="Z12" s="2">
        <f>AVERAGE(Sheet1__11[[#This Row],[00:00:00]:[23:00:00]])</f>
        <v>105.41666666666667</v>
      </c>
      <c r="AA12" t="str" cm="1">
        <f t="array" ref="AA12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3" spans="1:27" x14ac:dyDescent="0.3">
      <c r="A13" s="1">
        <v>45973</v>
      </c>
      <c r="B13">
        <v>113</v>
      </c>
      <c r="C13">
        <v>115</v>
      </c>
      <c r="D13">
        <v>119</v>
      </c>
      <c r="E13">
        <v>120</v>
      </c>
      <c r="F13">
        <v>121</v>
      </c>
      <c r="G13">
        <v>122</v>
      </c>
      <c r="H13">
        <v>123</v>
      </c>
      <c r="I13">
        <v>124</v>
      </c>
      <c r="J13">
        <v>124</v>
      </c>
      <c r="K13">
        <v>126</v>
      </c>
      <c r="L13">
        <v>126</v>
      </c>
      <c r="M13">
        <v>127</v>
      </c>
      <c r="N13">
        <v>128</v>
      </c>
      <c r="O13">
        <v>130</v>
      </c>
      <c r="P13">
        <v>135</v>
      </c>
      <c r="Q13">
        <v>135</v>
      </c>
      <c r="R13">
        <v>134</v>
      </c>
      <c r="S13">
        <v>133</v>
      </c>
      <c r="T13">
        <v>132</v>
      </c>
      <c r="U13">
        <v>132</v>
      </c>
      <c r="V13">
        <v>126</v>
      </c>
      <c r="W13">
        <v>128</v>
      </c>
      <c r="X13">
        <v>125</v>
      </c>
      <c r="Y13">
        <v>125</v>
      </c>
      <c r="Z13" s="2">
        <f>AVERAGE(Sheet1__11[[#This Row],[00:00:00]:[23:00:00]])</f>
        <v>125.95833333333333</v>
      </c>
      <c r="AA13" t="str" cm="1">
        <f t="array" ref="AA13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4" spans="1:27" x14ac:dyDescent="0.3">
      <c r="A14" s="1">
        <v>45974</v>
      </c>
      <c r="B14">
        <v>127</v>
      </c>
      <c r="C14">
        <v>128</v>
      </c>
      <c r="D14">
        <v>132</v>
      </c>
      <c r="E14">
        <v>134</v>
      </c>
      <c r="F14">
        <v>134</v>
      </c>
      <c r="G14">
        <v>135</v>
      </c>
      <c r="H14">
        <v>136</v>
      </c>
      <c r="I14">
        <v>137</v>
      </c>
      <c r="J14">
        <v>138</v>
      </c>
      <c r="K14">
        <v>139</v>
      </c>
      <c r="L14">
        <v>140</v>
      </c>
      <c r="M14">
        <v>140</v>
      </c>
      <c r="N14">
        <v>146</v>
      </c>
      <c r="O14">
        <v>146</v>
      </c>
      <c r="P14">
        <v>146</v>
      </c>
      <c r="Q14">
        <v>146</v>
      </c>
      <c r="R14">
        <v>165</v>
      </c>
      <c r="S14">
        <v>160</v>
      </c>
      <c r="T14">
        <v>160</v>
      </c>
      <c r="U14">
        <v>148</v>
      </c>
      <c r="V14">
        <v>143</v>
      </c>
      <c r="W14">
        <v>144</v>
      </c>
      <c r="X14">
        <v>144</v>
      </c>
      <c r="Y14">
        <v>142</v>
      </c>
      <c r="Z14" s="2">
        <f>AVERAGE(Sheet1__11[[#This Row],[00:00:00]:[23:00:00]])</f>
        <v>142.08333333333334</v>
      </c>
      <c r="AA14" t="str" cm="1">
        <f t="array" ref="AA14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5" spans="1:27" x14ac:dyDescent="0.3">
      <c r="A15" s="1">
        <v>45975</v>
      </c>
      <c r="B15">
        <v>142</v>
      </c>
      <c r="C15">
        <v>142</v>
      </c>
      <c r="D15">
        <v>141</v>
      </c>
      <c r="E15">
        <v>142</v>
      </c>
      <c r="F15">
        <v>141</v>
      </c>
      <c r="G15">
        <v>142</v>
      </c>
      <c r="H15">
        <v>140</v>
      </c>
      <c r="I15">
        <v>140</v>
      </c>
      <c r="J15">
        <v>140</v>
      </c>
      <c r="K15">
        <v>139</v>
      </c>
      <c r="L15">
        <v>139</v>
      </c>
      <c r="M15">
        <v>140</v>
      </c>
      <c r="N15">
        <v>139</v>
      </c>
      <c r="O15">
        <v>139</v>
      </c>
      <c r="P15">
        <v>138</v>
      </c>
      <c r="Q15">
        <v>138</v>
      </c>
      <c r="R15">
        <v>138</v>
      </c>
      <c r="S15">
        <v>138</v>
      </c>
      <c r="T15">
        <v>138</v>
      </c>
      <c r="U15">
        <v>139</v>
      </c>
      <c r="V15">
        <v>141</v>
      </c>
      <c r="W15">
        <v>141</v>
      </c>
      <c r="X15">
        <v>141</v>
      </c>
      <c r="Y15">
        <v>142</v>
      </c>
      <c r="Z15" s="2">
        <f>AVERAGE(Sheet1__11[[#This Row],[00:00:00]:[23:00:00]])</f>
        <v>140</v>
      </c>
      <c r="AA15" t="str" cm="1">
        <f t="array" ref="AA15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6" spans="1:27" x14ac:dyDescent="0.3">
      <c r="A16" s="1">
        <v>45976</v>
      </c>
      <c r="B16">
        <v>142</v>
      </c>
      <c r="C16">
        <v>142</v>
      </c>
      <c r="D16">
        <v>143</v>
      </c>
      <c r="E16">
        <v>144</v>
      </c>
      <c r="F16">
        <v>145</v>
      </c>
      <c r="G16">
        <v>145</v>
      </c>
      <c r="H16">
        <v>146</v>
      </c>
      <c r="I16">
        <v>146</v>
      </c>
      <c r="J16">
        <v>147</v>
      </c>
      <c r="K16">
        <v>148</v>
      </c>
      <c r="L16">
        <v>148</v>
      </c>
      <c r="M16">
        <v>148</v>
      </c>
      <c r="N16">
        <v>148</v>
      </c>
      <c r="O16">
        <v>148</v>
      </c>
      <c r="P16">
        <v>149</v>
      </c>
      <c r="Q16">
        <v>149</v>
      </c>
      <c r="R16">
        <v>149</v>
      </c>
      <c r="S16">
        <v>149</v>
      </c>
      <c r="T16">
        <v>149</v>
      </c>
      <c r="U16">
        <v>149</v>
      </c>
      <c r="V16">
        <v>149</v>
      </c>
      <c r="W16">
        <v>149</v>
      </c>
      <c r="X16">
        <v>150</v>
      </c>
      <c r="Y16">
        <v>150</v>
      </c>
      <c r="Z16" s="2">
        <f>AVERAGE(Sheet1__11[[#This Row],[00:00:00]:[23:00:00]])</f>
        <v>147.16666666666666</v>
      </c>
      <c r="AA16" t="str" cm="1">
        <f t="array" ref="AA16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7" spans="1:27" x14ac:dyDescent="0.3">
      <c r="A17" s="1">
        <v>45977</v>
      </c>
      <c r="B17">
        <v>145</v>
      </c>
      <c r="C17">
        <v>145</v>
      </c>
      <c r="D17">
        <v>150</v>
      </c>
      <c r="E17">
        <v>150</v>
      </c>
      <c r="F17">
        <v>151</v>
      </c>
      <c r="G17">
        <v>152</v>
      </c>
      <c r="H17">
        <v>153</v>
      </c>
      <c r="I17">
        <v>153</v>
      </c>
      <c r="J17">
        <v>155</v>
      </c>
      <c r="K17">
        <v>157</v>
      </c>
      <c r="L17">
        <v>157</v>
      </c>
      <c r="M17">
        <v>158</v>
      </c>
      <c r="N17">
        <v>157</v>
      </c>
      <c r="O17">
        <v>157</v>
      </c>
      <c r="P17">
        <v>162</v>
      </c>
      <c r="Q17">
        <v>162</v>
      </c>
      <c r="R17">
        <v>162</v>
      </c>
      <c r="S17">
        <v>162</v>
      </c>
      <c r="T17">
        <v>162</v>
      </c>
      <c r="U17">
        <v>161</v>
      </c>
      <c r="V17">
        <v>169</v>
      </c>
      <c r="W17">
        <v>169</v>
      </c>
      <c r="X17">
        <v>168</v>
      </c>
      <c r="Y17">
        <v>166</v>
      </c>
      <c r="Z17" s="2">
        <f>AVERAGE(Sheet1__11[[#This Row],[00:00:00]:[23:00:00]])</f>
        <v>157.625</v>
      </c>
      <c r="AA17" t="str" cm="1">
        <f t="array" ref="AA17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18" spans="1:27" x14ac:dyDescent="0.3">
      <c r="A18" s="1">
        <v>45978</v>
      </c>
      <c r="B18">
        <v>164</v>
      </c>
      <c r="C18">
        <v>162</v>
      </c>
      <c r="D18">
        <v>160</v>
      </c>
      <c r="E18">
        <v>163</v>
      </c>
      <c r="F18">
        <v>157</v>
      </c>
      <c r="G18">
        <v>155</v>
      </c>
      <c r="H18">
        <v>155</v>
      </c>
      <c r="I18">
        <v>151</v>
      </c>
      <c r="J18">
        <v>149</v>
      </c>
      <c r="K18">
        <v>149</v>
      </c>
      <c r="L18">
        <v>147</v>
      </c>
      <c r="M18">
        <v>147</v>
      </c>
      <c r="N18">
        <v>147</v>
      </c>
      <c r="O18">
        <v>147</v>
      </c>
      <c r="P18">
        <v>149</v>
      </c>
      <c r="Q18">
        <v>148</v>
      </c>
      <c r="R18">
        <v>144</v>
      </c>
      <c r="S18">
        <v>145</v>
      </c>
      <c r="T18">
        <v>148</v>
      </c>
      <c r="U18">
        <v>151</v>
      </c>
      <c r="V18">
        <v>151</v>
      </c>
      <c r="W18">
        <v>150</v>
      </c>
      <c r="X18">
        <v>150</v>
      </c>
      <c r="Y18">
        <v>150</v>
      </c>
      <c r="Z18" s="2">
        <f>AVERAGE(Sheet1__11[[#This Row],[00:00:00]:[23:00:00]])</f>
        <v>151.625</v>
      </c>
      <c r="AA18" t="str" cm="1">
        <f t="array" ref="AA18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19" spans="1:27" x14ac:dyDescent="0.3">
      <c r="A19" s="1">
        <v>45979</v>
      </c>
      <c r="B19">
        <v>156</v>
      </c>
      <c r="C19">
        <v>157</v>
      </c>
      <c r="D19">
        <v>157</v>
      </c>
      <c r="E19">
        <v>153</v>
      </c>
      <c r="F19">
        <v>154</v>
      </c>
      <c r="G19">
        <v>154</v>
      </c>
      <c r="H19">
        <v>156</v>
      </c>
      <c r="I19">
        <v>157</v>
      </c>
      <c r="J19">
        <v>159</v>
      </c>
      <c r="K19">
        <v>160</v>
      </c>
      <c r="L19">
        <v>161</v>
      </c>
      <c r="M19">
        <v>162</v>
      </c>
      <c r="N19">
        <v>162</v>
      </c>
      <c r="O19">
        <v>163</v>
      </c>
      <c r="P19">
        <v>164</v>
      </c>
      <c r="Q19">
        <v>165</v>
      </c>
      <c r="R19">
        <v>165</v>
      </c>
      <c r="S19">
        <v>167</v>
      </c>
      <c r="T19">
        <v>168</v>
      </c>
      <c r="U19">
        <v>170</v>
      </c>
      <c r="V19">
        <v>172</v>
      </c>
      <c r="W19">
        <v>175</v>
      </c>
      <c r="X19">
        <v>177</v>
      </c>
      <c r="Y19">
        <v>179</v>
      </c>
      <c r="Z19" s="2">
        <f>AVERAGE(Sheet1__11[[#This Row],[00:00:00]:[23:00:00]])</f>
        <v>163.04166666666666</v>
      </c>
      <c r="AA19" t="str" cm="1">
        <f t="array" ref="AA19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0" spans="1:27" x14ac:dyDescent="0.3">
      <c r="A20" s="1">
        <v>45980</v>
      </c>
      <c r="B20">
        <v>184</v>
      </c>
      <c r="C20">
        <v>186</v>
      </c>
      <c r="D20">
        <v>191</v>
      </c>
      <c r="E20">
        <v>194</v>
      </c>
      <c r="F20">
        <v>197</v>
      </c>
      <c r="G20">
        <v>199</v>
      </c>
      <c r="H20">
        <v>199</v>
      </c>
      <c r="I20">
        <v>184</v>
      </c>
      <c r="J20">
        <v>184</v>
      </c>
      <c r="K20">
        <v>185</v>
      </c>
      <c r="L20">
        <v>185</v>
      </c>
      <c r="M20">
        <v>186</v>
      </c>
      <c r="N20">
        <v>192</v>
      </c>
      <c r="O20">
        <v>193</v>
      </c>
      <c r="P20">
        <v>195</v>
      </c>
      <c r="Q20">
        <v>189</v>
      </c>
      <c r="R20">
        <v>190</v>
      </c>
      <c r="S20">
        <v>190</v>
      </c>
      <c r="T20">
        <v>189</v>
      </c>
      <c r="U20">
        <v>191</v>
      </c>
      <c r="V20">
        <v>191</v>
      </c>
      <c r="W20">
        <v>191</v>
      </c>
      <c r="X20">
        <v>192</v>
      </c>
      <c r="Y20">
        <v>192</v>
      </c>
      <c r="Z20" s="2">
        <f>AVERAGE(Sheet1__11[[#This Row],[00:00:00]:[23:00:00]])</f>
        <v>190.375</v>
      </c>
      <c r="AA20" t="str" cm="1">
        <f t="array" ref="AA20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1" spans="1:27" x14ac:dyDescent="0.3">
      <c r="A21" s="1">
        <v>45981</v>
      </c>
      <c r="B21">
        <v>193</v>
      </c>
      <c r="C21">
        <v>191</v>
      </c>
      <c r="D21">
        <v>190</v>
      </c>
      <c r="E21">
        <v>188</v>
      </c>
      <c r="F21">
        <v>186</v>
      </c>
      <c r="G21">
        <v>183</v>
      </c>
      <c r="I21">
        <v>182</v>
      </c>
      <c r="J21">
        <v>182</v>
      </c>
      <c r="K21">
        <v>181</v>
      </c>
      <c r="L21">
        <v>182</v>
      </c>
      <c r="M21">
        <v>183</v>
      </c>
      <c r="N21">
        <v>183</v>
      </c>
      <c r="O21">
        <v>183</v>
      </c>
      <c r="P21">
        <v>183</v>
      </c>
      <c r="Q21">
        <v>183</v>
      </c>
      <c r="R21">
        <v>183</v>
      </c>
      <c r="S21">
        <v>183</v>
      </c>
      <c r="T21">
        <v>182</v>
      </c>
      <c r="U21">
        <v>182</v>
      </c>
      <c r="V21">
        <v>182</v>
      </c>
      <c r="W21">
        <v>182</v>
      </c>
      <c r="X21">
        <v>181</v>
      </c>
      <c r="Y21">
        <v>181</v>
      </c>
      <c r="Z21" s="2">
        <f>AVERAGE(Sheet1__11[[#This Row],[00:00:00]:[23:00:00]])</f>
        <v>183.86956521739131</v>
      </c>
      <c r="AA21" t="str" cm="1">
        <f t="array" ref="AA2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2" spans="1:27" x14ac:dyDescent="0.3">
      <c r="A22" s="1">
        <v>45982</v>
      </c>
      <c r="B22">
        <v>181</v>
      </c>
      <c r="C22">
        <v>180</v>
      </c>
      <c r="D22">
        <v>172</v>
      </c>
      <c r="E22">
        <v>172</v>
      </c>
      <c r="F22">
        <v>173</v>
      </c>
      <c r="G22">
        <v>178</v>
      </c>
      <c r="H22">
        <v>180</v>
      </c>
      <c r="I22">
        <v>182</v>
      </c>
      <c r="J22">
        <v>183</v>
      </c>
      <c r="K22">
        <v>183</v>
      </c>
      <c r="L22">
        <v>183</v>
      </c>
      <c r="M22">
        <v>183</v>
      </c>
      <c r="N22">
        <v>183</v>
      </c>
      <c r="O22">
        <v>183</v>
      </c>
      <c r="P22">
        <v>182</v>
      </c>
      <c r="Q22">
        <v>183</v>
      </c>
      <c r="R22">
        <v>183</v>
      </c>
      <c r="S22">
        <v>183</v>
      </c>
      <c r="T22">
        <v>184</v>
      </c>
      <c r="U22">
        <v>184</v>
      </c>
      <c r="V22">
        <v>184</v>
      </c>
      <c r="W22">
        <v>185</v>
      </c>
      <c r="X22">
        <v>186</v>
      </c>
      <c r="Y22">
        <v>187</v>
      </c>
      <c r="Z22" s="2">
        <f>AVERAGE(Sheet1__11[[#This Row],[00:00:00]:[23:00:00]])</f>
        <v>181.54166666666666</v>
      </c>
      <c r="AA22" t="str" cm="1">
        <f t="array" ref="AA22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3" spans="1:27" x14ac:dyDescent="0.3">
      <c r="A23" s="1">
        <v>45983</v>
      </c>
      <c r="B23">
        <v>188</v>
      </c>
      <c r="C23">
        <v>189</v>
      </c>
      <c r="D23">
        <v>190</v>
      </c>
      <c r="E23">
        <v>191</v>
      </c>
      <c r="F23">
        <v>190</v>
      </c>
      <c r="G23">
        <v>191</v>
      </c>
      <c r="H23">
        <v>190</v>
      </c>
      <c r="I23">
        <v>190</v>
      </c>
      <c r="J23">
        <v>190</v>
      </c>
      <c r="K23">
        <v>189</v>
      </c>
      <c r="L23">
        <v>200</v>
      </c>
      <c r="M23">
        <v>200</v>
      </c>
      <c r="N23">
        <v>199</v>
      </c>
      <c r="O23">
        <v>200</v>
      </c>
      <c r="P23">
        <v>199</v>
      </c>
      <c r="Q23">
        <v>198</v>
      </c>
      <c r="R23">
        <v>197</v>
      </c>
      <c r="S23">
        <v>196</v>
      </c>
      <c r="T23">
        <v>199</v>
      </c>
      <c r="U23">
        <v>196</v>
      </c>
      <c r="V23">
        <v>193</v>
      </c>
      <c r="W23">
        <v>190</v>
      </c>
      <c r="X23">
        <v>185</v>
      </c>
      <c r="Y23">
        <v>180</v>
      </c>
      <c r="Z23" s="2">
        <f>AVERAGE(Sheet1__11[[#This Row],[00:00:00]:[23:00:00]])</f>
        <v>192.91666666666666</v>
      </c>
      <c r="AA23" t="str" cm="1">
        <f t="array" ref="AA23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4" spans="1:27" x14ac:dyDescent="0.3">
      <c r="A24" s="1">
        <v>45984</v>
      </c>
      <c r="B24">
        <v>175</v>
      </c>
      <c r="C24">
        <v>170</v>
      </c>
      <c r="D24">
        <v>166</v>
      </c>
      <c r="E24">
        <v>162</v>
      </c>
      <c r="F24">
        <v>160</v>
      </c>
      <c r="G24">
        <v>156</v>
      </c>
      <c r="H24">
        <v>153</v>
      </c>
      <c r="I24">
        <v>147</v>
      </c>
      <c r="J24">
        <v>143</v>
      </c>
      <c r="K24">
        <v>140</v>
      </c>
      <c r="L24">
        <v>138</v>
      </c>
      <c r="M24">
        <v>139</v>
      </c>
      <c r="N24">
        <v>139</v>
      </c>
      <c r="O24">
        <v>139</v>
      </c>
      <c r="P24">
        <v>138</v>
      </c>
      <c r="Q24">
        <v>138</v>
      </c>
      <c r="R24">
        <v>138</v>
      </c>
      <c r="S24">
        <v>138</v>
      </c>
      <c r="T24">
        <v>138</v>
      </c>
      <c r="U24">
        <v>138</v>
      </c>
      <c r="V24">
        <v>138</v>
      </c>
      <c r="W24">
        <v>137</v>
      </c>
      <c r="X24">
        <v>136</v>
      </c>
      <c r="Y24">
        <v>136</v>
      </c>
      <c r="Z24" s="2">
        <f>AVERAGE(Sheet1__11[[#This Row],[00:00:00]:[23:00:00]])</f>
        <v>145.91666666666666</v>
      </c>
      <c r="AA24" t="str" cm="1">
        <f t="array" ref="AA24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5" spans="1:27" x14ac:dyDescent="0.3">
      <c r="A25" s="1">
        <v>45985</v>
      </c>
      <c r="B25">
        <v>134</v>
      </c>
      <c r="C25">
        <v>133</v>
      </c>
      <c r="D25">
        <v>132</v>
      </c>
      <c r="E25">
        <v>130</v>
      </c>
      <c r="F25">
        <v>127</v>
      </c>
      <c r="G25">
        <v>125</v>
      </c>
      <c r="H25">
        <v>125</v>
      </c>
      <c r="I25">
        <v>124</v>
      </c>
      <c r="J25">
        <v>121</v>
      </c>
      <c r="K25">
        <v>120</v>
      </c>
      <c r="L25">
        <v>119</v>
      </c>
      <c r="M25">
        <v>119</v>
      </c>
      <c r="N25">
        <v>114</v>
      </c>
      <c r="O25">
        <v>113</v>
      </c>
      <c r="P25">
        <v>113</v>
      </c>
      <c r="Q25">
        <v>112</v>
      </c>
      <c r="R25">
        <v>113</v>
      </c>
      <c r="S25">
        <v>114</v>
      </c>
      <c r="T25">
        <v>116</v>
      </c>
      <c r="U25">
        <v>118</v>
      </c>
      <c r="V25">
        <v>118</v>
      </c>
      <c r="W25">
        <v>120</v>
      </c>
      <c r="X25">
        <v>121</v>
      </c>
      <c r="Y25">
        <v>118</v>
      </c>
      <c r="Z25" s="2">
        <f>AVERAGE(Sheet1__11[[#This Row],[00:00:00]:[23:00:00]])</f>
        <v>120.79166666666667</v>
      </c>
      <c r="AA25" t="str" cm="1">
        <f t="array" ref="AA25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6" spans="1:27" x14ac:dyDescent="0.3">
      <c r="A26" s="1">
        <v>45986</v>
      </c>
      <c r="B26">
        <v>119</v>
      </c>
      <c r="C26">
        <v>120</v>
      </c>
      <c r="D26">
        <v>130</v>
      </c>
      <c r="E26">
        <v>124</v>
      </c>
      <c r="F26">
        <v>127</v>
      </c>
      <c r="G26">
        <v>127</v>
      </c>
      <c r="H26">
        <v>129</v>
      </c>
      <c r="I26">
        <v>131</v>
      </c>
      <c r="J26">
        <v>134</v>
      </c>
      <c r="K26">
        <v>129</v>
      </c>
      <c r="L26">
        <v>131</v>
      </c>
      <c r="M26">
        <v>132</v>
      </c>
      <c r="N26">
        <v>133</v>
      </c>
      <c r="O26">
        <v>132</v>
      </c>
      <c r="P26">
        <v>132</v>
      </c>
      <c r="Q26">
        <v>132</v>
      </c>
      <c r="R26">
        <v>132</v>
      </c>
      <c r="S26">
        <v>131</v>
      </c>
      <c r="T26">
        <v>130</v>
      </c>
      <c r="U26">
        <v>130</v>
      </c>
      <c r="V26">
        <v>130</v>
      </c>
      <c r="W26">
        <v>130</v>
      </c>
      <c r="X26">
        <v>130</v>
      </c>
      <c r="Y26">
        <v>129</v>
      </c>
      <c r="Z26" s="2">
        <f>AVERAGE(Sheet1__11[[#This Row],[00:00:00]:[23:00:00]])</f>
        <v>129.33333333333334</v>
      </c>
      <c r="AA26" t="str" cm="1">
        <f t="array" ref="AA26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7" spans="1:27" x14ac:dyDescent="0.3">
      <c r="A27" s="1">
        <v>45987</v>
      </c>
      <c r="B27">
        <v>130</v>
      </c>
      <c r="C27">
        <v>129</v>
      </c>
      <c r="D27">
        <v>129</v>
      </c>
      <c r="E27">
        <v>130</v>
      </c>
      <c r="F27">
        <v>130</v>
      </c>
      <c r="G27">
        <v>131</v>
      </c>
      <c r="H27">
        <v>132</v>
      </c>
      <c r="I27">
        <v>133</v>
      </c>
      <c r="J27">
        <v>132</v>
      </c>
      <c r="K27">
        <v>134</v>
      </c>
      <c r="L27">
        <v>134</v>
      </c>
      <c r="M27">
        <v>134</v>
      </c>
      <c r="N27">
        <v>135</v>
      </c>
      <c r="O27">
        <v>136</v>
      </c>
      <c r="P27">
        <v>132</v>
      </c>
      <c r="Q27">
        <v>132</v>
      </c>
      <c r="R27">
        <v>132</v>
      </c>
      <c r="S27">
        <v>133</v>
      </c>
      <c r="T27">
        <v>134</v>
      </c>
      <c r="U27">
        <v>135</v>
      </c>
      <c r="V27">
        <v>135</v>
      </c>
      <c r="W27">
        <v>135</v>
      </c>
      <c r="X27">
        <v>140</v>
      </c>
      <c r="Y27">
        <v>140</v>
      </c>
      <c r="Z27" s="2">
        <f>AVERAGE(Sheet1__11[[#This Row],[00:00:00]:[23:00:00]])</f>
        <v>133.20833333333334</v>
      </c>
      <c r="AA27" t="str" cm="1">
        <f t="array" ref="AA27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8" spans="1:27" x14ac:dyDescent="0.3">
      <c r="A28" s="1">
        <v>45988</v>
      </c>
      <c r="C28">
        <v>140</v>
      </c>
      <c r="D28">
        <v>141</v>
      </c>
      <c r="E28">
        <v>142</v>
      </c>
      <c r="F28">
        <v>142</v>
      </c>
      <c r="G28">
        <v>143</v>
      </c>
      <c r="H28">
        <v>142</v>
      </c>
      <c r="I28">
        <v>148</v>
      </c>
      <c r="J28">
        <v>150</v>
      </c>
      <c r="K28">
        <v>151</v>
      </c>
      <c r="L28">
        <v>152</v>
      </c>
      <c r="M28">
        <v>153</v>
      </c>
      <c r="N28">
        <v>154</v>
      </c>
      <c r="O28">
        <v>156</v>
      </c>
      <c r="P28">
        <v>141</v>
      </c>
      <c r="Q28">
        <v>142</v>
      </c>
      <c r="R28">
        <v>144</v>
      </c>
      <c r="S28">
        <v>145</v>
      </c>
      <c r="T28">
        <v>146</v>
      </c>
      <c r="U28">
        <v>166</v>
      </c>
      <c r="V28">
        <v>168</v>
      </c>
      <c r="W28">
        <v>169</v>
      </c>
      <c r="X28">
        <v>172</v>
      </c>
      <c r="Y28">
        <v>174</v>
      </c>
      <c r="Z28" s="2">
        <f>AVERAGE(Sheet1__11[[#This Row],[00:00:00]:[23:00:00]])</f>
        <v>151.34782608695653</v>
      </c>
      <c r="AA28" t="str" cm="1">
        <f t="array" ref="AA28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9" spans="1:27" x14ac:dyDescent="0.3">
      <c r="A29" s="1">
        <v>45989</v>
      </c>
      <c r="B29">
        <v>175</v>
      </c>
      <c r="C29">
        <v>177</v>
      </c>
      <c r="D29">
        <v>171</v>
      </c>
      <c r="E29">
        <v>173</v>
      </c>
      <c r="F29">
        <v>174</v>
      </c>
      <c r="G29">
        <v>175</v>
      </c>
      <c r="H29">
        <v>177</v>
      </c>
      <c r="I29">
        <v>180</v>
      </c>
      <c r="J29">
        <v>181</v>
      </c>
      <c r="K29">
        <v>182</v>
      </c>
      <c r="L29">
        <v>185</v>
      </c>
      <c r="M29">
        <v>187</v>
      </c>
      <c r="N29">
        <v>189</v>
      </c>
      <c r="O29">
        <v>191</v>
      </c>
      <c r="P29">
        <v>192</v>
      </c>
      <c r="Q29">
        <v>193</v>
      </c>
      <c r="R29">
        <v>194</v>
      </c>
      <c r="S29">
        <v>195</v>
      </c>
      <c r="T29">
        <v>194</v>
      </c>
      <c r="U29">
        <v>193</v>
      </c>
      <c r="V29">
        <v>195</v>
      </c>
      <c r="W29">
        <v>196</v>
      </c>
      <c r="X29">
        <v>196</v>
      </c>
      <c r="Y29">
        <v>196</v>
      </c>
      <c r="Z29" s="2">
        <f>AVERAGE(Sheet1__11[[#This Row],[00:00:00]:[23:00:00]])</f>
        <v>185.875</v>
      </c>
      <c r="AA29" t="str" cm="1">
        <f t="array" ref="AA29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30" spans="1:27" x14ac:dyDescent="0.3">
      <c r="A30" s="1">
        <v>45990</v>
      </c>
      <c r="B30">
        <v>195</v>
      </c>
      <c r="C30">
        <v>195</v>
      </c>
      <c r="D30">
        <v>195</v>
      </c>
      <c r="E30">
        <v>196</v>
      </c>
      <c r="F30">
        <v>196</v>
      </c>
      <c r="G30">
        <v>197</v>
      </c>
      <c r="H30">
        <v>197</v>
      </c>
      <c r="I30">
        <v>198</v>
      </c>
      <c r="J30">
        <v>198</v>
      </c>
      <c r="K30">
        <v>198</v>
      </c>
      <c r="L30">
        <v>196</v>
      </c>
      <c r="M30">
        <v>194</v>
      </c>
      <c r="N30">
        <v>191</v>
      </c>
      <c r="O30">
        <v>189</v>
      </c>
      <c r="P30">
        <v>187</v>
      </c>
      <c r="Q30">
        <v>186</v>
      </c>
      <c r="R30">
        <v>184</v>
      </c>
      <c r="S30">
        <v>183</v>
      </c>
      <c r="T30">
        <v>183</v>
      </c>
      <c r="U30">
        <v>181</v>
      </c>
      <c r="V30">
        <v>178</v>
      </c>
      <c r="W30">
        <v>177</v>
      </c>
      <c r="X30">
        <v>175</v>
      </c>
      <c r="Y30">
        <v>174</v>
      </c>
      <c r="Z30" s="2">
        <f>AVERAGE(Sheet1__11[[#This Row],[00:00:00]:[23:00:00]])</f>
        <v>189.29166666666666</v>
      </c>
      <c r="AA30" t="str" cm="1">
        <f t="array" ref="AA30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31" spans="1:27" x14ac:dyDescent="0.3">
      <c r="A31" s="1">
        <v>45991</v>
      </c>
      <c r="B31">
        <v>174</v>
      </c>
      <c r="C31">
        <v>173</v>
      </c>
      <c r="D31">
        <v>173</v>
      </c>
      <c r="E31">
        <v>172</v>
      </c>
      <c r="F31">
        <v>172</v>
      </c>
      <c r="G31">
        <v>179</v>
      </c>
      <c r="H31">
        <v>178</v>
      </c>
      <c r="I31">
        <v>177</v>
      </c>
      <c r="J31">
        <v>177</v>
      </c>
      <c r="K31">
        <v>177</v>
      </c>
      <c r="L31">
        <v>178</v>
      </c>
      <c r="M31">
        <v>179</v>
      </c>
      <c r="N31">
        <v>180</v>
      </c>
      <c r="O31">
        <v>181</v>
      </c>
      <c r="P31">
        <v>180</v>
      </c>
      <c r="Q31">
        <v>180</v>
      </c>
      <c r="R31">
        <v>179</v>
      </c>
      <c r="S31">
        <v>179</v>
      </c>
      <c r="T31">
        <v>178</v>
      </c>
      <c r="U31">
        <v>178</v>
      </c>
      <c r="V31">
        <v>180</v>
      </c>
      <c r="W31">
        <v>181</v>
      </c>
      <c r="X31">
        <v>183</v>
      </c>
      <c r="Y31">
        <v>184</v>
      </c>
      <c r="Z31" s="2">
        <f>AVERAGE(Sheet1__11[[#This Row],[00:00:00]:[23:00:00]])</f>
        <v>178</v>
      </c>
      <c r="AA31" t="str" cm="1">
        <f t="array" ref="AA3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32" spans="1:27" x14ac:dyDescent="0.3">
      <c r="Z32" s="2">
        <f>AVERAGE(Sheet1__11[AVERAGE AQI])</f>
        <v>129.57397342995168</v>
      </c>
      <c r="AA32" s="3"/>
    </row>
  </sheetData>
  <conditionalFormatting sqref="AA1:AA1048576">
    <cfRule type="containsText" dxfId="7" priority="4" operator="containsText" text="GOOD">
      <formula>NOT(ISERROR(SEARCH("GOOD",AA1)))</formula>
    </cfRule>
    <cfRule type="containsText" dxfId="8" priority="3" operator="containsText" text="MODERATE">
      <formula>NOT(ISERROR(SEARCH("MODERATE",AA1)))</formula>
    </cfRule>
    <cfRule type="containsText" dxfId="9" priority="2" operator="containsText" text="BAD">
      <formula>NOT(ISERROR(SEARCH("BAD",AA1)))</formula>
    </cfRule>
    <cfRule type="containsText" dxfId="10" priority="1" operator="containsText" text="VERY BAD">
      <formula>NOT(ISERROR(SEARCH("VERY BAD",AA1)))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AD8C-E6DA-4F42-B666-BFD115192EBB}">
  <dimension ref="A1:AA33"/>
  <sheetViews>
    <sheetView tabSelected="1" topLeftCell="R1" workbookViewId="0">
      <selection activeCell="AE6" sqref="AE6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6.332031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27</v>
      </c>
      <c r="AA1" t="s">
        <v>25</v>
      </c>
    </row>
    <row r="2" spans="1:27" x14ac:dyDescent="0.3">
      <c r="A2" s="1">
        <v>45992</v>
      </c>
      <c r="B2">
        <v>185</v>
      </c>
      <c r="C2">
        <v>186</v>
      </c>
      <c r="D2">
        <v>189</v>
      </c>
      <c r="E2">
        <v>191</v>
      </c>
      <c r="F2">
        <v>192</v>
      </c>
      <c r="G2">
        <v>192</v>
      </c>
      <c r="H2">
        <v>193</v>
      </c>
      <c r="I2">
        <v>194</v>
      </c>
      <c r="J2">
        <v>192</v>
      </c>
      <c r="K2">
        <v>189</v>
      </c>
      <c r="L2">
        <v>218</v>
      </c>
      <c r="M2">
        <v>193</v>
      </c>
      <c r="N2">
        <v>195</v>
      </c>
      <c r="O2">
        <v>196</v>
      </c>
      <c r="P2">
        <v>194</v>
      </c>
      <c r="Q2">
        <v>220</v>
      </c>
      <c r="R2">
        <v>220</v>
      </c>
      <c r="S2">
        <v>201</v>
      </c>
      <c r="T2">
        <v>219</v>
      </c>
      <c r="U2">
        <v>220</v>
      </c>
      <c r="V2">
        <v>205</v>
      </c>
      <c r="W2">
        <v>206</v>
      </c>
      <c r="X2">
        <v>223</v>
      </c>
      <c r="Y2">
        <v>207</v>
      </c>
      <c r="Z2" s="2">
        <f>AVERAGE(Sheet1__12[[#This Row],[00:00:00]:[23:00:00]])</f>
        <v>200.83333333333334</v>
      </c>
      <c r="AA2" t="str" cm="1">
        <f t="array" ref="AA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HAZARDOUS</v>
      </c>
    </row>
    <row r="3" spans="1:27" x14ac:dyDescent="0.3">
      <c r="A3" s="1">
        <v>45993</v>
      </c>
      <c r="B3">
        <v>209</v>
      </c>
      <c r="C3">
        <v>210</v>
      </c>
      <c r="D3">
        <v>210</v>
      </c>
      <c r="E3">
        <v>196</v>
      </c>
      <c r="F3">
        <v>196</v>
      </c>
      <c r="G3">
        <v>196</v>
      </c>
      <c r="H3">
        <v>196</v>
      </c>
      <c r="I3">
        <v>195</v>
      </c>
      <c r="J3">
        <v>194</v>
      </c>
      <c r="K3">
        <v>193</v>
      </c>
      <c r="L3">
        <v>194</v>
      </c>
      <c r="M3">
        <v>193</v>
      </c>
      <c r="N3">
        <v>193</v>
      </c>
      <c r="O3">
        <v>194</v>
      </c>
      <c r="P3">
        <v>194</v>
      </c>
      <c r="Q3">
        <v>188</v>
      </c>
      <c r="R3">
        <v>188</v>
      </c>
      <c r="S3">
        <v>189</v>
      </c>
      <c r="T3">
        <v>189</v>
      </c>
      <c r="U3">
        <v>181</v>
      </c>
      <c r="V3">
        <v>179</v>
      </c>
      <c r="W3">
        <v>179</v>
      </c>
      <c r="X3">
        <v>180</v>
      </c>
      <c r="Y3">
        <v>179</v>
      </c>
      <c r="Z3" s="2">
        <f>AVERAGE(Sheet1__12[[#This Row],[00:00:00]:[23:00:00]])</f>
        <v>192.29166666666666</v>
      </c>
      <c r="AA3" t="str" cm="1">
        <f t="array" ref="AA3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4" spans="1:27" x14ac:dyDescent="0.3">
      <c r="A4" s="1">
        <v>45994</v>
      </c>
      <c r="B4">
        <v>179</v>
      </c>
      <c r="C4">
        <v>178</v>
      </c>
      <c r="D4">
        <v>178</v>
      </c>
      <c r="E4">
        <v>177</v>
      </c>
      <c r="F4">
        <v>176</v>
      </c>
      <c r="G4">
        <v>176</v>
      </c>
      <c r="H4">
        <v>176</v>
      </c>
      <c r="I4">
        <v>176</v>
      </c>
      <c r="J4">
        <v>177</v>
      </c>
      <c r="K4">
        <v>178</v>
      </c>
      <c r="L4">
        <v>180</v>
      </c>
      <c r="M4">
        <v>179</v>
      </c>
      <c r="N4">
        <v>179</v>
      </c>
      <c r="O4">
        <v>179</v>
      </c>
      <c r="P4">
        <v>180</v>
      </c>
      <c r="Q4">
        <v>180</v>
      </c>
      <c r="R4">
        <v>181</v>
      </c>
      <c r="S4">
        <v>183</v>
      </c>
      <c r="T4">
        <v>184</v>
      </c>
      <c r="U4">
        <v>185</v>
      </c>
      <c r="V4">
        <v>186</v>
      </c>
      <c r="W4">
        <v>187</v>
      </c>
      <c r="X4">
        <v>189</v>
      </c>
      <c r="Y4">
        <v>190</v>
      </c>
      <c r="Z4" s="2">
        <f>AVERAGE(Sheet1__12[[#This Row],[00:00:00]:[23:00:00]])</f>
        <v>180.54166666666666</v>
      </c>
      <c r="AA4" t="str" cm="1">
        <f t="array" ref="AA4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5" spans="1:27" x14ac:dyDescent="0.3">
      <c r="A5" s="1">
        <v>45995</v>
      </c>
      <c r="B5">
        <v>190</v>
      </c>
      <c r="C5">
        <v>191</v>
      </c>
      <c r="D5">
        <v>192</v>
      </c>
      <c r="E5">
        <v>188</v>
      </c>
      <c r="F5">
        <v>189</v>
      </c>
      <c r="G5">
        <v>190</v>
      </c>
      <c r="H5">
        <v>191</v>
      </c>
      <c r="J5">
        <v>194</v>
      </c>
      <c r="K5">
        <v>194</v>
      </c>
      <c r="L5">
        <v>196</v>
      </c>
      <c r="M5">
        <v>197</v>
      </c>
      <c r="N5">
        <v>197</v>
      </c>
      <c r="O5">
        <v>198</v>
      </c>
      <c r="P5">
        <v>199</v>
      </c>
      <c r="Q5">
        <v>201</v>
      </c>
      <c r="R5">
        <v>202</v>
      </c>
      <c r="S5">
        <v>205</v>
      </c>
      <c r="T5">
        <v>207</v>
      </c>
      <c r="U5">
        <v>211</v>
      </c>
      <c r="V5">
        <v>213</v>
      </c>
      <c r="W5">
        <v>215</v>
      </c>
      <c r="X5">
        <v>215</v>
      </c>
      <c r="Y5">
        <v>217</v>
      </c>
      <c r="Z5" s="2">
        <f>AVERAGE(Sheet1__12[[#This Row],[00:00:00]:[23:00:00]])</f>
        <v>199.65217391304347</v>
      </c>
      <c r="AA5" t="str" cm="1">
        <f t="array" ref="AA5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6" spans="1:27" x14ac:dyDescent="0.3">
      <c r="A6" s="1">
        <v>45996</v>
      </c>
      <c r="B6">
        <v>219</v>
      </c>
      <c r="C6">
        <v>221</v>
      </c>
      <c r="D6">
        <v>221</v>
      </c>
      <c r="E6">
        <v>217</v>
      </c>
      <c r="F6">
        <v>218</v>
      </c>
      <c r="G6">
        <v>219</v>
      </c>
      <c r="H6">
        <v>220</v>
      </c>
      <c r="I6">
        <v>220</v>
      </c>
      <c r="J6">
        <v>220</v>
      </c>
      <c r="K6">
        <v>220</v>
      </c>
      <c r="L6">
        <v>219</v>
      </c>
      <c r="M6">
        <v>219</v>
      </c>
      <c r="N6">
        <v>218</v>
      </c>
      <c r="O6">
        <v>216</v>
      </c>
      <c r="P6">
        <v>214</v>
      </c>
      <c r="Q6">
        <v>212</v>
      </c>
      <c r="R6">
        <v>211</v>
      </c>
      <c r="S6">
        <v>210</v>
      </c>
      <c r="T6">
        <v>209</v>
      </c>
      <c r="U6">
        <v>207</v>
      </c>
      <c r="V6">
        <v>205</v>
      </c>
      <c r="W6">
        <v>204</v>
      </c>
      <c r="X6">
        <v>202</v>
      </c>
      <c r="Y6">
        <v>200</v>
      </c>
      <c r="Z6" s="2">
        <f>AVERAGE(Sheet1__12[[#This Row],[00:00:00]:[23:00:00]])</f>
        <v>214.20833333333334</v>
      </c>
      <c r="AA6" t="str" cm="1">
        <f t="array" ref="AA6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HAZARDOUS</v>
      </c>
    </row>
    <row r="7" spans="1:27" x14ac:dyDescent="0.3">
      <c r="A7" s="1">
        <v>45997</v>
      </c>
      <c r="B7">
        <v>198</v>
      </c>
      <c r="C7">
        <v>196</v>
      </c>
      <c r="D7">
        <v>194</v>
      </c>
      <c r="E7">
        <v>193</v>
      </c>
      <c r="F7">
        <v>190</v>
      </c>
      <c r="G7">
        <v>188</v>
      </c>
      <c r="H7">
        <v>186</v>
      </c>
      <c r="I7">
        <v>184</v>
      </c>
      <c r="J7">
        <v>182</v>
      </c>
      <c r="K7">
        <v>180</v>
      </c>
      <c r="L7">
        <v>179</v>
      </c>
      <c r="M7">
        <v>178</v>
      </c>
      <c r="N7">
        <v>176</v>
      </c>
      <c r="O7">
        <v>174</v>
      </c>
      <c r="P7">
        <v>173</v>
      </c>
      <c r="Q7">
        <v>171</v>
      </c>
      <c r="R7">
        <v>170</v>
      </c>
      <c r="S7">
        <v>168</v>
      </c>
      <c r="T7">
        <v>168</v>
      </c>
      <c r="U7">
        <v>167</v>
      </c>
      <c r="V7">
        <v>165</v>
      </c>
      <c r="W7">
        <v>165</v>
      </c>
      <c r="X7">
        <v>166</v>
      </c>
      <c r="Y7">
        <v>167</v>
      </c>
      <c r="Z7" s="2">
        <f>AVERAGE(Sheet1__12[[#This Row],[00:00:00]:[23:00:00]])</f>
        <v>178.25</v>
      </c>
      <c r="AA7" t="str" cm="1">
        <f t="array" ref="AA7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8" spans="1:27" x14ac:dyDescent="0.3">
      <c r="A8" s="1">
        <v>45998</v>
      </c>
      <c r="B8">
        <v>168</v>
      </c>
      <c r="C8">
        <v>170</v>
      </c>
      <c r="D8">
        <v>170</v>
      </c>
      <c r="E8">
        <v>171</v>
      </c>
      <c r="F8">
        <v>171</v>
      </c>
      <c r="G8">
        <v>171</v>
      </c>
      <c r="H8">
        <v>172</v>
      </c>
      <c r="I8">
        <v>173</v>
      </c>
      <c r="J8">
        <v>174</v>
      </c>
      <c r="K8">
        <v>175</v>
      </c>
      <c r="L8">
        <v>175</v>
      </c>
      <c r="M8">
        <v>177</v>
      </c>
      <c r="N8">
        <v>178</v>
      </c>
      <c r="O8">
        <v>180</v>
      </c>
      <c r="P8">
        <v>180</v>
      </c>
      <c r="Q8">
        <v>174</v>
      </c>
      <c r="R8">
        <v>175</v>
      </c>
      <c r="S8">
        <v>174</v>
      </c>
      <c r="T8">
        <v>173</v>
      </c>
      <c r="U8">
        <v>169</v>
      </c>
      <c r="V8">
        <v>169</v>
      </c>
      <c r="W8">
        <v>168</v>
      </c>
      <c r="X8">
        <v>167</v>
      </c>
      <c r="Y8">
        <v>165</v>
      </c>
      <c r="Z8" s="2">
        <f>AVERAGE(Sheet1__12[[#This Row],[00:00:00]:[23:00:00]])</f>
        <v>172.45833333333334</v>
      </c>
      <c r="AA8" t="str" cm="1">
        <f t="array" ref="AA8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9" spans="1:27" x14ac:dyDescent="0.3">
      <c r="A9" s="1">
        <v>45999</v>
      </c>
      <c r="B9">
        <v>161</v>
      </c>
      <c r="C9">
        <v>165</v>
      </c>
      <c r="D9">
        <v>166</v>
      </c>
      <c r="E9">
        <v>165</v>
      </c>
      <c r="F9">
        <v>182</v>
      </c>
      <c r="G9">
        <v>183</v>
      </c>
      <c r="H9">
        <v>184</v>
      </c>
      <c r="I9">
        <v>207</v>
      </c>
      <c r="J9">
        <v>208</v>
      </c>
      <c r="K9">
        <v>208</v>
      </c>
      <c r="L9">
        <v>208</v>
      </c>
      <c r="M9">
        <v>208</v>
      </c>
      <c r="N9">
        <v>207</v>
      </c>
      <c r="O9">
        <v>209</v>
      </c>
      <c r="P9">
        <v>210</v>
      </c>
      <c r="Q9">
        <v>211</v>
      </c>
      <c r="R9">
        <v>210</v>
      </c>
      <c r="S9">
        <v>207</v>
      </c>
      <c r="T9">
        <v>207</v>
      </c>
      <c r="U9">
        <v>208</v>
      </c>
      <c r="V9">
        <v>208</v>
      </c>
      <c r="W9">
        <v>188</v>
      </c>
      <c r="X9">
        <v>187</v>
      </c>
      <c r="Y9">
        <v>185</v>
      </c>
      <c r="Z9" s="2">
        <f>AVERAGE(Sheet1__12[[#This Row],[00:00:00]:[23:00:00]])</f>
        <v>195.08333333333334</v>
      </c>
      <c r="AA9" t="str" cm="1">
        <f t="array" ref="AA9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10" spans="1:27" x14ac:dyDescent="0.3">
      <c r="A10" s="1">
        <v>46000</v>
      </c>
      <c r="B10">
        <v>183</v>
      </c>
      <c r="C10">
        <v>180</v>
      </c>
      <c r="D10">
        <v>179</v>
      </c>
      <c r="E10">
        <v>177</v>
      </c>
      <c r="F10">
        <v>174</v>
      </c>
      <c r="G10">
        <v>171</v>
      </c>
      <c r="H10">
        <v>169</v>
      </c>
      <c r="I10">
        <v>166</v>
      </c>
      <c r="J10">
        <v>164</v>
      </c>
      <c r="K10">
        <v>162</v>
      </c>
      <c r="L10">
        <v>160</v>
      </c>
      <c r="M10">
        <v>160</v>
      </c>
      <c r="N10">
        <v>155</v>
      </c>
      <c r="O10">
        <v>154</v>
      </c>
      <c r="P10">
        <v>154</v>
      </c>
      <c r="Q10">
        <v>153</v>
      </c>
      <c r="R10">
        <v>151</v>
      </c>
      <c r="S10">
        <v>151</v>
      </c>
      <c r="T10">
        <v>149</v>
      </c>
      <c r="U10">
        <v>147</v>
      </c>
      <c r="V10">
        <v>145</v>
      </c>
      <c r="W10">
        <v>143</v>
      </c>
      <c r="X10">
        <v>142</v>
      </c>
      <c r="Y10">
        <v>142</v>
      </c>
      <c r="Z10" s="2">
        <f>AVERAGE(Sheet1__12[[#This Row],[00:00:00]:[23:00:00]])</f>
        <v>159.625</v>
      </c>
      <c r="AA10" t="str" cm="1">
        <f t="array" ref="AA10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11" spans="1:27" x14ac:dyDescent="0.3">
      <c r="A11" s="1">
        <v>46001</v>
      </c>
      <c r="B11">
        <v>142</v>
      </c>
      <c r="C11">
        <v>142</v>
      </c>
      <c r="D11">
        <v>142</v>
      </c>
      <c r="E11">
        <v>142</v>
      </c>
      <c r="F11">
        <v>142</v>
      </c>
      <c r="G11">
        <v>144</v>
      </c>
      <c r="H11">
        <v>145</v>
      </c>
      <c r="I11">
        <v>146</v>
      </c>
      <c r="J11">
        <v>147</v>
      </c>
      <c r="K11">
        <v>148</v>
      </c>
      <c r="L11">
        <v>148</v>
      </c>
      <c r="M11">
        <v>148</v>
      </c>
      <c r="N11">
        <v>147</v>
      </c>
      <c r="O11">
        <v>146</v>
      </c>
      <c r="P11">
        <v>145</v>
      </c>
      <c r="Q11">
        <v>145</v>
      </c>
      <c r="R11">
        <v>144</v>
      </c>
      <c r="S11">
        <v>143</v>
      </c>
      <c r="T11">
        <v>144</v>
      </c>
      <c r="U11">
        <v>144</v>
      </c>
      <c r="V11">
        <v>154</v>
      </c>
      <c r="W11">
        <v>143</v>
      </c>
      <c r="X11">
        <v>144</v>
      </c>
      <c r="Y11">
        <v>146</v>
      </c>
      <c r="Z11" s="2">
        <f>AVERAGE(Sheet1__12[[#This Row],[00:00:00]:[23:00:00]])</f>
        <v>145.04166666666666</v>
      </c>
      <c r="AA11" t="str" cm="1">
        <f t="array" ref="AA1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2" spans="1:27" x14ac:dyDescent="0.3">
      <c r="A12" s="1">
        <v>46002</v>
      </c>
      <c r="B12">
        <v>147</v>
      </c>
      <c r="C12">
        <v>148</v>
      </c>
      <c r="D12">
        <v>161</v>
      </c>
      <c r="E12">
        <v>163</v>
      </c>
      <c r="F12">
        <v>164</v>
      </c>
      <c r="G12">
        <v>163</v>
      </c>
      <c r="H12">
        <v>163</v>
      </c>
      <c r="I12">
        <v>164</v>
      </c>
      <c r="J12">
        <v>184</v>
      </c>
      <c r="K12">
        <v>185</v>
      </c>
      <c r="L12">
        <v>187</v>
      </c>
      <c r="M12">
        <v>188</v>
      </c>
      <c r="N12">
        <v>189</v>
      </c>
      <c r="O12">
        <v>189</v>
      </c>
      <c r="P12">
        <v>188</v>
      </c>
      <c r="Q12">
        <v>186</v>
      </c>
      <c r="R12">
        <v>185</v>
      </c>
      <c r="S12">
        <v>184</v>
      </c>
      <c r="T12">
        <v>184</v>
      </c>
      <c r="U12">
        <v>185</v>
      </c>
      <c r="W12">
        <v>186</v>
      </c>
      <c r="X12">
        <v>187</v>
      </c>
      <c r="Y12">
        <v>188</v>
      </c>
      <c r="Z12" s="2">
        <f>AVERAGE(Sheet1__12[[#This Row],[00:00:00]:[23:00:00]])</f>
        <v>176.86956521739131</v>
      </c>
      <c r="AA12" t="str" cm="1">
        <f t="array" ref="AA1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13" spans="1:27" x14ac:dyDescent="0.3">
      <c r="A13" s="1">
        <v>46003</v>
      </c>
      <c r="B13">
        <v>188</v>
      </c>
      <c r="C13">
        <v>188</v>
      </c>
      <c r="D13">
        <v>188</v>
      </c>
      <c r="E13">
        <v>189</v>
      </c>
      <c r="F13">
        <v>173</v>
      </c>
      <c r="G13">
        <v>169</v>
      </c>
      <c r="H13">
        <v>169</v>
      </c>
      <c r="I13">
        <v>168</v>
      </c>
      <c r="J13">
        <v>170</v>
      </c>
      <c r="K13">
        <v>172</v>
      </c>
      <c r="L13">
        <v>172</v>
      </c>
      <c r="M13">
        <v>174</v>
      </c>
      <c r="N13">
        <v>176</v>
      </c>
      <c r="O13">
        <v>177</v>
      </c>
      <c r="P13">
        <v>186</v>
      </c>
      <c r="Q13">
        <v>183</v>
      </c>
      <c r="R13">
        <v>184</v>
      </c>
      <c r="S13">
        <v>183</v>
      </c>
      <c r="T13">
        <v>185</v>
      </c>
      <c r="U13">
        <v>186</v>
      </c>
      <c r="V13">
        <v>187</v>
      </c>
      <c r="W13">
        <v>187</v>
      </c>
      <c r="X13">
        <v>188</v>
      </c>
      <c r="Y13">
        <v>188</v>
      </c>
      <c r="Z13" s="2">
        <f>AVERAGE(Sheet1__12[[#This Row],[00:00:00]:[23:00:00]])</f>
        <v>180.41666666666666</v>
      </c>
      <c r="AA13" t="str" cm="1">
        <f t="array" ref="AA13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14" spans="1:27" x14ac:dyDescent="0.3">
      <c r="A14" s="1">
        <v>46004</v>
      </c>
      <c r="B14">
        <v>189</v>
      </c>
      <c r="C14">
        <v>189</v>
      </c>
      <c r="D14">
        <v>189</v>
      </c>
      <c r="E14">
        <v>190</v>
      </c>
      <c r="F14">
        <v>191</v>
      </c>
      <c r="G14">
        <v>192</v>
      </c>
      <c r="H14">
        <v>193</v>
      </c>
      <c r="I14">
        <v>193</v>
      </c>
      <c r="J14">
        <v>193</v>
      </c>
      <c r="K14">
        <v>192</v>
      </c>
      <c r="L14">
        <v>193</v>
      </c>
      <c r="M14">
        <v>194</v>
      </c>
      <c r="N14">
        <v>195</v>
      </c>
      <c r="O14">
        <v>196</v>
      </c>
      <c r="P14">
        <v>197</v>
      </c>
      <c r="Q14">
        <v>202</v>
      </c>
      <c r="R14">
        <v>202</v>
      </c>
      <c r="S14">
        <v>204</v>
      </c>
      <c r="T14">
        <v>196</v>
      </c>
      <c r="U14">
        <v>196</v>
      </c>
      <c r="V14">
        <v>196</v>
      </c>
      <c r="W14">
        <v>197</v>
      </c>
      <c r="X14">
        <v>197</v>
      </c>
      <c r="Y14">
        <v>198</v>
      </c>
      <c r="Z14" s="2">
        <f>AVERAGE(Sheet1__12[[#This Row],[00:00:00]:[23:00:00]])</f>
        <v>194.75</v>
      </c>
      <c r="AA14" t="str" cm="1">
        <f t="array" ref="AA14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15" spans="1:27" x14ac:dyDescent="0.3">
      <c r="A15" s="1">
        <v>46005</v>
      </c>
      <c r="B15">
        <v>198</v>
      </c>
      <c r="C15">
        <v>202</v>
      </c>
      <c r="D15">
        <v>204</v>
      </c>
      <c r="E15">
        <v>205</v>
      </c>
      <c r="F15">
        <v>206</v>
      </c>
      <c r="G15">
        <v>209</v>
      </c>
      <c r="H15">
        <v>210</v>
      </c>
      <c r="I15">
        <v>212</v>
      </c>
      <c r="J15">
        <v>214</v>
      </c>
      <c r="K15">
        <v>215</v>
      </c>
      <c r="L15">
        <v>215</v>
      </c>
      <c r="M15">
        <v>215</v>
      </c>
      <c r="N15">
        <v>215</v>
      </c>
      <c r="O15">
        <v>213</v>
      </c>
      <c r="P15">
        <v>213</v>
      </c>
      <c r="Q15">
        <v>209</v>
      </c>
      <c r="R15">
        <v>214</v>
      </c>
      <c r="S15">
        <v>215</v>
      </c>
      <c r="T15">
        <v>217</v>
      </c>
      <c r="U15">
        <v>216</v>
      </c>
      <c r="V15">
        <v>214</v>
      </c>
      <c r="W15">
        <v>212</v>
      </c>
      <c r="X15">
        <v>211</v>
      </c>
      <c r="Y15">
        <v>210</v>
      </c>
      <c r="Z15" s="2">
        <f>AVERAGE(Sheet1__12[[#This Row],[00:00:00]:[23:00:00]])</f>
        <v>211</v>
      </c>
      <c r="AA15" t="str" cm="1">
        <f t="array" ref="AA15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HAZARDOUS</v>
      </c>
    </row>
    <row r="16" spans="1:27" x14ac:dyDescent="0.3">
      <c r="A16" s="1">
        <v>46006</v>
      </c>
      <c r="B16">
        <v>210</v>
      </c>
      <c r="C16">
        <v>208</v>
      </c>
      <c r="D16">
        <v>207</v>
      </c>
      <c r="E16">
        <v>205</v>
      </c>
      <c r="F16">
        <v>203</v>
      </c>
      <c r="G16">
        <v>186</v>
      </c>
      <c r="H16">
        <v>182</v>
      </c>
      <c r="I16">
        <v>180</v>
      </c>
      <c r="J16">
        <v>180</v>
      </c>
      <c r="K16">
        <v>180</v>
      </c>
      <c r="L16">
        <v>180</v>
      </c>
      <c r="M16">
        <v>180</v>
      </c>
      <c r="N16">
        <v>180</v>
      </c>
      <c r="O16">
        <v>180</v>
      </c>
      <c r="P16">
        <v>180</v>
      </c>
      <c r="Q16">
        <v>182</v>
      </c>
      <c r="R16">
        <v>184</v>
      </c>
      <c r="S16">
        <v>185</v>
      </c>
      <c r="T16">
        <v>200</v>
      </c>
      <c r="U16">
        <v>202</v>
      </c>
      <c r="V16">
        <v>203</v>
      </c>
      <c r="W16">
        <v>198</v>
      </c>
      <c r="X16">
        <v>204</v>
      </c>
      <c r="Y16">
        <v>202</v>
      </c>
      <c r="Z16" s="2">
        <f>AVERAGE(Sheet1__12[[#This Row],[00:00:00]:[23:00:00]])</f>
        <v>191.70833333333334</v>
      </c>
      <c r="AA16" t="str" cm="1">
        <f t="array" ref="AA16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17" spans="1:27" x14ac:dyDescent="0.3">
      <c r="A17" s="1">
        <v>46007</v>
      </c>
      <c r="B17">
        <v>200</v>
      </c>
      <c r="C17">
        <v>198</v>
      </c>
      <c r="D17">
        <v>197</v>
      </c>
      <c r="E17">
        <v>196</v>
      </c>
      <c r="F17">
        <v>195</v>
      </c>
      <c r="G17">
        <v>200</v>
      </c>
      <c r="H17">
        <v>201</v>
      </c>
      <c r="I17">
        <v>194</v>
      </c>
      <c r="J17">
        <v>193</v>
      </c>
      <c r="K17">
        <v>190</v>
      </c>
      <c r="L17">
        <v>189</v>
      </c>
      <c r="M17">
        <v>187</v>
      </c>
      <c r="N17">
        <v>186</v>
      </c>
      <c r="O17">
        <v>186</v>
      </c>
      <c r="P17">
        <v>186</v>
      </c>
      <c r="Q17">
        <v>186</v>
      </c>
      <c r="R17">
        <v>188</v>
      </c>
      <c r="S17">
        <v>188</v>
      </c>
      <c r="T17">
        <v>189</v>
      </c>
      <c r="U17">
        <v>190</v>
      </c>
      <c r="V17">
        <v>191</v>
      </c>
      <c r="W17">
        <v>191</v>
      </c>
      <c r="X17">
        <v>192</v>
      </c>
      <c r="Y17">
        <v>194</v>
      </c>
      <c r="Z17" s="2">
        <f>AVERAGE(Sheet1__12[[#This Row],[00:00:00]:[23:00:00]])</f>
        <v>191.95833333333334</v>
      </c>
      <c r="AA17" t="str" cm="1">
        <f t="array" ref="AA17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18" spans="1:27" x14ac:dyDescent="0.3">
      <c r="A18" s="1">
        <v>46008</v>
      </c>
      <c r="B18">
        <v>196</v>
      </c>
      <c r="C18">
        <v>198</v>
      </c>
      <c r="D18">
        <v>201</v>
      </c>
      <c r="E18">
        <v>203</v>
      </c>
      <c r="F18">
        <v>205</v>
      </c>
      <c r="G18">
        <v>208</v>
      </c>
      <c r="H18">
        <v>209</v>
      </c>
      <c r="I18">
        <v>211</v>
      </c>
      <c r="J18">
        <v>213</v>
      </c>
      <c r="K18">
        <v>216</v>
      </c>
      <c r="L18">
        <v>219</v>
      </c>
      <c r="M18">
        <v>220</v>
      </c>
      <c r="N18">
        <v>222</v>
      </c>
      <c r="O18">
        <v>223</v>
      </c>
      <c r="P18">
        <v>225</v>
      </c>
      <c r="Q18">
        <v>226</v>
      </c>
      <c r="R18">
        <v>228</v>
      </c>
      <c r="S18">
        <v>230</v>
      </c>
      <c r="T18">
        <v>232</v>
      </c>
      <c r="U18">
        <v>235</v>
      </c>
      <c r="V18">
        <v>236</v>
      </c>
      <c r="W18">
        <v>238</v>
      </c>
      <c r="X18">
        <v>240</v>
      </c>
      <c r="Y18">
        <v>242</v>
      </c>
      <c r="Z18" s="2">
        <f>AVERAGE(Sheet1__12[[#This Row],[00:00:00]:[23:00:00]])</f>
        <v>219.83333333333334</v>
      </c>
      <c r="AA18" t="str" cm="1">
        <f t="array" ref="AA18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HAZARDOUS</v>
      </c>
    </row>
    <row r="19" spans="1:27" x14ac:dyDescent="0.3">
      <c r="A19" s="1">
        <v>46009</v>
      </c>
      <c r="B19">
        <v>242</v>
      </c>
      <c r="C19">
        <v>227</v>
      </c>
      <c r="D19">
        <v>227</v>
      </c>
      <c r="E19">
        <v>227</v>
      </c>
      <c r="F19">
        <v>228</v>
      </c>
      <c r="G19">
        <v>228</v>
      </c>
      <c r="H19">
        <v>228</v>
      </c>
      <c r="I19">
        <v>228</v>
      </c>
      <c r="J19">
        <v>227</v>
      </c>
      <c r="K19">
        <v>227</v>
      </c>
      <c r="L19">
        <v>227</v>
      </c>
      <c r="M19">
        <v>228</v>
      </c>
      <c r="N19">
        <v>228</v>
      </c>
      <c r="O19">
        <v>228</v>
      </c>
      <c r="P19">
        <v>227</v>
      </c>
      <c r="Q19">
        <v>225</v>
      </c>
      <c r="R19">
        <v>223</v>
      </c>
      <c r="S19">
        <v>220</v>
      </c>
      <c r="T19">
        <v>218</v>
      </c>
      <c r="U19">
        <v>218</v>
      </c>
      <c r="V19">
        <v>213</v>
      </c>
      <c r="W19">
        <v>213</v>
      </c>
      <c r="X19">
        <v>203</v>
      </c>
      <c r="Y19">
        <v>211</v>
      </c>
      <c r="Z19" s="2">
        <f>AVERAGE(Sheet1__12[[#This Row],[00:00:00]:[23:00:00]])</f>
        <v>223.79166666666666</v>
      </c>
      <c r="AA19" t="str" cm="1">
        <f t="array" ref="AA19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HAZARDOUS</v>
      </c>
    </row>
    <row r="20" spans="1:27" x14ac:dyDescent="0.3">
      <c r="A20" s="1">
        <v>46010</v>
      </c>
      <c r="B20">
        <v>211</v>
      </c>
      <c r="C20">
        <v>201</v>
      </c>
      <c r="D20">
        <v>211</v>
      </c>
      <c r="E20">
        <v>211</v>
      </c>
      <c r="F20">
        <v>212</v>
      </c>
      <c r="G20">
        <v>212</v>
      </c>
      <c r="H20">
        <v>212</v>
      </c>
      <c r="I20">
        <v>212</v>
      </c>
      <c r="J20">
        <v>211</v>
      </c>
      <c r="K20">
        <v>211</v>
      </c>
      <c r="L20">
        <v>210</v>
      </c>
      <c r="M20">
        <v>211</v>
      </c>
      <c r="N20">
        <v>209</v>
      </c>
      <c r="O20">
        <v>208</v>
      </c>
      <c r="P20">
        <v>205</v>
      </c>
      <c r="Q20">
        <v>203</v>
      </c>
      <c r="R20">
        <v>202</v>
      </c>
      <c r="S20">
        <v>201</v>
      </c>
      <c r="T20">
        <v>200</v>
      </c>
      <c r="U20">
        <v>200</v>
      </c>
      <c r="V20">
        <v>198</v>
      </c>
      <c r="W20">
        <v>197</v>
      </c>
      <c r="X20">
        <v>195</v>
      </c>
      <c r="Y20">
        <v>193</v>
      </c>
      <c r="Z20" s="2">
        <f>AVERAGE(Sheet1__12[[#This Row],[00:00:00]:[23:00:00]])</f>
        <v>205.66666666666666</v>
      </c>
      <c r="AA20" t="str" cm="1">
        <f t="array" ref="AA20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HAZARDOUS</v>
      </c>
    </row>
    <row r="21" spans="1:27" x14ac:dyDescent="0.3">
      <c r="A21" s="1">
        <v>46011</v>
      </c>
      <c r="B21">
        <v>192</v>
      </c>
      <c r="C21">
        <v>190</v>
      </c>
      <c r="D21">
        <v>189</v>
      </c>
      <c r="E21">
        <v>188</v>
      </c>
      <c r="F21">
        <v>185</v>
      </c>
      <c r="G21">
        <v>183</v>
      </c>
      <c r="H21">
        <v>181</v>
      </c>
      <c r="I21">
        <v>179</v>
      </c>
      <c r="J21">
        <v>178</v>
      </c>
      <c r="K21">
        <v>176</v>
      </c>
      <c r="L21">
        <v>174</v>
      </c>
      <c r="M21">
        <v>171</v>
      </c>
      <c r="N21">
        <v>169</v>
      </c>
      <c r="O21">
        <v>167</v>
      </c>
      <c r="P21">
        <v>166</v>
      </c>
      <c r="Q21">
        <v>165</v>
      </c>
      <c r="R21">
        <v>165</v>
      </c>
      <c r="S21">
        <v>164</v>
      </c>
      <c r="T21">
        <v>163</v>
      </c>
      <c r="U21">
        <v>163</v>
      </c>
      <c r="V21">
        <v>163</v>
      </c>
      <c r="W21">
        <v>162</v>
      </c>
      <c r="X21">
        <v>164</v>
      </c>
      <c r="Y21">
        <v>164</v>
      </c>
      <c r="Z21" s="2">
        <f>AVERAGE(Sheet1__12[[#This Row],[00:00:00]:[23:00:00]])</f>
        <v>173.375</v>
      </c>
      <c r="AA21" t="str" cm="1">
        <f t="array" ref="AA2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22" spans="1:27" x14ac:dyDescent="0.3">
      <c r="A22" s="1">
        <v>46012</v>
      </c>
      <c r="B22">
        <v>162</v>
      </c>
      <c r="C22">
        <v>162</v>
      </c>
      <c r="D22">
        <v>161</v>
      </c>
      <c r="E22">
        <v>159</v>
      </c>
      <c r="F22">
        <v>158</v>
      </c>
      <c r="G22">
        <v>156</v>
      </c>
      <c r="H22">
        <v>156</v>
      </c>
      <c r="I22">
        <v>155</v>
      </c>
      <c r="J22">
        <v>154</v>
      </c>
      <c r="K22">
        <v>153</v>
      </c>
      <c r="L22">
        <v>152</v>
      </c>
      <c r="M22">
        <v>151</v>
      </c>
      <c r="N22">
        <v>152</v>
      </c>
      <c r="O22">
        <v>153</v>
      </c>
      <c r="P22">
        <v>153</v>
      </c>
      <c r="Q22">
        <v>165</v>
      </c>
      <c r="R22">
        <v>165</v>
      </c>
      <c r="S22">
        <v>169</v>
      </c>
      <c r="T22">
        <v>163</v>
      </c>
      <c r="U22">
        <v>163</v>
      </c>
      <c r="V22">
        <v>163</v>
      </c>
      <c r="W22">
        <v>163</v>
      </c>
      <c r="X22">
        <v>163</v>
      </c>
      <c r="Y22">
        <v>160</v>
      </c>
      <c r="Z22" s="2">
        <f>AVERAGE(Sheet1__12[[#This Row],[00:00:00]:[23:00:00]])</f>
        <v>158.79166666666666</v>
      </c>
      <c r="AA22" t="str" cm="1">
        <f t="array" ref="AA2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23" spans="1:27" x14ac:dyDescent="0.3">
      <c r="A23" s="1">
        <v>46013</v>
      </c>
      <c r="B23">
        <v>160</v>
      </c>
      <c r="C23">
        <v>160</v>
      </c>
      <c r="D23">
        <v>167</v>
      </c>
      <c r="E23">
        <v>170</v>
      </c>
      <c r="F23">
        <v>173</v>
      </c>
      <c r="G23">
        <v>174</v>
      </c>
      <c r="H23">
        <v>175</v>
      </c>
      <c r="I23">
        <v>178</v>
      </c>
      <c r="J23">
        <v>180</v>
      </c>
      <c r="K23">
        <v>182</v>
      </c>
      <c r="L23">
        <v>184</v>
      </c>
      <c r="M23">
        <v>187</v>
      </c>
      <c r="N23">
        <v>189</v>
      </c>
      <c r="O23">
        <v>198</v>
      </c>
      <c r="P23">
        <v>199</v>
      </c>
      <c r="Q23">
        <v>201</v>
      </c>
      <c r="R23">
        <v>201</v>
      </c>
      <c r="S23">
        <v>200</v>
      </c>
      <c r="T23">
        <v>202</v>
      </c>
      <c r="U23">
        <v>199</v>
      </c>
      <c r="V23">
        <v>200</v>
      </c>
      <c r="W23">
        <v>200</v>
      </c>
      <c r="X23">
        <v>200</v>
      </c>
      <c r="Y23">
        <v>196</v>
      </c>
      <c r="Z23" s="2">
        <f>AVERAGE(Sheet1__12[[#This Row],[00:00:00]:[23:00:00]])</f>
        <v>186.45833333333334</v>
      </c>
      <c r="AA23" t="str" cm="1">
        <f t="array" ref="AA23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24" spans="1:27" x14ac:dyDescent="0.3">
      <c r="A24" s="1">
        <v>46014</v>
      </c>
      <c r="B24">
        <v>194</v>
      </c>
      <c r="C24">
        <v>196</v>
      </c>
      <c r="D24">
        <v>198</v>
      </c>
      <c r="E24">
        <v>199</v>
      </c>
      <c r="F24">
        <v>198</v>
      </c>
      <c r="G24">
        <v>195</v>
      </c>
      <c r="H24">
        <v>194</v>
      </c>
      <c r="I24">
        <v>192</v>
      </c>
      <c r="J24">
        <v>191</v>
      </c>
      <c r="K24">
        <v>191</v>
      </c>
      <c r="L24">
        <v>191</v>
      </c>
      <c r="M24">
        <v>192</v>
      </c>
      <c r="N24">
        <v>194</v>
      </c>
      <c r="O24">
        <v>188</v>
      </c>
      <c r="P24">
        <v>191</v>
      </c>
      <c r="Q24">
        <v>191</v>
      </c>
      <c r="R24">
        <v>192</v>
      </c>
      <c r="S24">
        <v>192</v>
      </c>
      <c r="T24">
        <v>191</v>
      </c>
      <c r="U24">
        <v>190</v>
      </c>
      <c r="V24">
        <v>193</v>
      </c>
      <c r="W24">
        <v>193</v>
      </c>
      <c r="X24">
        <v>187</v>
      </c>
      <c r="Y24">
        <v>187</v>
      </c>
      <c r="Z24" s="2">
        <f>AVERAGE(Sheet1__12[[#This Row],[00:00:00]:[23:00:00]])</f>
        <v>192.5</v>
      </c>
      <c r="AA24" t="str" cm="1">
        <f t="array" ref="AA24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25" spans="1:27" x14ac:dyDescent="0.3">
      <c r="A25" s="1">
        <v>46015</v>
      </c>
      <c r="B25">
        <v>185</v>
      </c>
      <c r="C25">
        <v>185</v>
      </c>
      <c r="D25">
        <v>184</v>
      </c>
      <c r="E25">
        <v>184</v>
      </c>
      <c r="F25">
        <v>183</v>
      </c>
      <c r="G25">
        <v>174</v>
      </c>
      <c r="H25">
        <v>173</v>
      </c>
      <c r="I25">
        <v>171</v>
      </c>
      <c r="J25">
        <v>170</v>
      </c>
      <c r="K25">
        <v>170</v>
      </c>
      <c r="L25">
        <v>168</v>
      </c>
      <c r="M25">
        <v>166</v>
      </c>
      <c r="N25">
        <v>163</v>
      </c>
      <c r="O25">
        <v>160</v>
      </c>
      <c r="P25">
        <v>158</v>
      </c>
      <c r="Q25">
        <v>156</v>
      </c>
      <c r="R25">
        <v>155</v>
      </c>
      <c r="S25">
        <v>155</v>
      </c>
      <c r="T25">
        <v>154</v>
      </c>
      <c r="U25">
        <v>154</v>
      </c>
      <c r="V25">
        <v>152</v>
      </c>
      <c r="W25">
        <v>151</v>
      </c>
      <c r="X25">
        <v>150</v>
      </c>
      <c r="Y25">
        <v>150</v>
      </c>
      <c r="Z25" s="2">
        <f>AVERAGE(Sheet1__12[[#This Row],[00:00:00]:[23:00:00]])</f>
        <v>165.45833333333334</v>
      </c>
      <c r="AA25" t="str" cm="1">
        <f t="array" ref="AA25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26" spans="1:27" x14ac:dyDescent="0.3">
      <c r="A26" s="1">
        <v>46016</v>
      </c>
      <c r="B26">
        <v>151</v>
      </c>
      <c r="C26">
        <v>152</v>
      </c>
      <c r="D26">
        <v>152</v>
      </c>
      <c r="E26">
        <v>155</v>
      </c>
      <c r="F26">
        <v>164</v>
      </c>
      <c r="G26">
        <v>164</v>
      </c>
      <c r="H26">
        <v>164</v>
      </c>
      <c r="I26">
        <v>164</v>
      </c>
      <c r="J26">
        <v>164</v>
      </c>
      <c r="K26">
        <v>164</v>
      </c>
      <c r="L26">
        <v>164</v>
      </c>
      <c r="M26">
        <v>165</v>
      </c>
      <c r="N26">
        <v>167</v>
      </c>
      <c r="O26">
        <v>170</v>
      </c>
      <c r="P26">
        <v>180</v>
      </c>
      <c r="Q26">
        <v>185</v>
      </c>
      <c r="R26">
        <v>189</v>
      </c>
      <c r="S26">
        <v>190</v>
      </c>
      <c r="T26">
        <v>188</v>
      </c>
      <c r="U26">
        <v>192</v>
      </c>
      <c r="V26">
        <v>195</v>
      </c>
      <c r="W26">
        <v>197</v>
      </c>
      <c r="X26">
        <v>197</v>
      </c>
      <c r="Y26">
        <v>196</v>
      </c>
      <c r="Z26" s="2">
        <f>AVERAGE(Sheet1__12[[#This Row],[00:00:00]:[23:00:00]])</f>
        <v>173.70833333333334</v>
      </c>
      <c r="AA26" t="str" cm="1">
        <f t="array" ref="AA26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27" spans="1:27" x14ac:dyDescent="0.3">
      <c r="A27" s="1">
        <v>46017</v>
      </c>
      <c r="B27">
        <v>197</v>
      </c>
      <c r="C27">
        <v>197</v>
      </c>
      <c r="D27">
        <v>199</v>
      </c>
      <c r="E27">
        <v>201</v>
      </c>
      <c r="F27">
        <v>204</v>
      </c>
      <c r="G27">
        <v>201</v>
      </c>
      <c r="H27">
        <v>205</v>
      </c>
      <c r="I27">
        <v>207</v>
      </c>
      <c r="J27">
        <v>209</v>
      </c>
      <c r="K27">
        <v>210</v>
      </c>
      <c r="L27">
        <v>212</v>
      </c>
      <c r="M27">
        <v>213</v>
      </c>
      <c r="N27">
        <v>216</v>
      </c>
      <c r="O27">
        <v>218</v>
      </c>
      <c r="P27">
        <v>226</v>
      </c>
      <c r="Q27">
        <v>221</v>
      </c>
      <c r="R27">
        <v>222</v>
      </c>
      <c r="S27">
        <v>228</v>
      </c>
      <c r="T27">
        <v>205</v>
      </c>
      <c r="U27">
        <v>221</v>
      </c>
      <c r="V27">
        <v>219</v>
      </c>
      <c r="W27">
        <v>218</v>
      </c>
      <c r="X27">
        <v>217</v>
      </c>
      <c r="Y27">
        <v>217</v>
      </c>
      <c r="Z27" s="2">
        <f>AVERAGE(Sheet1__12[[#This Row],[00:00:00]:[23:00:00]])</f>
        <v>211.79166666666666</v>
      </c>
      <c r="AA27" t="str" cm="1">
        <f t="array" ref="AA27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HAZARDOUS</v>
      </c>
    </row>
    <row r="28" spans="1:27" x14ac:dyDescent="0.3">
      <c r="A28" s="1">
        <v>46018</v>
      </c>
      <c r="B28">
        <v>217</v>
      </c>
      <c r="C28">
        <v>217</v>
      </c>
      <c r="D28">
        <v>216</v>
      </c>
      <c r="E28">
        <v>215</v>
      </c>
      <c r="F28">
        <v>206</v>
      </c>
      <c r="G28">
        <v>215</v>
      </c>
      <c r="H28">
        <v>214</v>
      </c>
      <c r="I28">
        <v>213</v>
      </c>
      <c r="J28">
        <v>213</v>
      </c>
      <c r="K28">
        <v>213</v>
      </c>
      <c r="L28">
        <v>214</v>
      </c>
      <c r="M28">
        <v>214</v>
      </c>
      <c r="N28">
        <v>214</v>
      </c>
      <c r="O28">
        <v>215</v>
      </c>
      <c r="P28">
        <v>216</v>
      </c>
      <c r="Q28">
        <v>224</v>
      </c>
      <c r="R28">
        <v>224</v>
      </c>
      <c r="S28">
        <v>223</v>
      </c>
      <c r="T28">
        <v>220</v>
      </c>
      <c r="U28">
        <v>220</v>
      </c>
      <c r="V28">
        <v>219</v>
      </c>
      <c r="W28">
        <v>220</v>
      </c>
      <c r="X28">
        <v>217</v>
      </c>
      <c r="Y28">
        <v>217</v>
      </c>
      <c r="Z28" s="2">
        <f>AVERAGE(Sheet1__12[[#This Row],[00:00:00]:[23:00:00]])</f>
        <v>216.5</v>
      </c>
      <c r="AA28" t="str" cm="1">
        <f t="array" ref="AA28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HAZARDOUS</v>
      </c>
    </row>
    <row r="29" spans="1:27" x14ac:dyDescent="0.3">
      <c r="A29" s="1">
        <v>46019</v>
      </c>
      <c r="B29">
        <v>217</v>
      </c>
      <c r="C29">
        <v>216</v>
      </c>
      <c r="D29">
        <v>217</v>
      </c>
      <c r="E29">
        <v>218</v>
      </c>
      <c r="F29">
        <v>219</v>
      </c>
      <c r="G29">
        <v>219</v>
      </c>
      <c r="H29">
        <v>220</v>
      </c>
      <c r="I29">
        <v>221</v>
      </c>
      <c r="J29">
        <v>221</v>
      </c>
      <c r="K29">
        <v>222</v>
      </c>
      <c r="L29">
        <v>222</v>
      </c>
      <c r="M29">
        <v>223</v>
      </c>
      <c r="N29">
        <v>222</v>
      </c>
      <c r="O29">
        <v>229</v>
      </c>
      <c r="P29">
        <v>229</v>
      </c>
      <c r="Q29">
        <v>231</v>
      </c>
      <c r="R29">
        <v>232</v>
      </c>
      <c r="S29">
        <v>232</v>
      </c>
      <c r="T29">
        <v>230</v>
      </c>
      <c r="U29">
        <v>228</v>
      </c>
      <c r="V29">
        <v>228</v>
      </c>
      <c r="W29">
        <v>226</v>
      </c>
      <c r="X29">
        <v>224</v>
      </c>
      <c r="Y29">
        <v>222</v>
      </c>
      <c r="Z29" s="2">
        <f>AVERAGE(Sheet1__12[[#This Row],[00:00:00]:[23:00:00]])</f>
        <v>223.66666666666666</v>
      </c>
      <c r="AA29" t="str" cm="1">
        <f t="array" ref="AA29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HAZARDOUS</v>
      </c>
    </row>
    <row r="30" spans="1:27" x14ac:dyDescent="0.3">
      <c r="A30" s="1">
        <v>46020</v>
      </c>
      <c r="B30">
        <v>221</v>
      </c>
      <c r="C30">
        <v>221</v>
      </c>
      <c r="D30">
        <v>223</v>
      </c>
      <c r="E30">
        <v>224</v>
      </c>
      <c r="F30">
        <v>224</v>
      </c>
      <c r="G30">
        <v>224</v>
      </c>
      <c r="H30">
        <v>224</v>
      </c>
      <c r="I30">
        <v>225</v>
      </c>
      <c r="J30">
        <v>216</v>
      </c>
      <c r="K30">
        <v>225</v>
      </c>
      <c r="L30">
        <v>226</v>
      </c>
      <c r="M30">
        <v>228</v>
      </c>
      <c r="N30">
        <v>227</v>
      </c>
      <c r="O30">
        <v>235</v>
      </c>
      <c r="P30">
        <v>235</v>
      </c>
      <c r="Q30">
        <v>236</v>
      </c>
      <c r="R30">
        <v>235</v>
      </c>
      <c r="S30">
        <v>234</v>
      </c>
      <c r="T30">
        <v>232</v>
      </c>
      <c r="U30">
        <v>232</v>
      </c>
      <c r="V30">
        <v>232</v>
      </c>
      <c r="W30">
        <v>231</v>
      </c>
      <c r="X30">
        <v>230</v>
      </c>
      <c r="Y30">
        <v>230</v>
      </c>
      <c r="Z30" s="2">
        <f>AVERAGE(Sheet1__12[[#This Row],[00:00:00]:[23:00:00]])</f>
        <v>227.91666666666666</v>
      </c>
      <c r="AA30" t="str" cm="1">
        <f t="array" ref="AA30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HAZARDOUS</v>
      </c>
    </row>
    <row r="31" spans="1:27" x14ac:dyDescent="0.3">
      <c r="A31" s="1">
        <v>46021</v>
      </c>
      <c r="B31">
        <v>230</v>
      </c>
      <c r="C31">
        <v>229</v>
      </c>
      <c r="D31">
        <v>235</v>
      </c>
      <c r="E31">
        <v>234</v>
      </c>
      <c r="F31">
        <v>233</v>
      </c>
      <c r="G31">
        <v>232</v>
      </c>
      <c r="H31">
        <v>230</v>
      </c>
      <c r="I31">
        <v>229</v>
      </c>
      <c r="J31">
        <v>228</v>
      </c>
      <c r="K31">
        <v>228</v>
      </c>
      <c r="L31">
        <v>227</v>
      </c>
      <c r="M31">
        <v>227</v>
      </c>
      <c r="N31">
        <v>229</v>
      </c>
      <c r="O31">
        <v>231</v>
      </c>
      <c r="P31">
        <v>249</v>
      </c>
      <c r="Q31">
        <v>245</v>
      </c>
      <c r="R31">
        <v>247</v>
      </c>
      <c r="S31">
        <v>249</v>
      </c>
      <c r="T31">
        <v>244</v>
      </c>
      <c r="U31">
        <v>242</v>
      </c>
      <c r="V31">
        <v>238</v>
      </c>
      <c r="W31">
        <v>232</v>
      </c>
      <c r="X31">
        <v>229</v>
      </c>
      <c r="Y31">
        <v>226</v>
      </c>
      <c r="Z31" s="2">
        <f>AVERAGE(Sheet1__12[[#This Row],[00:00:00]:[23:00:00]])</f>
        <v>234.29166666666666</v>
      </c>
      <c r="AA31" t="str" cm="1">
        <f t="array" ref="AA3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HAZARDOUS</v>
      </c>
    </row>
    <row r="32" spans="1:27" x14ac:dyDescent="0.3">
      <c r="A32" s="1">
        <v>46022</v>
      </c>
      <c r="B32">
        <v>223</v>
      </c>
      <c r="C32">
        <v>221</v>
      </c>
      <c r="D32">
        <v>218</v>
      </c>
      <c r="E32">
        <v>215</v>
      </c>
      <c r="F32">
        <v>213</v>
      </c>
      <c r="G32">
        <v>210</v>
      </c>
      <c r="H32">
        <v>207</v>
      </c>
      <c r="I32">
        <v>203</v>
      </c>
      <c r="J32">
        <v>203</v>
      </c>
      <c r="K32">
        <v>198</v>
      </c>
      <c r="L32">
        <v>196</v>
      </c>
      <c r="M32">
        <v>193</v>
      </c>
      <c r="N32">
        <v>189</v>
      </c>
      <c r="O32">
        <v>186</v>
      </c>
      <c r="P32">
        <v>185</v>
      </c>
      <c r="Q32">
        <v>182</v>
      </c>
      <c r="R32">
        <v>177</v>
      </c>
      <c r="S32">
        <v>173</v>
      </c>
      <c r="T32">
        <v>169</v>
      </c>
      <c r="U32">
        <v>165</v>
      </c>
      <c r="V32">
        <v>161</v>
      </c>
      <c r="W32">
        <v>168</v>
      </c>
      <c r="X32">
        <v>157</v>
      </c>
      <c r="Y32">
        <v>155</v>
      </c>
      <c r="Z32" s="2">
        <f>AVERAGE(Sheet1__12[[#This Row],[00:00:00]:[23:00:00]])</f>
        <v>190.29166666666666</v>
      </c>
      <c r="AA32" t="str" cm="1">
        <f t="array" ref="AA3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33" spans="26:27" x14ac:dyDescent="0.3">
      <c r="Z33" s="2">
        <f>AVERAGE(Sheet1__12[AVERAGE AQI])</f>
        <v>193.18484104721836</v>
      </c>
      <c r="AA33" s="3"/>
    </row>
  </sheetData>
  <phoneticPr fontId="1" type="noConversion"/>
  <conditionalFormatting sqref="AA1:AA1048576">
    <cfRule type="containsText" dxfId="2" priority="3" operator="containsText" text="BAD">
      <formula>NOT(ISERROR(SEARCH("BAD",AA1)))</formula>
    </cfRule>
    <cfRule type="containsText" dxfId="3" priority="2" operator="containsText" text="VERY BAD">
      <formula>NOT(ISERROR(SEARCH("VERY BAD",AA1)))</formula>
    </cfRule>
    <cfRule type="containsText" dxfId="4" priority="1" operator="containsText" text="HAZARDOUS">
      <formula>NOT(ISERROR(SEARCH("HAZARDOUS",AA1)))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267565-4C37-40A9-B9B0-4EE207243B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SEPT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omkarkusale18@gmail.com</dc:creator>
  <cp:lastModifiedBy>omkarkusale18@gmail.com</cp:lastModifiedBy>
  <dcterms:created xsi:type="dcterms:W3CDTF">2026-09-04T07:56:22Z</dcterms:created>
  <dcterms:modified xsi:type="dcterms:W3CDTF">2026-09-04T08:41:02Z</dcterms:modified>
</cp:coreProperties>
</file>
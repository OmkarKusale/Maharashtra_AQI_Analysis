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AQI PROJECT\"/>
    </mc:Choice>
  </mc:AlternateContent>
  <xr:revisionPtr revIDLastSave="0" documentId="8_{FFC74E2B-A91E-4CDF-8B94-BE7C56895E15}" xr6:coauthVersionLast="47" xr6:coauthVersionMax="47" xr10:uidLastSave="{00000000-0000-0000-0000-000000000000}"/>
  <bookViews>
    <workbookView xWindow="-108" yWindow="-108" windowWidth="23256" windowHeight="12456" activeTab="10" xr2:uid="{8255EB35-9DEB-4D1C-97D0-21A9EFDC4C93}"/>
  </bookViews>
  <sheets>
    <sheet name="JAN" sheetId="2" r:id="rId1"/>
    <sheet name="FEB" sheetId="3" r:id="rId2"/>
    <sheet name="MAR" sheetId="4" r:id="rId3"/>
    <sheet name="APR" sheetId="5" r:id="rId4"/>
    <sheet name="MAY" sheetId="6" r:id="rId5"/>
    <sheet name="JUN" sheetId="7" r:id="rId6"/>
    <sheet name="JUL" sheetId="8" r:id="rId7"/>
    <sheet name="AUG" sheetId="9" r:id="rId8"/>
    <sheet name="SEPT" sheetId="10" r:id="rId9"/>
    <sheet name="OCT" sheetId="11" r:id="rId10"/>
    <sheet name="NOV" sheetId="12" r:id="rId11"/>
    <sheet name="DEC" sheetId="13" r:id="rId12"/>
  </sheets>
  <definedNames>
    <definedName name="ExternalData_1" localSheetId="3" hidden="1">APR!$A$1:$Y$31</definedName>
    <definedName name="ExternalData_1" localSheetId="7" hidden="1">AUG!$A$1:$Y$32</definedName>
    <definedName name="ExternalData_1" localSheetId="11" hidden="1">DEC!$A$1:$Y$32</definedName>
    <definedName name="ExternalData_1" localSheetId="1" hidden="1">FEB!$A$1:$Y$29</definedName>
    <definedName name="ExternalData_1" localSheetId="0" hidden="1">JAN!$A$1:$Y$32</definedName>
    <definedName name="ExternalData_1" localSheetId="6" hidden="1">JUL!$A$1:$Y$32</definedName>
    <definedName name="ExternalData_1" localSheetId="5" hidden="1">JUN!$A$1:$Y$31</definedName>
    <definedName name="ExternalData_1" localSheetId="2" hidden="1">MAR!$A$1:$Y$32</definedName>
    <definedName name="ExternalData_1" localSheetId="4" hidden="1">MAY!$A$1:$Y$32</definedName>
    <definedName name="ExternalData_1" localSheetId="10" hidden="1">NOV!$A$1:$Y$31</definedName>
    <definedName name="ExternalData_1" localSheetId="9" hidden="1">OCT!$A$1:$Y$32</definedName>
    <definedName name="ExternalData_1" localSheetId="8" hidden="1">SEPT!$A$1:$Y$31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13" l="1"/>
  <c r="Z4" i="13"/>
  <c r="Z5" i="13"/>
  <c r="Z6" i="13"/>
  <c r="Z7" i="13"/>
  <c r="Z8" i="13"/>
  <c r="Z9" i="13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2" i="13"/>
  <c r="Z33" i="13" s="1"/>
  <c r="AA2" i="13" a="1"/>
  <c r="AA3" i="13" a="1"/>
  <c r="AA4" i="13" a="1"/>
  <c r="AA5" i="13" a="1"/>
  <c r="AA6" i="13" a="1"/>
  <c r="AA7" i="13" a="1"/>
  <c r="AA8" i="13" a="1"/>
  <c r="AA9" i="13" a="1"/>
  <c r="AA10" i="13" a="1"/>
  <c r="AA11" i="13" a="1"/>
  <c r="AA12" i="13" a="1"/>
  <c r="AA13" i="13" a="1"/>
  <c r="AA14" i="13" a="1"/>
  <c r="AA15" i="13" a="1"/>
  <c r="AA16" i="13" a="1"/>
  <c r="AA17" i="13" a="1"/>
  <c r="AA18" i="13" a="1"/>
  <c r="AA19" i="13" a="1"/>
  <c r="AA20" i="13" a="1"/>
  <c r="AA21" i="13" a="1"/>
  <c r="AA22" i="13" a="1"/>
  <c r="AA23" i="13" a="1"/>
  <c r="AA24" i="13" a="1"/>
  <c r="AA25" i="13" a="1"/>
  <c r="AA26" i="13" a="1"/>
  <c r="AA27" i="13" a="1"/>
  <c r="AA28" i="13" a="1"/>
  <c r="AA29" i="13" a="1"/>
  <c r="AA30" i="13" a="1"/>
  <c r="AA31" i="13" a="1"/>
  <c r="AA32" i="13" a="1"/>
  <c r="Z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2" i="12"/>
  <c r="Z32" i="12" s="1"/>
  <c r="AA2" i="12" a="1"/>
  <c r="AA3" i="12" a="1"/>
  <c r="AA4" i="12" a="1"/>
  <c r="AA5" i="12" a="1"/>
  <c r="AA6" i="12" a="1"/>
  <c r="AA7" i="12" a="1"/>
  <c r="AA8" i="12" a="1"/>
  <c r="AA9" i="12" a="1"/>
  <c r="AA10" i="12" a="1"/>
  <c r="AA11" i="12" a="1"/>
  <c r="AA12" i="12" a="1"/>
  <c r="AA13" i="12" a="1"/>
  <c r="AA14" i="12" a="1"/>
  <c r="AA15" i="12" a="1"/>
  <c r="AA16" i="12" a="1"/>
  <c r="AA17" i="12" a="1"/>
  <c r="AA18" i="12" a="1"/>
  <c r="AA19" i="12" a="1"/>
  <c r="AA20" i="12" a="1"/>
  <c r="AA21" i="12" a="1"/>
  <c r="AA22" i="12" a="1"/>
  <c r="AA23" i="12" a="1"/>
  <c r="AA24" i="12" a="1"/>
  <c r="AA25" i="12" a="1"/>
  <c r="AA26" i="12" a="1"/>
  <c r="AA27" i="12" a="1"/>
  <c r="AA28" i="12" a="1"/>
  <c r="AA29" i="12" a="1"/>
  <c r="AA30" i="12" a="1"/>
  <c r="AA31" i="12" a="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AA3" i="1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2" i="10"/>
  <c r="Z32" i="10" s="1"/>
  <c r="AA2" i="10" a="1"/>
  <c r="AA3" i="10" a="1"/>
  <c r="AA4" i="10" a="1"/>
  <c r="AA5" i="10" a="1"/>
  <c r="AA6" i="10" a="1"/>
  <c r="AA7" i="10" a="1"/>
  <c r="AA8" i="10" a="1"/>
  <c r="AA9" i="10" a="1"/>
  <c r="AA10" i="10" a="1"/>
  <c r="AA11" i="10" a="1"/>
  <c r="AA12" i="10" a="1"/>
  <c r="AA13" i="10" a="1"/>
  <c r="AA14" i="10" a="1"/>
  <c r="AA15" i="10" a="1"/>
  <c r="AA16" i="10" a="1"/>
  <c r="AA17" i="10" a="1"/>
  <c r="AA18" i="10" a="1"/>
  <c r="AA19" i="10" a="1"/>
  <c r="AA20" i="10" a="1"/>
  <c r="AA21" i="10" a="1"/>
  <c r="AA22" i="10" a="1"/>
  <c r="AA23" i="10" a="1"/>
  <c r="AA24" i="10" a="1"/>
  <c r="AA25" i="10" a="1"/>
  <c r="AA26" i="10" a="1"/>
  <c r="AA27" i="10" a="1"/>
  <c r="AA28" i="10" a="1"/>
  <c r="AA29" i="10" a="1"/>
  <c r="AA30" i="10" a="1"/>
  <c r="AA31" i="10" a="1"/>
  <c r="Z3" i="9"/>
  <c r="Z4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2" i="9"/>
  <c r="Z33" i="9" s="1"/>
  <c r="AA2" i="9" a="1"/>
  <c r="AA3" i="9" a="1"/>
  <c r="AA4" i="9" a="1"/>
  <c r="AA5" i="9" a="1"/>
  <c r="AA6" i="9" a="1"/>
  <c r="AA7" i="9" a="1"/>
  <c r="AA8" i="9" a="1"/>
  <c r="AA9" i="9" a="1"/>
  <c r="AA10" i="9" a="1"/>
  <c r="AA11" i="9" a="1"/>
  <c r="AA12" i="9" a="1"/>
  <c r="AA13" i="9" a="1"/>
  <c r="AA14" i="9" a="1"/>
  <c r="AA15" i="9" a="1"/>
  <c r="AA16" i="9" a="1"/>
  <c r="AA17" i="9" a="1"/>
  <c r="AA18" i="9" a="1"/>
  <c r="AA19" i="9" a="1"/>
  <c r="AA20" i="9" a="1"/>
  <c r="AA21" i="9" a="1"/>
  <c r="AA22" i="9" a="1"/>
  <c r="AA23" i="9" a="1"/>
  <c r="AA24" i="9" a="1"/>
  <c r="AA25" i="9" a="1"/>
  <c r="AA26" i="9" a="1"/>
  <c r="AA27" i="9" a="1"/>
  <c r="AA28" i="9" a="1"/>
  <c r="AA29" i="9" a="1"/>
  <c r="AA30" i="9" a="1"/>
  <c r="AA31" i="9" a="1"/>
  <c r="AA32" i="9" a="1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2" i="8"/>
  <c r="Z33" i="8" s="1"/>
  <c r="AA2" i="8" a="1"/>
  <c r="AA3" i="8" a="1"/>
  <c r="AA4" i="8" a="1"/>
  <c r="AA5" i="8" a="1"/>
  <c r="AA6" i="8" a="1"/>
  <c r="AA7" i="8" a="1"/>
  <c r="AA8" i="8" a="1"/>
  <c r="AA9" i="8" a="1"/>
  <c r="AA10" i="8" a="1"/>
  <c r="AA11" i="8" a="1"/>
  <c r="AA12" i="8" a="1"/>
  <c r="AA13" i="8" a="1"/>
  <c r="AA14" i="8" a="1"/>
  <c r="AA15" i="8" a="1"/>
  <c r="AA16" i="8" a="1"/>
  <c r="AA17" i="8" a="1"/>
  <c r="AA18" i="8" a="1"/>
  <c r="AA19" i="8" a="1"/>
  <c r="AA20" i="8" a="1"/>
  <c r="AA21" i="8" a="1"/>
  <c r="AA22" i="8" a="1"/>
  <c r="AA23" i="8" a="1"/>
  <c r="AA24" i="8" a="1"/>
  <c r="AA25" i="8" a="1"/>
  <c r="AA26" i="8" a="1"/>
  <c r="AA27" i="8" a="1"/>
  <c r="AA28" i="8" a="1"/>
  <c r="AA29" i="8" a="1"/>
  <c r="AA30" i="8" a="1"/>
  <c r="AA31" i="8" a="1"/>
  <c r="AA32" i="8" a="1"/>
  <c r="Z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2" i="7"/>
  <c r="Z32" i="7" s="1"/>
  <c r="AA2" i="7" a="1"/>
  <c r="AA3" i="7" a="1"/>
  <c r="AA4" i="7" a="1"/>
  <c r="AA5" i="7" a="1"/>
  <c r="AA6" i="7" a="1"/>
  <c r="AA7" i="7" a="1"/>
  <c r="AA8" i="7" a="1"/>
  <c r="AA9" i="7" a="1"/>
  <c r="AA10" i="7" a="1"/>
  <c r="AA11" i="7" a="1"/>
  <c r="AA12" i="7" a="1"/>
  <c r="AA13" i="7" a="1"/>
  <c r="AA14" i="7" a="1"/>
  <c r="AA15" i="7" a="1"/>
  <c r="AA16" i="7" a="1"/>
  <c r="AA17" i="7" a="1"/>
  <c r="AA18" i="7" a="1"/>
  <c r="AA19" i="7" a="1"/>
  <c r="AA20" i="7" a="1"/>
  <c r="AA21" i="7" a="1"/>
  <c r="AA22" i="7" a="1"/>
  <c r="AA23" i="7" a="1"/>
  <c r="AA24" i="7" a="1"/>
  <c r="AA25" i="7" a="1"/>
  <c r="AA26" i="7" a="1"/>
  <c r="AA27" i="7" a="1"/>
  <c r="AA28" i="7" a="1"/>
  <c r="AA29" i="7" a="1"/>
  <c r="AA30" i="7" a="1"/>
  <c r="AA31" i="7" a="1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2" i="6"/>
  <c r="Z33" i="6" s="1"/>
  <c r="AA2" i="6" a="1"/>
  <c r="AA3" i="6" a="1"/>
  <c r="AA4" i="6" a="1"/>
  <c r="AA5" i="6" a="1"/>
  <c r="AA6" i="6" a="1"/>
  <c r="AA7" i="6" a="1"/>
  <c r="AA8" i="6" a="1"/>
  <c r="AA9" i="6" a="1"/>
  <c r="AA10" i="6" a="1"/>
  <c r="AA11" i="6" a="1"/>
  <c r="AA12" i="6" a="1"/>
  <c r="AA13" i="6" a="1"/>
  <c r="AA14" i="6" a="1"/>
  <c r="AA15" i="6" a="1"/>
  <c r="AA16" i="6" a="1"/>
  <c r="AA17" i="6" a="1"/>
  <c r="AA18" i="6" a="1"/>
  <c r="AA19" i="6" a="1"/>
  <c r="AA20" i="6" a="1"/>
  <c r="AA21" i="6" a="1"/>
  <c r="AA22" i="6" a="1"/>
  <c r="AA23" i="6" a="1"/>
  <c r="AA24" i="6" a="1"/>
  <c r="AA25" i="6" a="1"/>
  <c r="AA26" i="6" a="1"/>
  <c r="AA27" i="6" a="1"/>
  <c r="AA28" i="6" a="1"/>
  <c r="AA29" i="6" a="1"/>
  <c r="AA30" i="6" a="1"/>
  <c r="AA31" i="6" a="1"/>
  <c r="AA32" i="6" a="1"/>
  <c r="Z3" i="5"/>
  <c r="AA3" i="5" s="1" a="1"/>
  <c r="Z4" i="5"/>
  <c r="AA4" i="5" s="1" a="1"/>
  <c r="Z5" i="5"/>
  <c r="AA5" i="5" s="1" a="1"/>
  <c r="Z6" i="5"/>
  <c r="AA6" i="5" s="1" a="1"/>
  <c r="Z7" i="5"/>
  <c r="AA7" i="5" s="1" a="1"/>
  <c r="Z8" i="5"/>
  <c r="AA8" i="5" s="1" a="1"/>
  <c r="Z9" i="5"/>
  <c r="AA9" i="5" s="1" a="1"/>
  <c r="Z10" i="5"/>
  <c r="AA10" i="5" s="1" a="1"/>
  <c r="Z11" i="5"/>
  <c r="AA11" i="5" s="1" a="1"/>
  <c r="Z12" i="5"/>
  <c r="AA12" i="5" s="1" a="1"/>
  <c r="Z13" i="5"/>
  <c r="AA13" i="5" s="1" a="1"/>
  <c r="Z14" i="5"/>
  <c r="AA14" i="5" s="1" a="1"/>
  <c r="Z15" i="5"/>
  <c r="AA15" i="5" s="1" a="1"/>
  <c r="Z16" i="5"/>
  <c r="AA16" i="5" s="1" a="1"/>
  <c r="Z17" i="5"/>
  <c r="AA17" i="5" s="1" a="1"/>
  <c r="Z18" i="5"/>
  <c r="AA18" i="5" s="1" a="1"/>
  <c r="Z19" i="5"/>
  <c r="AA19" i="5" s="1" a="1"/>
  <c r="Z20" i="5"/>
  <c r="AA20" i="5" s="1" a="1"/>
  <c r="Z21" i="5"/>
  <c r="AA21" i="5" s="1" a="1"/>
  <c r="Z22" i="5"/>
  <c r="AA22" i="5" s="1" a="1"/>
  <c r="Z23" i="5"/>
  <c r="AA23" i="5" s="1" a="1"/>
  <c r="Z24" i="5"/>
  <c r="AA24" i="5" s="1" a="1"/>
  <c r="Z25" i="5"/>
  <c r="AA25" i="5" s="1" a="1"/>
  <c r="Z26" i="5"/>
  <c r="AA26" i="5" s="1" a="1"/>
  <c r="Z27" i="5"/>
  <c r="AA27" i="5" s="1" a="1"/>
  <c r="Z28" i="5"/>
  <c r="AA28" i="5" s="1" a="1"/>
  <c r="Z29" i="5"/>
  <c r="AA29" i="5" s="1" a="1"/>
  <c r="Z30" i="5"/>
  <c r="AA30" i="5" s="1" a="1"/>
  <c r="Z31" i="5"/>
  <c r="AA31" i="5" s="1" a="1"/>
  <c r="Z2" i="5"/>
  <c r="Z3" i="4"/>
  <c r="AA3" i="4" s="1" a="1"/>
  <c r="Z4" i="4"/>
  <c r="AA4" i="4" s="1" a="1"/>
  <c r="Z5" i="4"/>
  <c r="AA5" i="4" s="1" a="1"/>
  <c r="Z6" i="4"/>
  <c r="AA6" i="4" s="1" a="1"/>
  <c r="Z7" i="4"/>
  <c r="AA7" i="4" s="1" a="1"/>
  <c r="Z8" i="4"/>
  <c r="AA8" i="4" s="1" a="1"/>
  <c r="Z9" i="4"/>
  <c r="AA9" i="4" s="1" a="1"/>
  <c r="Z10" i="4"/>
  <c r="AA10" i="4" s="1" a="1"/>
  <c r="Z11" i="4"/>
  <c r="AA11" i="4" s="1" a="1"/>
  <c r="Z12" i="4"/>
  <c r="AA12" i="4" s="1" a="1"/>
  <c r="Z13" i="4"/>
  <c r="AA13" i="4" s="1" a="1"/>
  <c r="Z14" i="4"/>
  <c r="AA14" i="4" s="1" a="1"/>
  <c r="Z15" i="4"/>
  <c r="AA15" i="4" s="1" a="1"/>
  <c r="Z16" i="4"/>
  <c r="AA16" i="4" s="1" a="1"/>
  <c r="Z17" i="4"/>
  <c r="AA17" i="4" s="1" a="1"/>
  <c r="Z18" i="4"/>
  <c r="AA18" i="4" s="1" a="1"/>
  <c r="Z19" i="4"/>
  <c r="AA19" i="4" s="1" a="1"/>
  <c r="Z20" i="4"/>
  <c r="AA20" i="4" s="1" a="1"/>
  <c r="Z21" i="4"/>
  <c r="AA21" i="4" s="1" a="1"/>
  <c r="Z22" i="4"/>
  <c r="AA22" i="4" s="1" a="1"/>
  <c r="Z23" i="4"/>
  <c r="AA23" i="4" s="1" a="1"/>
  <c r="Z24" i="4"/>
  <c r="AA24" i="4" s="1" a="1"/>
  <c r="Z25" i="4"/>
  <c r="AA25" i="4" s="1" a="1"/>
  <c r="Z26" i="4"/>
  <c r="AA26" i="4" s="1" a="1"/>
  <c r="Z27" i="4"/>
  <c r="AA27" i="4" s="1" a="1"/>
  <c r="Z28" i="4"/>
  <c r="AA28" i="4" s="1" a="1"/>
  <c r="Z29" i="4"/>
  <c r="AA29" i="4" s="1" a="1"/>
  <c r="Z30" i="4"/>
  <c r="AA30" i="4" s="1" a="1"/>
  <c r="Z31" i="4"/>
  <c r="AA31" i="4" s="1" a="1"/>
  <c r="Z32" i="4"/>
  <c r="AA32" i="4" s="1" a="1"/>
  <c r="Z2" i="4"/>
  <c r="Z3" i="3"/>
  <c r="AA3" i="3" s="1" a="1"/>
  <c r="Z4" i="3"/>
  <c r="AA4" i="3" s="1" a="1"/>
  <c r="Z5" i="3"/>
  <c r="AA5" i="3" s="1" a="1"/>
  <c r="Z6" i="3"/>
  <c r="AA6" i="3" s="1" a="1"/>
  <c r="Z7" i="3"/>
  <c r="AA7" i="3" s="1" a="1"/>
  <c r="Z8" i="3"/>
  <c r="AA8" i="3" s="1" a="1"/>
  <c r="Z9" i="3"/>
  <c r="AA9" i="3" s="1" a="1"/>
  <c r="Z10" i="3"/>
  <c r="AA10" i="3" s="1" a="1"/>
  <c r="Z11" i="3"/>
  <c r="AA11" i="3" s="1" a="1"/>
  <c r="Z12" i="3"/>
  <c r="AA12" i="3" s="1" a="1"/>
  <c r="Z13" i="3"/>
  <c r="AA13" i="3" s="1" a="1"/>
  <c r="Z14" i="3"/>
  <c r="AA14" i="3" s="1" a="1"/>
  <c r="Z15" i="3"/>
  <c r="AA15" i="3" s="1" a="1"/>
  <c r="Z16" i="3"/>
  <c r="AA16" i="3" s="1" a="1"/>
  <c r="Z17" i="3"/>
  <c r="AA17" i="3" s="1" a="1"/>
  <c r="Z18" i="3"/>
  <c r="AA18" i="3" s="1" a="1"/>
  <c r="Z19" i="3"/>
  <c r="AA19" i="3" s="1" a="1"/>
  <c r="Z20" i="3"/>
  <c r="AA20" i="3" s="1" a="1"/>
  <c r="Z21" i="3"/>
  <c r="AA21" i="3" s="1" a="1"/>
  <c r="Z22" i="3"/>
  <c r="AA22" i="3" s="1" a="1"/>
  <c r="Z23" i="3"/>
  <c r="AA23" i="3" s="1" a="1"/>
  <c r="Z24" i="3"/>
  <c r="AA24" i="3" s="1" a="1"/>
  <c r="Z25" i="3"/>
  <c r="AA25" i="3" s="1" a="1"/>
  <c r="Z26" i="3"/>
  <c r="AA26" i="3" s="1" a="1"/>
  <c r="Z27" i="3"/>
  <c r="AA27" i="3" s="1" a="1"/>
  <c r="Z28" i="3"/>
  <c r="AA28" i="3" s="1" a="1"/>
  <c r="Z29" i="3"/>
  <c r="AA29" i="3" s="1" a="1"/>
  <c r="Z2" i="3"/>
  <c r="Z3" i="2"/>
  <c r="AA3" i="2" s="1" a="1"/>
  <c r="Z4" i="2"/>
  <c r="AA4" i="2" s="1" a="1"/>
  <c r="Z5" i="2"/>
  <c r="AA5" i="2" s="1" a="1"/>
  <c r="Z6" i="2"/>
  <c r="AA6" i="2" s="1" a="1"/>
  <c r="Z7" i="2"/>
  <c r="AA7" i="2" s="1" a="1"/>
  <c r="Z8" i="2"/>
  <c r="AA8" i="2" s="1" a="1"/>
  <c r="Z9" i="2"/>
  <c r="AA9" i="2" s="1" a="1"/>
  <c r="Z10" i="2"/>
  <c r="AA10" i="2" s="1" a="1"/>
  <c r="Z11" i="2"/>
  <c r="AA11" i="2" s="1" a="1"/>
  <c r="Z12" i="2"/>
  <c r="AA12" i="2" s="1" a="1"/>
  <c r="Z13" i="2"/>
  <c r="AA13" i="2" s="1" a="1"/>
  <c r="Z14" i="2"/>
  <c r="AA14" i="2" s="1" a="1"/>
  <c r="Z15" i="2"/>
  <c r="AA15" i="2" s="1" a="1"/>
  <c r="Z16" i="2"/>
  <c r="AA16" i="2" s="1" a="1"/>
  <c r="Z17" i="2"/>
  <c r="AA17" i="2" s="1" a="1"/>
  <c r="Z18" i="2"/>
  <c r="AA18" i="2" s="1" a="1"/>
  <c r="Z19" i="2"/>
  <c r="AA19" i="2" s="1" a="1"/>
  <c r="Z20" i="2"/>
  <c r="AA20" i="2" s="1" a="1"/>
  <c r="Z21" i="2"/>
  <c r="AA21" i="2" s="1" a="1"/>
  <c r="Z22" i="2"/>
  <c r="AA22" i="2" s="1" a="1"/>
  <c r="Z23" i="2"/>
  <c r="AA23" i="2" s="1" a="1"/>
  <c r="Z24" i="2"/>
  <c r="AA24" i="2" s="1" a="1"/>
  <c r="Z25" i="2"/>
  <c r="AA25" i="2" s="1" a="1"/>
  <c r="Z26" i="2"/>
  <c r="AA26" i="2" s="1" a="1"/>
  <c r="Z27" i="2"/>
  <c r="AA27" i="2" s="1" a="1"/>
  <c r="Z28" i="2"/>
  <c r="AA28" i="2" s="1" a="1"/>
  <c r="Z29" i="2"/>
  <c r="AA29" i="2" s="1" a="1"/>
  <c r="Z30" i="2"/>
  <c r="AA30" i="2" s="1" a="1"/>
  <c r="Z31" i="2"/>
  <c r="AA31" i="2" s="1" a="1"/>
  <c r="Z32" i="2"/>
  <c r="AA32" i="2" s="1" a="1"/>
  <c r="Z2" i="2"/>
  <c r="AA2" i="11" l="1" a="1"/>
  <c r="Z33" i="11"/>
  <c r="AA2" i="5" a="1"/>
  <c r="Z32" i="5"/>
  <c r="AA2" i="4" a="1"/>
  <c r="Z33" i="4"/>
  <c r="AA2" i="3" a="1"/>
  <c r="Z30" i="3"/>
  <c r="AA2" i="2" a="1"/>
  <c r="Z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9B155-0949-48E6-A259-D51881551C8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4564B626-A950-4B30-908E-7DE16705F3BF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C5199366-34A9-4D6E-8EC5-F767E7A1ECDD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4F701ACE-F728-4B37-9286-DA03DCDA0A3B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1981B63F-16FE-4E49-A8D1-8122F7CA670C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6" xr16:uid="{F739290E-C61C-4876-BAB0-CA0853E70BAA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B2B1B588-9D9B-46C0-8454-C58E258E04CA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F6F2A20B-DEB5-4522-8247-7DD1D0497740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9" xr16:uid="{AC4197F8-B2CD-452D-BD90-23DA9EDE5B52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10" xr16:uid="{049B7475-1152-4A38-846A-BF9CDB810053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11" xr16:uid="{8CBF8518-C6EE-4CFF-BF59-0A3855555FD0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12" xr16:uid="{9EC0D41E-8F99-4FA1-9396-4FCB74B7F621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<sst xmlns="http://schemas.openxmlformats.org/spreadsheetml/2006/main" count="324" uniqueCount="27">
  <si>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</si>
  <si>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</si>
  <si>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</si>
  <si>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</si>
  <si>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</si>
  <si>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</si>
  <si>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</si>
  <si>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</si>
  <si>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</si>
  <si>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</si>
  <si>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</si>
  <si>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</si>
  <si>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</si>
  <si>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</si>
  <si>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</si>
  <si>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</si>
  <si>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</si>
  <si>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</si>
  <si>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</si>
  <si>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</si>
  <si>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</si>
  <si>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</si>
  <si>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</si>
  <si>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</si>
  <si>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</si>
  <si>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QUALITY</t>
  </si>
  <si>
    <t>AVERAGE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</si>
</sst>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8">
    <dxf>
      <numFmt numFmtId="2" formatCode="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C00000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1D7BA8-ED0B-43B4-980A-818876C55DB8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F0C4F9C-3EB9-4C1F-B6C0-09688490365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EC4B205E-5F13-41BB-A303-CA5BE66C79A5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24DA4BF-954D-486B-AA3C-309E31314D5D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6C1C36C-0359-417E-94AC-66C14A5E4C39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7FB486B-6329-4B27-8CA6-B050B27E3A2E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33342E2-D076-4414-8090-F3B9E2FA0ED8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88463E0B-0F58-43F1-9A10-63E7F120C5B9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9F2F3D01-C501-40DB-A736-3102117EB21E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2A80433-2C92-4D43-A46D-542F2A7E2A70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2EF7B50-F54E-4CB0-8A1A-D95A4157319B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2E2A07A-9F14-45DE-A388-FBA1C9FE53BF}" autoFormatId="16" applyNumberFormats="0" applyBorderFormats="0" applyFontFormats="0" applyPatternFormats="0" applyAlignmentFormats="0" applyWidthHeightFormats="0">
  <queryTableRefresh nextId="28" unboundColumnsRight="2">
    <queryTableFields count="27">
      <queryTableField id="1" name="Date" tableColumnId="1"/>
      <queryTableField id="2" name="00:00:00" tableColumnId="2"/>
      <queryTableField id="3" name="01:00:00" tableColumnId="3"/>
      <queryTableField id="4" name="02:00:00" tableColumnId="4"/>
      <queryTableField id="5" name="03:00:00" tableColumnId="5"/>
      <queryTableField id="6" name="04:00:00" tableColumnId="6"/>
      <queryTableField id="7" name="05:00:00" tableColumnId="7"/>
      <queryTableField id="8" name="06:00:00" tableColumnId="8"/>
      <queryTableField id="9" name="07:00:00" tableColumnId="9"/>
      <queryTableField id="10" name="08:00:00" tableColumnId="10"/>
      <queryTableField id="11" name="09:00:00" tableColumnId="11"/>
      <queryTableField id="12" name="10:00:00" tableColumnId="12"/>
      <queryTableField id="13" name="11:00:00" tableColumnId="13"/>
      <queryTableField id="14" name="12:00:00" tableColumnId="14"/>
      <queryTableField id="15" name="13:00:00" tableColumnId="15"/>
      <queryTableField id="16" name="14:00:00" tableColumnId="16"/>
      <queryTableField id="17" name="15:00:00" tableColumnId="17"/>
      <queryTableField id="18" name="16:00:00" tableColumnId="18"/>
      <queryTableField id="19" name="17:00:00" tableColumnId="19"/>
      <queryTableField id="20" name="18:00:00" tableColumnId="20"/>
      <queryTableField id="21" name="19:00:00" tableColumnId="21"/>
      <queryTableField id="22" name="20:00:00" tableColumnId="22"/>
      <queryTableField id="23" name="21:00:00" tableColumnId="23"/>
      <queryTableField id="24" name="22:00:00" tableColumnId="24"/>
      <queryTableField id="25" name="23:00:00" tableColumnId="25"/>
      <queryTableField id="26" dataBound="0" tableColumnId="26"/>
      <queryTableField id="27" dataBound="0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5C0D31-E521-4449-81C2-BB91BEB3603F}" name="Sheet1" displayName="Sheet1" ref="A1:AA33" tableType="queryTable" totalsRowCount="1">
  <autoFilter ref="A1:AA32" xr:uid="{005C0D31-E521-4449-81C2-BB91BEB3603F}"/>
  <tableColumns count="27">
    <tableColumn id="1" xr3:uid="{7AB44D78-F6C1-4B4D-8341-7FFC8375A602}" uniqueName="1" name="Date" queryTableFieldId="1"/>
    <tableColumn id="2" xr3:uid="{AB3592F1-797A-40A9-AA28-5542EA8DF233}" uniqueName="2" name="00:00:00" queryTableFieldId="2"/>
    <tableColumn id="3" xr3:uid="{496BD34A-99E3-43C7-A774-6D6F1E1C7CCE}" uniqueName="3" name="01:00:00" queryTableFieldId="3"/>
    <tableColumn id="4" xr3:uid="{E7C60DA8-CA2F-4C82-8685-D4E252B9730F}" uniqueName="4" name="02:00:00" queryTableFieldId="4"/>
    <tableColumn id="5" xr3:uid="{E1782B95-A178-49A4-A183-E7E37FFA7E57}" uniqueName="5" name="03:00:00" queryTableFieldId="5"/>
    <tableColumn id="6" xr3:uid="{08810310-123D-4D68-9A6D-B679AB9AFB00}" uniqueName="6" name="04:00:00" queryTableFieldId="6"/>
    <tableColumn id="7" xr3:uid="{4525588B-7D93-42B2-B401-655A5C69DC07}" uniqueName="7" name="05:00:00" queryTableFieldId="7"/>
    <tableColumn id="8" xr3:uid="{B4694CC9-431A-4083-A0CB-236842E2826A}" uniqueName="8" name="06:00:00" queryTableFieldId="8"/>
    <tableColumn id="9" xr3:uid="{3C764B9F-A996-4537-842A-130B71C61B13}" uniqueName="9" name="07:00:00" queryTableFieldId="9"/>
    <tableColumn id="10" xr3:uid="{6C329BE2-C1C1-4944-B0AC-27C573E09FB6}" uniqueName="10" name="08:00:00" queryTableFieldId="10"/>
    <tableColumn id="11" xr3:uid="{2CAF0D03-57E6-4AAB-A7DF-549C07A6BCD8}" uniqueName="11" name="09:00:00" queryTableFieldId="11"/>
    <tableColumn id="12" xr3:uid="{0AD35EDF-2A45-40A3-857D-A052BD33B913}" uniqueName="12" name="10:00:00" queryTableFieldId="12"/>
    <tableColumn id="13" xr3:uid="{9A3E364A-D842-438C-95A0-C09C29244137}" uniqueName="13" name="11:00:00" queryTableFieldId="13"/>
    <tableColumn id="14" xr3:uid="{FAA76E64-005B-4A66-8E53-DAFA25997C93}" uniqueName="14" name="12:00:00" queryTableFieldId="14"/>
    <tableColumn id="15" xr3:uid="{C5444578-7BFE-4BB4-B928-34C383B38761}" uniqueName="15" name="13:00:00" queryTableFieldId="15"/>
    <tableColumn id="16" xr3:uid="{AEA103E1-8D53-401C-9CD0-D91D34A090DB}" uniqueName="16" name="14:00:00" queryTableFieldId="16"/>
    <tableColumn id="17" xr3:uid="{4120D560-2634-46D9-B75A-3B083B6639E3}" uniqueName="17" name="15:00:00" queryTableFieldId="17"/>
    <tableColumn id="18" xr3:uid="{901A3600-1E1F-44F1-BFA8-05060A622719}" uniqueName="18" name="16:00:00" queryTableFieldId="18"/>
    <tableColumn id="19" xr3:uid="{E80E3ECA-C02F-4BFB-AFB5-F8D39D8FC372}" uniqueName="19" name="17:00:00" queryTableFieldId="19"/>
    <tableColumn id="20" xr3:uid="{C44C0E14-CD34-4FC6-BC7B-E07DCC31DBA8}" uniqueName="20" name="18:00:00" queryTableFieldId="20"/>
    <tableColumn id="21" xr3:uid="{06165EF1-B7AD-4FC3-8A15-A9824A1FBF63}" uniqueName="21" name="19:00:00" queryTableFieldId="21"/>
    <tableColumn id="22" xr3:uid="{DE8EC7DB-5E50-4E78-8F4D-78F9626E3E59}" uniqueName="22" name="20:00:00" queryTableFieldId="22"/>
    <tableColumn id="23" xr3:uid="{A2DF0B12-9F10-4F1B-85CD-2384561CC185}" uniqueName="23" name="21:00:00" queryTableFieldId="23"/>
    <tableColumn id="24" xr3:uid="{D1FD0D6B-2302-4BE3-8780-1ABAC9A5FEAD}" uniqueName="24" name="22:00:00" queryTableFieldId="24"/>
    <tableColumn id="25" xr3:uid="{97E4D930-822E-4C70-84CF-E27A9882D41C}" uniqueName="25" name="23:00:00" queryTableFieldId="25"/>
    <tableColumn id="26" xr3:uid="{F57100A1-E12D-45A5-BC18-BE49C78C8408}" uniqueName="26" name="AVERAGE AQI" totalsRowFunction="custom" queryTableFieldId="26" dataDxfId="77" totalsRowDxfId="74">
      <calculatedColumnFormula>AVERAGE(Sheet1[[#This Row],[00:00:00]:[23:00:00]])</calculatedColumnFormula>
      <totalsRowFormula>AVERAGE(Sheet1[AVERAGE AQI])</totalsRowFormula>
    </tableColumn>
    <tableColumn id="27" xr3:uid="{FAA2DB59-0334-43CF-B4EB-79C11E76AF8D}" uniqueName="27" name="QUALITY" queryTableFieldId="27" dataDxfId="76" totalsRowDxfId="75">
      <calculatedColumnFormula array="1">_xlfn.IFS(Sheet1[[#This Row],[AVERAGE AQI]]&lt;50,"GOOD",Sheet1[[#This Row],[AVERAGE AQI]]&lt;=100,"MODERATE",Sheet1[[#This Row],[AVERAGE AQI]]&lt;=150,"BAD",Sheet1[[#This Row],[AVERAGE AQI]]&lt;=200,"VERY BAD",Sheet1[[#This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06B959-787A-484C-BBB6-A47A651B7431}" name="Sheet1__2" displayName="Sheet1__2" ref="A1:AA30" tableType="queryTable" totalsRowCount="1">
  <autoFilter ref="A1:AA29" xr:uid="{FD06B959-787A-484C-BBB6-A47A651B7431}"/>
  <tableColumns count="27">
    <tableColumn id="1" xr3:uid="{D865CCB0-D12F-4650-892A-C5E057CB82D9}" uniqueName="1" name="Date" queryTableFieldId="1"/>
    <tableColumn id="2" xr3:uid="{A0630B39-B30E-4B99-B37E-31B21232ECC4}" uniqueName="2" name="00:00:00" queryTableFieldId="2"/>
    <tableColumn id="3" xr3:uid="{3273816A-BD7B-430B-883C-28E0BACC736B}" uniqueName="3" name="01:00:00" queryTableFieldId="3"/>
    <tableColumn id="4" xr3:uid="{908D9005-54DE-4499-883A-2F0E0C99B08F}" uniqueName="4" name="02:00:00" queryTableFieldId="4"/>
    <tableColumn id="5" xr3:uid="{37B236FB-6E7B-406C-AEAC-7CC3D22620AC}" uniqueName="5" name="03:00:00" queryTableFieldId="5"/>
    <tableColumn id="6" xr3:uid="{39130CAA-2D02-4E10-AB9A-A3DF801ADC15}" uniqueName="6" name="04:00:00" queryTableFieldId="6"/>
    <tableColumn id="7" xr3:uid="{1EAF332D-4F87-4EBA-B79C-9C55844E37AC}" uniqueName="7" name="05:00:00" queryTableFieldId="7"/>
    <tableColumn id="8" xr3:uid="{603A731F-C9BF-479C-99FB-5A5CD176FDFD}" uniqueName="8" name="06:00:00" queryTableFieldId="8"/>
    <tableColumn id="9" xr3:uid="{E2B3770F-019D-4698-984D-60B3D296A95C}" uniqueName="9" name="07:00:00" queryTableFieldId="9"/>
    <tableColumn id="10" xr3:uid="{69E312D2-2FCE-4332-A3A7-3633C8FD4A60}" uniqueName="10" name="08:00:00" queryTableFieldId="10"/>
    <tableColumn id="11" xr3:uid="{BB9D7247-BF25-486B-8CD5-898B4493D648}" uniqueName="11" name="09:00:00" queryTableFieldId="11"/>
    <tableColumn id="12" xr3:uid="{8A02B895-F33D-4EA1-B7C4-62258E07A2E1}" uniqueName="12" name="10:00:00" queryTableFieldId="12"/>
    <tableColumn id="13" xr3:uid="{EC08F1A8-F46F-4C72-A1BA-42FF2FADE0F3}" uniqueName="13" name="11:00:00" queryTableFieldId="13"/>
    <tableColumn id="14" xr3:uid="{1CC6F98D-E043-4965-A0DA-E16621A6BB98}" uniqueName="14" name="12:00:00" queryTableFieldId="14"/>
    <tableColumn id="15" xr3:uid="{7DDE1A52-E34E-42E0-B285-28DAFAF74C65}" uniqueName="15" name="13:00:00" queryTableFieldId="15"/>
    <tableColumn id="16" xr3:uid="{91705694-DAC9-4BAC-8964-D87B2C34F1E1}" uniqueName="16" name="14:00:00" queryTableFieldId="16"/>
    <tableColumn id="17" xr3:uid="{825776A7-D72F-4632-A24B-55653571EC8B}" uniqueName="17" name="15:00:00" queryTableFieldId="17"/>
    <tableColumn id="18" xr3:uid="{EF998E8F-B48B-4491-8D17-BE8FC002AEA5}" uniqueName="18" name="16:00:00" queryTableFieldId="18"/>
    <tableColumn id="19" xr3:uid="{E66FF577-9D89-4C6D-8E16-AA0BB8D86DAA}" uniqueName="19" name="17:00:00" queryTableFieldId="19"/>
    <tableColumn id="20" xr3:uid="{8A0ECDB3-BCB2-4E8A-A631-013D6CFCBB38}" uniqueName="20" name="18:00:00" queryTableFieldId="20"/>
    <tableColumn id="21" xr3:uid="{B5C1CB22-5CCA-459E-8D32-67D2E0024389}" uniqueName="21" name="19:00:00" queryTableFieldId="21"/>
    <tableColumn id="22" xr3:uid="{68F46CB8-9DE6-4D0E-BAA9-5366D880815E}" uniqueName="22" name="20:00:00" queryTableFieldId="22"/>
    <tableColumn id="23" xr3:uid="{7873BB9C-981C-4BF9-B8D9-BB0D2EEC788D}" uniqueName="23" name="21:00:00" queryTableFieldId="23"/>
    <tableColumn id="24" xr3:uid="{E11E4CB4-C1E1-4365-A952-8F36A5B7F0BE}" uniqueName="24" name="22:00:00" queryTableFieldId="24"/>
    <tableColumn id="25" xr3:uid="{45E46A4B-9FDB-4A94-8018-B2E6F19D3FF9}" uniqueName="25" name="23:00:00" queryTableFieldId="25"/>
    <tableColumn id="26" xr3:uid="{68E211C7-21DC-4D9D-9EAC-B293B1AB60E5}" uniqueName="26" name="AVERAGE AQI" totalsRowFunction="custom" queryTableFieldId="26" dataDxfId="73" totalsRowDxfId="70">
      <calculatedColumnFormula>AVERAGE(Sheet1__2[[#This Row],[00:00:00]:[23:00:00]])</calculatedColumnFormula>
      <totalsRowFormula>AVERAGE(Sheet1__2[AVERAGE AQI])</totalsRowFormula>
    </tableColumn>
    <tableColumn id="27" xr3:uid="{1D5E8152-1938-439E-BBD4-1FDE356CE38A}" uniqueName="27" name="QUALITY" queryTableFieldId="27" dataDxfId="72" totalsRowDxfId="71">
      <calculatedColumnFormula array="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7FFA0A-30E4-4E0E-8A3F-7289322C452C}" name="Sheet1__3" displayName="Sheet1__3" ref="A1:AA33" tableType="queryTable" totalsRowCount="1">
  <autoFilter ref="A1:AA32" xr:uid="{367FFA0A-30E4-4E0E-8A3F-7289322C452C}"/>
  <tableColumns count="27">
    <tableColumn id="1" xr3:uid="{55A371AF-2E46-4E4D-A150-64BFF3EFCC65}" uniqueName="1" name="Date" queryTableFieldId="1"/>
    <tableColumn id="2" xr3:uid="{975D4EFA-4DC0-401C-9ECF-4C2D04534B7F}" uniqueName="2" name="00:00:00" queryTableFieldId="2"/>
    <tableColumn id="3" xr3:uid="{F02C90DB-24E1-4B13-B506-07A90C18DE69}" uniqueName="3" name="01:00:00" queryTableFieldId="3"/>
    <tableColumn id="4" xr3:uid="{E705328C-D245-4E95-91A3-EB99D9D4770D}" uniqueName="4" name="02:00:00" queryTableFieldId="4"/>
    <tableColumn id="5" xr3:uid="{48F2C1D5-488A-42BD-A1FE-8231F60A30DB}" uniqueName="5" name="03:00:00" queryTableFieldId="5"/>
    <tableColumn id="6" xr3:uid="{9746741F-9102-4CEB-8E7A-189E6F8B3B87}" uniqueName="6" name="04:00:00" queryTableFieldId="6"/>
    <tableColumn id="7" xr3:uid="{3768D7BA-2E8E-4F72-831C-4D7363BF1C8F}" uniqueName="7" name="05:00:00" queryTableFieldId="7"/>
    <tableColumn id="8" xr3:uid="{DEFCAD0D-68A8-442D-B46F-9908982A8107}" uniqueName="8" name="06:00:00" queryTableFieldId="8"/>
    <tableColumn id="9" xr3:uid="{EC10C0A5-24FC-468E-A3CA-07198460F1FC}" uniqueName="9" name="07:00:00" queryTableFieldId="9"/>
    <tableColumn id="10" xr3:uid="{6343B03C-6123-4CBD-B2A3-BE9A3F7D1B83}" uniqueName="10" name="08:00:00" queryTableFieldId="10"/>
    <tableColumn id="11" xr3:uid="{7C93E286-0113-481B-9733-CDFBF5AFAB42}" uniqueName="11" name="09:00:00" queryTableFieldId="11"/>
    <tableColumn id="12" xr3:uid="{0B194956-E144-4D78-BDAE-D8E24946996D}" uniqueName="12" name="10:00:00" queryTableFieldId="12"/>
    <tableColumn id="13" xr3:uid="{14FB96C0-08E1-4B81-BD4F-C1DBDE968648}" uniqueName="13" name="11:00:00" queryTableFieldId="13"/>
    <tableColumn id="14" xr3:uid="{32930779-62FF-48AC-B3F4-34F82BB79DC4}" uniqueName="14" name="12:00:00" queryTableFieldId="14"/>
    <tableColumn id="15" xr3:uid="{39B96C83-D801-40CB-B8AB-A269B70DB898}" uniqueName="15" name="13:00:00" queryTableFieldId="15"/>
    <tableColumn id="16" xr3:uid="{7DF616B3-19E7-403B-A5FC-C8CBD2D5597E}" uniqueName="16" name="14:00:00" queryTableFieldId="16"/>
    <tableColumn id="17" xr3:uid="{3F7FDDDA-EA88-476A-B32A-3BEA35ECB170}" uniqueName="17" name="15:00:00" queryTableFieldId="17"/>
    <tableColumn id="18" xr3:uid="{1F62A7B6-2DE9-4728-AA89-158CCE7752D1}" uniqueName="18" name="16:00:00" queryTableFieldId="18"/>
    <tableColumn id="19" xr3:uid="{C815F4F3-E771-4F0D-83B2-11636C74116D}" uniqueName="19" name="17:00:00" queryTableFieldId="19"/>
    <tableColumn id="20" xr3:uid="{B7BF922E-B316-487C-9964-4033524ED196}" uniqueName="20" name="18:00:00" queryTableFieldId="20"/>
    <tableColumn id="21" xr3:uid="{17C06D82-30AF-4D2C-8053-D1B1EC010BE0}" uniqueName="21" name="19:00:00" queryTableFieldId="21"/>
    <tableColumn id="22" xr3:uid="{221CA281-9454-4E59-871F-A3B3938DCEED}" uniqueName="22" name="20:00:00" queryTableFieldId="22"/>
    <tableColumn id="23" xr3:uid="{112730AE-5C24-4409-9E52-20B4FE5283C7}" uniqueName="23" name="21:00:00" queryTableFieldId="23"/>
    <tableColumn id="24" xr3:uid="{8A0C1E96-EAD4-47AC-856C-7CB6D11D23BD}" uniqueName="24" name="22:00:00" queryTableFieldId="24"/>
    <tableColumn id="25" xr3:uid="{D21E9CDE-6CB5-4D59-9B6A-9F2B136C9D51}" uniqueName="25" name="23:00:00" queryTableFieldId="25"/>
    <tableColumn id="26" xr3:uid="{64C57320-574D-4395-AD7C-9A02C01890AE}" uniqueName="26" name="AVERAGE AQI" totalsRowFunction="custom" queryTableFieldId="26" dataDxfId="69" totalsRowDxfId="66">
      <calculatedColumnFormula>AVERAGE(Sheet1__3[[#This Row],[00:00:00]:[23:00:00]])</calculatedColumnFormula>
      <totalsRowFormula>AVERAGE(Sheet1__3[AVERAGE AQI])</totalsRowFormula>
    </tableColumn>
    <tableColumn id="27" xr3:uid="{3B6D551B-FF7B-45CA-ACF7-67C23D6572D1}" uniqueName="27" name="QUALITY" queryTableFieldId="27" dataDxfId="68" totalsRowDxfId="67">
      <calculatedColumnFormula array="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A248CD-F179-4759-A38A-F0EE62E805B8}" name="Sheet1__4" displayName="Sheet1__4" ref="A1:AA32" tableType="queryTable" totalsRowCount="1">
  <autoFilter ref="A1:AA31" xr:uid="{3EA248CD-F179-4759-A38A-F0EE62E805B8}"/>
  <tableColumns count="27">
    <tableColumn id="1" xr3:uid="{6EB20608-69B0-42F1-A76D-BF12C93AF0F7}" uniqueName="1" name="Date" queryTableFieldId="1"/>
    <tableColumn id="2" xr3:uid="{8EBAE50D-BE1B-4520-85C3-CA039150044A}" uniqueName="2" name="00:00:00" queryTableFieldId="2"/>
    <tableColumn id="3" xr3:uid="{61053CD7-D792-4932-A0C5-82BE08098959}" uniqueName="3" name="01:00:00" queryTableFieldId="3"/>
    <tableColumn id="4" xr3:uid="{4684DAA8-2242-4BCF-9AEC-33652DB79ADE}" uniqueName="4" name="02:00:00" queryTableFieldId="4"/>
    <tableColumn id="5" xr3:uid="{E862704C-FBD2-4415-ADA6-2A15A830C3B3}" uniqueName="5" name="03:00:00" queryTableFieldId="5"/>
    <tableColumn id="6" xr3:uid="{1C00FDBF-A307-4E15-812B-09AD32BDB366}" uniqueName="6" name="04:00:00" queryTableFieldId="6"/>
    <tableColumn id="7" xr3:uid="{F69B16B0-01A7-4211-9B8C-A861C7DB23DE}" uniqueName="7" name="05:00:00" queryTableFieldId="7"/>
    <tableColumn id="8" xr3:uid="{BF6F9D30-0A91-4E60-863D-E7F3EC7CC969}" uniqueName="8" name="06:00:00" queryTableFieldId="8"/>
    <tableColumn id="9" xr3:uid="{FF641177-E871-4E1A-BC94-C2F332D45944}" uniqueName="9" name="07:00:00" queryTableFieldId="9"/>
    <tableColumn id="10" xr3:uid="{DFA7E8CF-CFC4-493B-8CCD-5AB6624F6F49}" uniqueName="10" name="08:00:00" queryTableFieldId="10"/>
    <tableColumn id="11" xr3:uid="{6CE2F56E-EE7C-4383-8511-4F5B75A45A0E}" uniqueName="11" name="09:00:00" queryTableFieldId="11"/>
    <tableColumn id="12" xr3:uid="{82725C47-0D02-4BDC-AAEA-89FB03F3D0DB}" uniqueName="12" name="10:00:00" queryTableFieldId="12"/>
    <tableColumn id="13" xr3:uid="{C004309F-6156-4ED2-BD01-0874246242E5}" uniqueName="13" name="11:00:00" queryTableFieldId="13"/>
    <tableColumn id="14" xr3:uid="{B2CB97C9-3201-46D6-B3B3-17B9617E7E35}" uniqueName="14" name="12:00:00" queryTableFieldId="14"/>
    <tableColumn id="15" xr3:uid="{9E38A6A0-2D65-437F-923E-EF38FB38D6B2}" uniqueName="15" name="13:00:00" queryTableFieldId="15"/>
    <tableColumn id="16" xr3:uid="{9B76B495-310A-492A-AAD4-49070BF3BC2F}" uniqueName="16" name="14:00:00" queryTableFieldId="16"/>
    <tableColumn id="17" xr3:uid="{CF5A74E2-0EF7-4345-BE2E-52F3537DEF5D}" uniqueName="17" name="15:00:00" queryTableFieldId="17"/>
    <tableColumn id="18" xr3:uid="{DB0171E8-1E22-4D9B-9761-CBF93DCD543E}" uniqueName="18" name="16:00:00" queryTableFieldId="18"/>
    <tableColumn id="19" xr3:uid="{4B90EBE2-5F17-480E-B836-9E3A69BE1A5C}" uniqueName="19" name="17:00:00" queryTableFieldId="19"/>
    <tableColumn id="20" xr3:uid="{CC572EFD-4AE2-4D6D-8752-6F08EFD202A6}" uniqueName="20" name="18:00:00" queryTableFieldId="20"/>
    <tableColumn id="21" xr3:uid="{936EA7A1-0016-4600-ACCF-7F463B180458}" uniqueName="21" name="19:00:00" queryTableFieldId="21"/>
    <tableColumn id="22" xr3:uid="{7D546863-F73B-4252-996D-B340FCB86E65}" uniqueName="22" name="20:00:00" queryTableFieldId="22"/>
    <tableColumn id="23" xr3:uid="{DC5067E6-B133-4A45-B9C4-3AFAAAE4BB58}" uniqueName="23" name="21:00:00" queryTableFieldId="23"/>
    <tableColumn id="24" xr3:uid="{197BFF49-B660-437E-B332-8E05C1B710A5}" uniqueName="24" name="22:00:00" queryTableFieldId="24"/>
    <tableColumn id="25" xr3:uid="{31020AB9-C5C0-4B65-8585-E030C7FE5E6F}" uniqueName="25" name="23:00:00" queryTableFieldId="25"/>
    <tableColumn id="26" xr3:uid="{5CCCE437-148F-41FC-B34E-F724E0FB11A7}" uniqueName="26" name="AVERAGE AQI" totalsRowFunction="custom" queryTableFieldId="26" dataDxfId="65" totalsRowDxfId="62">
      <calculatedColumnFormula>AVERAGE(Sheet1__4[[#This Row],[00:00:00]:[23:00:00]])</calculatedColumnFormula>
      <totalsRowFormula>AVERAGE(Sheet1__4[AVERAGE AQI])</totalsRowFormula>
    </tableColumn>
    <tableColumn id="27" xr3:uid="{ECC4879E-0949-4F9B-93B5-691C2886C852}" uniqueName="27" name="QUALITY" queryTableFieldId="27" dataDxfId="64" totalsRowDxfId="63">
      <calculatedColumnFormula array="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81645C0-F680-4DE6-B27F-D327EC8D2186}" name="Sheet1__5" displayName="Sheet1__5" ref="A1:AA33" tableType="queryTable" totalsRowCount="1">
  <autoFilter ref="A1:AA32" xr:uid="{981645C0-F680-4DE6-B27F-D327EC8D2186}"/>
  <tableColumns count="27">
    <tableColumn id="1" xr3:uid="{4F702EF5-402F-48D1-8E81-7EFA94E9DBEE}" uniqueName="1" name="Date" queryTableFieldId="1"/>
    <tableColumn id="2" xr3:uid="{EFF0C535-70D0-49D5-92A3-AB0BDE283FC7}" uniqueName="2" name="00:00:00" queryTableFieldId="2"/>
    <tableColumn id="3" xr3:uid="{BC5D6953-FD3E-4F33-A4CA-980E11B57A2B}" uniqueName="3" name="01:00:00" queryTableFieldId="3"/>
    <tableColumn id="4" xr3:uid="{730A7CB7-E464-4820-A070-AC0AEA185AC6}" uniqueName="4" name="02:00:00" queryTableFieldId="4"/>
    <tableColumn id="5" xr3:uid="{D80DEB09-EAA3-495D-A688-612F9FCFC514}" uniqueName="5" name="03:00:00" queryTableFieldId="5"/>
    <tableColumn id="6" xr3:uid="{4CCC84EC-B39B-47C6-9405-BDC18AA95099}" uniqueName="6" name="04:00:00" queryTableFieldId="6"/>
    <tableColumn id="7" xr3:uid="{800D7A78-9366-4426-B530-3C93532984F0}" uniqueName="7" name="05:00:00" queryTableFieldId="7"/>
    <tableColumn id="8" xr3:uid="{11F4E796-2443-4F5A-AFE1-6134AF95595D}" uniqueName="8" name="06:00:00" queryTableFieldId="8"/>
    <tableColumn id="9" xr3:uid="{24A6D1AC-E9A3-4C8C-86AD-55852FD764F8}" uniqueName="9" name="07:00:00" queryTableFieldId="9"/>
    <tableColumn id="10" xr3:uid="{27FF631F-56F1-47FA-B104-CB050B51A2B2}" uniqueName="10" name="08:00:00" queryTableFieldId="10"/>
    <tableColumn id="11" xr3:uid="{91762287-3357-4315-B48D-E1B0F0CF45DD}" uniqueName="11" name="09:00:00" queryTableFieldId="11"/>
    <tableColumn id="12" xr3:uid="{414257D0-17FC-4EFE-8D19-42D564B8831E}" uniqueName="12" name="10:00:00" queryTableFieldId="12"/>
    <tableColumn id="13" xr3:uid="{6DE029CD-D3AA-4038-B019-975846B740E0}" uniqueName="13" name="11:00:00" queryTableFieldId="13"/>
    <tableColumn id="14" xr3:uid="{476C8AFD-5E38-4548-A961-B2D5ADB2F6C2}" uniqueName="14" name="12:00:00" queryTableFieldId="14"/>
    <tableColumn id="15" xr3:uid="{9B81EFE8-AB6A-44A1-B7EB-6D1D9B204F8C}" uniqueName="15" name="13:00:00" queryTableFieldId="15"/>
    <tableColumn id="16" xr3:uid="{440B02C9-441C-478A-9940-F7FA409FA3BE}" uniqueName="16" name="14:00:00" queryTableFieldId="16"/>
    <tableColumn id="17" xr3:uid="{7E62DEB0-22DE-40BD-85E5-E7DAA4353143}" uniqueName="17" name="15:00:00" queryTableFieldId="17"/>
    <tableColumn id="18" xr3:uid="{427B76D6-D3B2-4FC5-B8F2-4224D453F222}" uniqueName="18" name="16:00:00" queryTableFieldId="18"/>
    <tableColumn id="19" xr3:uid="{E22D38E0-0C84-4EAD-AE1D-1777C6745C57}" uniqueName="19" name="17:00:00" queryTableFieldId="19"/>
    <tableColumn id="20" xr3:uid="{4229370A-A589-45ED-8E94-1311D0D74B84}" uniqueName="20" name="18:00:00" queryTableFieldId="20"/>
    <tableColumn id="21" xr3:uid="{E144E59F-C4B8-434E-A9D8-433316C2B291}" uniqueName="21" name="19:00:00" queryTableFieldId="21"/>
    <tableColumn id="22" xr3:uid="{EBB742B2-0605-4626-8AF8-9B49BF0F5CF0}" uniqueName="22" name="20:00:00" queryTableFieldId="22"/>
    <tableColumn id="23" xr3:uid="{5659B114-426A-4771-B14C-A0085264542C}" uniqueName="23" name="21:00:00" queryTableFieldId="23"/>
    <tableColumn id="24" xr3:uid="{73409659-D12B-4347-801F-CDB39D247DC3}" uniqueName="24" name="22:00:00" queryTableFieldId="24"/>
    <tableColumn id="25" xr3:uid="{BB65043E-28DD-44CC-BAB3-4B41720608A3}" uniqueName="25" name="23:00:00" queryTableFieldId="25"/>
    <tableColumn id="26" xr3:uid="{48157662-9A80-4378-8AD8-3F21B97BFC80}" uniqueName="26" name="AVERAGE AQI" totalsRowFunction="custom" queryTableFieldId="26" dataDxfId="60" totalsRowDxfId="58">
      <calculatedColumnFormula>AVERAGE(Sheet1__5[[#This Row],[00:00:00]:[23:00:00]])</calculatedColumnFormula>
      <totalsRowFormula>AVERAGE(Sheet1__5[AVERAGE AQI])</totalsRowFormula>
    </tableColumn>
    <tableColumn id="27" xr3:uid="{261B0035-827B-4C96-B163-018777990156}" uniqueName="27" name="QUALITY" queryTableFieldId="27" dataDxfId="61" totalsRowDxfId="59">
      <calculatedColumnFormula array="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8F73B2-0F47-42A9-8693-DF7116F895BB}" name="Sheet1__6" displayName="Sheet1__6" ref="A1:AA32" tableType="queryTable" totalsRowCount="1">
  <autoFilter ref="A1:AA31" xr:uid="{3D8F73B2-0F47-42A9-8693-DF7116F895BB}"/>
  <tableColumns count="27">
    <tableColumn id="1" xr3:uid="{FB31B766-F8E8-4050-A71D-4466C198A4DA}" uniqueName="1" name="Date" queryTableFieldId="1"/>
    <tableColumn id="2" xr3:uid="{2D6AA828-7480-404E-9468-3C52D4F3E7CB}" uniqueName="2" name="00:00:00" queryTableFieldId="2"/>
    <tableColumn id="3" xr3:uid="{2E0379C7-D163-4589-BB9B-FA582BFD9F79}" uniqueName="3" name="01:00:00" queryTableFieldId="3"/>
    <tableColumn id="4" xr3:uid="{B3B00494-1B31-4FC1-9A97-AFD9BB14CCA8}" uniqueName="4" name="02:00:00" queryTableFieldId="4"/>
    <tableColumn id="5" xr3:uid="{8E593BBB-3027-43F6-BE66-AA9BEF5C25D2}" uniqueName="5" name="03:00:00" queryTableFieldId="5"/>
    <tableColumn id="6" xr3:uid="{C03EBD49-3F7E-407C-A34C-B7C391383FA1}" uniqueName="6" name="04:00:00" queryTableFieldId="6"/>
    <tableColumn id="7" xr3:uid="{B2FCA84B-A856-40B9-939D-B7CC105389BA}" uniqueName="7" name="05:00:00" queryTableFieldId="7"/>
    <tableColumn id="8" xr3:uid="{5375D227-E025-4BB8-A641-F6C9CB900951}" uniqueName="8" name="06:00:00" queryTableFieldId="8"/>
    <tableColumn id="9" xr3:uid="{65F8A991-AC5A-49C3-AB9E-4947578A9ACA}" uniqueName="9" name="07:00:00" queryTableFieldId="9"/>
    <tableColumn id="10" xr3:uid="{CBE2BA3B-059D-4026-864E-DCD408A8DF09}" uniqueName="10" name="08:00:00" queryTableFieldId="10"/>
    <tableColumn id="11" xr3:uid="{BE8CE049-4494-410D-962C-D5D61A03FEB3}" uniqueName="11" name="09:00:00" queryTableFieldId="11"/>
    <tableColumn id="12" xr3:uid="{44D0C84F-CFC6-423F-B779-00B59A19FBEC}" uniqueName="12" name="10:00:00" queryTableFieldId="12"/>
    <tableColumn id="13" xr3:uid="{6F7B4225-5559-40BD-95AB-56E06DF35DFD}" uniqueName="13" name="11:00:00" queryTableFieldId="13"/>
    <tableColumn id="14" xr3:uid="{A053B45A-E2BB-4998-8E2E-FA9146C8C886}" uniqueName="14" name="12:00:00" queryTableFieldId="14"/>
    <tableColumn id="15" xr3:uid="{4243CEB5-4485-4B19-A7A4-5279B0E57197}" uniqueName="15" name="13:00:00" queryTableFieldId="15"/>
    <tableColumn id="16" xr3:uid="{8D6462EE-47FA-4830-A618-A2FF993BDE40}" uniqueName="16" name="14:00:00" queryTableFieldId="16"/>
    <tableColumn id="17" xr3:uid="{D8507A21-C459-4F2F-8718-148095EDB928}" uniqueName="17" name="15:00:00" queryTableFieldId="17"/>
    <tableColumn id="18" xr3:uid="{0F1005A6-3CA4-47F4-9CDA-A3EC068915E6}" uniqueName="18" name="16:00:00" queryTableFieldId="18"/>
    <tableColumn id="19" xr3:uid="{A1FDF151-C918-4FF1-9EFE-5622ACE80703}" uniqueName="19" name="17:00:00" queryTableFieldId="19"/>
    <tableColumn id="20" xr3:uid="{6E44EA2F-4F54-41D7-9408-02D23A7BB9C0}" uniqueName="20" name="18:00:00" queryTableFieldId="20"/>
    <tableColumn id="21" xr3:uid="{5E68C3F4-4C73-435F-A104-DFAECDCBF4E0}" uniqueName="21" name="19:00:00" queryTableFieldId="21"/>
    <tableColumn id="22" xr3:uid="{5FF7F43F-49C7-4B4A-93C5-3860A0EFCAE0}" uniqueName="22" name="20:00:00" queryTableFieldId="22"/>
    <tableColumn id="23" xr3:uid="{CAD66EBF-8052-4F19-A9D3-167B736B0EE0}" uniqueName="23" name="21:00:00" queryTableFieldId="23"/>
    <tableColumn id="24" xr3:uid="{E5C17B9A-C96C-49D5-B65E-0FE3343ADA1D}" uniqueName="24" name="22:00:00" queryTableFieldId="24"/>
    <tableColumn id="25" xr3:uid="{E26E7AA5-5C9A-4753-A6E4-F678AA456FA4}" uniqueName="25" name="23:00:00" queryTableFieldId="25"/>
    <tableColumn id="26" xr3:uid="{9690DEC8-F521-4CAB-B97B-E0D573C89C9A}" uniqueName="26" name="AVERAGE AQI" totalsRowFunction="custom" queryTableFieldId="26" dataDxfId="56" totalsRowDxfId="54">
      <calculatedColumnFormula>AVERAGE(Sheet1__6[[#This Row],[00:00:00]:[23:00:00]])</calculatedColumnFormula>
      <totalsRowFormula>AVERAGE(Sheet1__6[AVERAGE AQI])</totalsRowFormula>
    </tableColumn>
    <tableColumn id="27" xr3:uid="{9716AB78-FE3E-41B8-AD88-4B62C93DCAF9}" uniqueName="27" name="QUALITY" queryTableFieldId="27" dataDxfId="57" totalsRowDxfId="55">
      <calculatedColumnFormula array="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473179A-BCBA-4EC0-9289-63FAF734A975}" name="Sheet1__7" displayName="Sheet1__7" ref="A1:AA33" tableType="queryTable" totalsRowCount="1">
  <autoFilter ref="A1:AA32" xr:uid="{B473179A-BCBA-4EC0-9289-63FAF734A975}"/>
  <tableColumns count="27">
    <tableColumn id="1" xr3:uid="{2870D545-4EA5-4118-8D0A-1CD6E495BEAC}" uniqueName="1" name="Date" queryTableFieldId="1"/>
    <tableColumn id="2" xr3:uid="{28032340-06E0-4946-B2EB-DB02C3A05683}" uniqueName="2" name="00:00:00" queryTableFieldId="2"/>
    <tableColumn id="3" xr3:uid="{2DE0F028-C6B7-4322-B182-892471D84587}" uniqueName="3" name="01:00:00" queryTableFieldId="3"/>
    <tableColumn id="4" xr3:uid="{F42A3467-9199-4416-8BD8-E82AAD3FC180}" uniqueName="4" name="02:00:00" queryTableFieldId="4"/>
    <tableColumn id="5" xr3:uid="{456DEE16-4534-48B6-A4BD-68255C9BFF8F}" uniqueName="5" name="03:00:00" queryTableFieldId="5"/>
    <tableColumn id="6" xr3:uid="{9BE6D5D3-50FF-4654-A17E-A37C9756A29C}" uniqueName="6" name="04:00:00" queryTableFieldId="6"/>
    <tableColumn id="7" xr3:uid="{77F2CE7A-F31B-4504-B76A-AC1AFE5F3ADA}" uniqueName="7" name="05:00:00" queryTableFieldId="7"/>
    <tableColumn id="8" xr3:uid="{FA5935B3-A230-4643-AD4D-06949D0CFB76}" uniqueName="8" name="06:00:00" queryTableFieldId="8"/>
    <tableColumn id="9" xr3:uid="{018C3250-9B2C-4B76-B33D-D3D20C28E29A}" uniqueName="9" name="07:00:00" queryTableFieldId="9"/>
    <tableColumn id="10" xr3:uid="{5EDA320F-D7F9-4BEB-B1EE-4F6E1DA9A35C}" uniqueName="10" name="08:00:00" queryTableFieldId="10"/>
    <tableColumn id="11" xr3:uid="{0321DB6C-3B42-43BA-893F-842B48BC0414}" uniqueName="11" name="09:00:00" queryTableFieldId="11"/>
    <tableColumn id="12" xr3:uid="{8DF316F1-45B0-4221-9A25-04D9C324DC1E}" uniqueName="12" name="10:00:00" queryTableFieldId="12"/>
    <tableColumn id="13" xr3:uid="{FC6E753A-D663-4F3E-A80B-535AF76DA186}" uniqueName="13" name="11:00:00" queryTableFieldId="13"/>
    <tableColumn id="14" xr3:uid="{345D1E83-810D-4D6A-8DBB-D8F4E8EB733D}" uniqueName="14" name="12:00:00" queryTableFieldId="14"/>
    <tableColumn id="15" xr3:uid="{B74385C3-869D-4F20-9CAD-E71E146DB56B}" uniqueName="15" name="13:00:00" queryTableFieldId="15"/>
    <tableColumn id="16" xr3:uid="{91250298-56B9-4E58-88A0-92A6D1C8AEB8}" uniqueName="16" name="14:00:00" queryTableFieldId="16"/>
    <tableColumn id="17" xr3:uid="{5F11D72A-0C7A-404E-B1F1-CD9EB77DD13A}" uniqueName="17" name="15:00:00" queryTableFieldId="17"/>
    <tableColumn id="18" xr3:uid="{2753C4AB-E836-4F7E-B8EA-628D6DD6442F}" uniqueName="18" name="16:00:00" queryTableFieldId="18"/>
    <tableColumn id="19" xr3:uid="{786C82AF-CB94-417F-99FD-37A8CC56BCA6}" uniqueName="19" name="17:00:00" queryTableFieldId="19"/>
    <tableColumn id="20" xr3:uid="{F147870C-5B82-42A0-9A62-6788431D23FF}" uniqueName="20" name="18:00:00" queryTableFieldId="20"/>
    <tableColumn id="21" xr3:uid="{04FDF437-7FD3-4B43-9CAE-8A8D99BA8838}" uniqueName="21" name="19:00:00" queryTableFieldId="21"/>
    <tableColumn id="22" xr3:uid="{F6F5593C-769A-49FB-B8EC-59F27EFE723D}" uniqueName="22" name="20:00:00" queryTableFieldId="22"/>
    <tableColumn id="23" xr3:uid="{74950DB9-27A1-4A45-B154-50A9E77159C2}" uniqueName="23" name="21:00:00" queryTableFieldId="23"/>
    <tableColumn id="24" xr3:uid="{00441049-C13A-4C18-A026-81FF9BE1DA20}" uniqueName="24" name="22:00:00" queryTableFieldId="24"/>
    <tableColumn id="25" xr3:uid="{D519C115-A9DA-43F6-8131-6CF9D16E9885}" uniqueName="25" name="23:00:00" queryTableFieldId="25"/>
    <tableColumn id="26" xr3:uid="{67EB26CB-F5FB-4175-A381-015E9953F2C3}" uniqueName="26" name="AVERAGE AQI" totalsRowFunction="custom" queryTableFieldId="26" dataDxfId="52" totalsRowDxfId="50">
      <calculatedColumnFormula>AVERAGE(Sheet1__7[[#This Row],[00:00:00]:[23:00:00]])</calculatedColumnFormula>
      <totalsRowFormula>AVERAGE(Sheet1__7[AVERAGE AQI])</totalsRowFormula>
    </tableColumn>
    <tableColumn id="27" xr3:uid="{0BBC4958-1337-4A81-8F5C-0C0DA8882F49}" uniqueName="27" name="QUALITY" queryTableFieldId="27" dataDxfId="53" totalsRowDxfId="51">
      <calculatedColumnFormula array="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E9C714-8CBC-4033-8669-AB47BF7F7EB7}" name="Sheet1__8" displayName="Sheet1__8" ref="A1:AA33" tableType="queryTable" totalsRowCount="1">
  <autoFilter ref="A1:AA32" xr:uid="{D0E9C714-8CBC-4033-8669-AB47BF7F7EB7}"/>
  <tableColumns count="27">
    <tableColumn id="1" xr3:uid="{ABF1F2B1-A2E6-4796-AEB5-1F1E1E2CB479}" uniqueName="1" name="Date" queryTableFieldId="1"/>
    <tableColumn id="2" xr3:uid="{DCDCD101-4C14-4C76-AA7F-91CEEEB50DC5}" uniqueName="2" name="00:00:00" queryTableFieldId="2"/>
    <tableColumn id="3" xr3:uid="{6F386879-F52D-44B1-9520-693E46E6148B}" uniqueName="3" name="01:00:00" queryTableFieldId="3"/>
    <tableColumn id="4" xr3:uid="{0B5EE326-0365-4F64-9169-B010EA2E18B0}" uniqueName="4" name="02:00:00" queryTableFieldId="4"/>
    <tableColumn id="5" xr3:uid="{F117B44B-1280-4C68-BDD9-CA640617712B}" uniqueName="5" name="03:00:00" queryTableFieldId="5"/>
    <tableColumn id="6" xr3:uid="{D0BD5A62-0654-4FF4-9DBD-744BA4794267}" uniqueName="6" name="04:00:00" queryTableFieldId="6"/>
    <tableColumn id="7" xr3:uid="{5987AEA8-8294-4F2A-AE26-6E337F401D74}" uniqueName="7" name="05:00:00" queryTableFieldId="7"/>
    <tableColumn id="8" xr3:uid="{80A3B38A-F0A3-4E03-B26B-9110FD94AADB}" uniqueName="8" name="06:00:00" queryTableFieldId="8"/>
    <tableColumn id="9" xr3:uid="{819858B7-9B02-4D9A-9CDB-A640335D3468}" uniqueName="9" name="07:00:00" queryTableFieldId="9"/>
    <tableColumn id="10" xr3:uid="{266F27EA-7AF0-40CC-BFC5-CC91740BA45B}" uniqueName="10" name="08:00:00" queryTableFieldId="10"/>
    <tableColumn id="11" xr3:uid="{639FFB2B-C5A8-4703-98BB-D2DE49110B4C}" uniqueName="11" name="09:00:00" queryTableFieldId="11"/>
    <tableColumn id="12" xr3:uid="{A4381851-0E27-47C3-B8C7-C97615BE7439}" uniqueName="12" name="10:00:00" queryTableFieldId="12"/>
    <tableColumn id="13" xr3:uid="{3B6B5EA1-FF6D-4B61-A65E-D4F929D856ED}" uniqueName="13" name="11:00:00" queryTableFieldId="13"/>
    <tableColumn id="14" xr3:uid="{BB5EC6D6-FEFA-4C08-9319-5F90F7ED1760}" uniqueName="14" name="12:00:00" queryTableFieldId="14"/>
    <tableColumn id="15" xr3:uid="{10969927-E095-4F44-87EF-4EA5D06E1D7D}" uniqueName="15" name="13:00:00" queryTableFieldId="15"/>
    <tableColumn id="16" xr3:uid="{6825B02D-D91E-4CF1-BD2C-EF884D1AF1A5}" uniqueName="16" name="14:00:00" queryTableFieldId="16"/>
    <tableColumn id="17" xr3:uid="{A74E90C4-4ED6-44BC-9F66-68EC5F1C69DB}" uniqueName="17" name="15:00:00" queryTableFieldId="17"/>
    <tableColumn id="18" xr3:uid="{257702A5-8390-40CE-94F3-40EDB6C61962}" uniqueName="18" name="16:00:00" queryTableFieldId="18"/>
    <tableColumn id="19" xr3:uid="{77B7EC3E-FEFB-4136-B2D1-DEAC62AF1A04}" uniqueName="19" name="17:00:00" queryTableFieldId="19"/>
    <tableColumn id="20" xr3:uid="{49DCD6DA-516C-40DB-B7B3-48B97E6DE6EA}" uniqueName="20" name="18:00:00" queryTableFieldId="20"/>
    <tableColumn id="21" xr3:uid="{C743F679-3DF1-4DC0-A6FC-04455EB0AF26}" uniqueName="21" name="19:00:00" queryTableFieldId="21"/>
    <tableColumn id="22" xr3:uid="{E7406B5C-8CBC-430E-A40B-48B541844038}" uniqueName="22" name="20:00:00" queryTableFieldId="22"/>
    <tableColumn id="23" xr3:uid="{5AB058EB-8178-44A0-9148-593C8B1788AA}" uniqueName="23" name="21:00:00" queryTableFieldId="23"/>
    <tableColumn id="24" xr3:uid="{30077B91-ABAB-4F62-B9F1-EA6AD7610D81}" uniqueName="24" name="22:00:00" queryTableFieldId="24"/>
    <tableColumn id="25" xr3:uid="{B0F0E2BD-F25F-4143-98C9-D49969F00A1F}" uniqueName="25" name="23:00:00" queryTableFieldId="25"/>
    <tableColumn id="26" xr3:uid="{F5B0A743-2A2A-421C-A162-A0B25A5F68BF}" uniqueName="26" name="AVERAGE AQI" totalsRowFunction="custom" queryTableFieldId="26" dataDxfId="48" totalsRowDxfId="46">
      <calculatedColumnFormula>AVERAGE(Sheet1__8[[#This Row],[00:00:00]:[23:00:00]])</calculatedColumnFormula>
      <totalsRowFormula>AVERAGE(Sheet1__8[AVERAGE AQI])</totalsRowFormula>
    </tableColumn>
    <tableColumn id="27" xr3:uid="{CE959BF3-5DB4-4CD1-A6DA-80CFC0A13C0D}" uniqueName="27" name="QUALITY" queryTableFieldId="27" dataDxfId="49" totalsRowDxfId="47">
      <calculatedColumnFormula array="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F74569-91D5-4753-9E42-BCC976BD38BC}" name="Sheet1__9" displayName="Sheet1__9" ref="A1:AA32" tableType="queryTable" totalsRowCount="1">
  <autoFilter ref="A1:AA31" xr:uid="{05F74569-91D5-4753-9E42-BCC976BD38BC}"/>
  <tableColumns count="27">
    <tableColumn id="1" xr3:uid="{8001F0C6-4850-413F-A2FD-28F967640F61}" uniqueName="1" name="Date" queryTableFieldId="1"/>
    <tableColumn id="2" xr3:uid="{13E48E53-CC9B-4B12-ABB6-04E49A39A2C6}" uniqueName="2" name="00:00:00" queryTableFieldId="2"/>
    <tableColumn id="3" xr3:uid="{65201E06-64C4-4CF3-8846-02AC2D240337}" uniqueName="3" name="01:00:00" queryTableFieldId="3"/>
    <tableColumn id="4" xr3:uid="{A5298DED-595C-42D4-A13A-C35884051089}" uniqueName="4" name="02:00:00" queryTableFieldId="4"/>
    <tableColumn id="5" xr3:uid="{5122CB01-E989-420E-BFDC-7498B45ADC98}" uniqueName="5" name="03:00:00" queryTableFieldId="5"/>
    <tableColumn id="6" xr3:uid="{60940261-22B9-4DAD-A38A-F620BCE3390E}" uniqueName="6" name="04:00:00" queryTableFieldId="6"/>
    <tableColumn id="7" xr3:uid="{AA1FF1F0-6B4A-48E4-A944-429C812E8652}" uniqueName="7" name="05:00:00" queryTableFieldId="7"/>
    <tableColumn id="8" xr3:uid="{E40DA65F-6261-4F9C-BF55-C86296FC1E21}" uniqueName="8" name="06:00:00" queryTableFieldId="8"/>
    <tableColumn id="9" xr3:uid="{25F9BBD8-4EF3-4FDC-8433-2BB47795D77B}" uniqueName="9" name="07:00:00" queryTableFieldId="9"/>
    <tableColumn id="10" xr3:uid="{2D978B61-1F87-49AD-A4AD-A307F89CC99C}" uniqueName="10" name="08:00:00" queryTableFieldId="10"/>
    <tableColumn id="11" xr3:uid="{25B06E65-191C-4176-8BFE-E37D249008A7}" uniqueName="11" name="09:00:00" queryTableFieldId="11"/>
    <tableColumn id="12" xr3:uid="{7EB5198C-2459-471C-84D3-36FAC18A35AC}" uniqueName="12" name="10:00:00" queryTableFieldId="12"/>
    <tableColumn id="13" xr3:uid="{EED405C0-31D5-40C9-96FB-A514F7E085E1}" uniqueName="13" name="11:00:00" queryTableFieldId="13"/>
    <tableColumn id="14" xr3:uid="{B421CAA7-883E-4067-B4FD-D5FDAE9C2FB6}" uniqueName="14" name="12:00:00" queryTableFieldId="14"/>
    <tableColumn id="15" xr3:uid="{068130FF-A522-4B46-ACF6-BF72075CA889}" uniqueName="15" name="13:00:00" queryTableFieldId="15"/>
    <tableColumn id="16" xr3:uid="{84649CFA-A5EA-4B9D-B2BE-40E0EA02ABE7}" uniqueName="16" name="14:00:00" queryTableFieldId="16"/>
    <tableColumn id="17" xr3:uid="{F302CBD5-1DC2-48D4-B9AB-8C098D11F9D4}" uniqueName="17" name="15:00:00" queryTableFieldId="17"/>
    <tableColumn id="18" xr3:uid="{ACFC9502-825E-431B-860A-4340F9D63CBD}" uniqueName="18" name="16:00:00" queryTableFieldId="18"/>
    <tableColumn id="19" xr3:uid="{598B0D91-32DF-43E7-B944-FB90775A5D74}" uniqueName="19" name="17:00:00" queryTableFieldId="19"/>
    <tableColumn id="20" xr3:uid="{63ACAE68-CB7C-4AE1-AC2E-17E9D4756C8C}" uniqueName="20" name="18:00:00" queryTableFieldId="20"/>
    <tableColumn id="21" xr3:uid="{92F5E1D7-3E97-4F6A-A30A-15FF86683B63}" uniqueName="21" name="19:00:00" queryTableFieldId="21"/>
    <tableColumn id="22" xr3:uid="{B86448D3-C78B-4D63-B8D9-942B81CF9905}" uniqueName="22" name="20:00:00" queryTableFieldId="22"/>
    <tableColumn id="23" xr3:uid="{1C97D816-4BD1-4BA5-BB45-CF8E88AD73D8}" uniqueName="23" name="21:00:00" queryTableFieldId="23"/>
    <tableColumn id="24" xr3:uid="{A0A63893-6BCB-41E7-9AE9-CDFE18A955EA}" uniqueName="24" name="22:00:00" queryTableFieldId="24"/>
    <tableColumn id="25" xr3:uid="{1F4F24AD-2788-4D28-96C8-96172F08D022}" uniqueName="25" name="23:00:00" queryTableFieldId="25"/>
    <tableColumn id="26" xr3:uid="{C3B495FD-6754-4562-8479-E0E4318A4869}" uniqueName="26" name="AVERAGE AQI" totalsRowFunction="custom" queryTableFieldId="26" dataDxfId="44" totalsRowDxfId="42">
      <calculatedColumnFormula>AVERAGE(Sheet1__9[[#This Row],[00:00:00]:[23:00:00]])</calculatedColumnFormula>
      <totalsRowFormula>AVERAGE(Sheet1__9[AVERAGE AQI])</totalsRowFormula>
    </tableColumn>
    <tableColumn id="27" xr3:uid="{0F4811D5-F645-4E8D-B5DB-6B3D31D35233}" uniqueName="27" name="QUALITY" queryTableFieldId="27" dataDxfId="45" totalsRowDxfId="43">
      <calculatedColumnFormula array="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C24BE60-6C58-4FF7-8547-1C541A12812E}" name="Sheet1__10" displayName="Sheet1__10" ref="A1:AA33" tableType="queryTable" totalsRowCount="1">
  <autoFilter ref="A1:AA32" xr:uid="{AC24BE60-6C58-4FF7-8547-1C541A12812E}"/>
  <tableColumns count="27">
    <tableColumn id="1" xr3:uid="{A2BB8F18-7DFB-4011-BA53-D6B5A0B794AF}" uniqueName="1" name="Date" queryTableFieldId="1"/>
    <tableColumn id="2" xr3:uid="{417FF328-744F-436A-B75F-F3C1D962D9F0}" uniqueName="2" name="00:00:00" queryTableFieldId="2"/>
    <tableColumn id="3" xr3:uid="{8E430B3A-36E7-4EAB-92D6-B2D76B4F9E63}" uniqueName="3" name="01:00:00" queryTableFieldId="3"/>
    <tableColumn id="4" xr3:uid="{CD5CBE37-E7EB-4CFE-8901-518CC37CE280}" uniqueName="4" name="02:00:00" queryTableFieldId="4"/>
    <tableColumn id="5" xr3:uid="{FF005030-6840-434B-B782-81C62B5706FF}" uniqueName="5" name="03:00:00" queryTableFieldId="5"/>
    <tableColumn id="6" xr3:uid="{C409AC51-4182-4A36-B237-37D8D67F8B3B}" uniqueName="6" name="04:00:00" queryTableFieldId="6"/>
    <tableColumn id="7" xr3:uid="{CFCCBFCC-8095-4212-9F0E-9B1A24E43E1E}" uniqueName="7" name="05:00:00" queryTableFieldId="7"/>
    <tableColumn id="8" xr3:uid="{C42A7368-83DB-4E0C-8CDA-0E71279C9EF7}" uniqueName="8" name="06:00:00" queryTableFieldId="8"/>
    <tableColumn id="9" xr3:uid="{0D200DFF-BF6C-422A-90E1-98CC9D02A0CE}" uniqueName="9" name="07:00:00" queryTableFieldId="9"/>
    <tableColumn id="10" xr3:uid="{F8319E35-D9CE-44A8-9D92-708361FEDF85}" uniqueName="10" name="08:00:00" queryTableFieldId="10"/>
    <tableColumn id="11" xr3:uid="{B05BF99B-F12D-43E6-89BB-09D5BE1998E2}" uniqueName="11" name="09:00:00" queryTableFieldId="11"/>
    <tableColumn id="12" xr3:uid="{79737E43-9520-420F-915D-145FCAE5531B}" uniqueName="12" name="10:00:00" queryTableFieldId="12"/>
    <tableColumn id="13" xr3:uid="{D6516EFE-A0AC-44B1-8EF7-69347C3CAFDA}" uniqueName="13" name="11:00:00" queryTableFieldId="13"/>
    <tableColumn id="14" xr3:uid="{6E2E4E21-0C1D-4913-B11F-803BA0D55C8D}" uniqueName="14" name="12:00:00" queryTableFieldId="14"/>
    <tableColumn id="15" xr3:uid="{78C68222-5AC4-4012-AC2D-B220A5B05144}" uniqueName="15" name="13:00:00" queryTableFieldId="15"/>
    <tableColumn id="16" xr3:uid="{C895D74E-3B04-4F8B-AD65-505D2D3720F1}" uniqueName="16" name="14:00:00" queryTableFieldId="16"/>
    <tableColumn id="17" xr3:uid="{054537E5-5B6B-446E-BC82-5B526080C413}" uniqueName="17" name="15:00:00" queryTableFieldId="17"/>
    <tableColumn id="18" xr3:uid="{A1BE02B3-DDCE-4B3D-8A04-12FF7BC4EBF3}" uniqueName="18" name="16:00:00" queryTableFieldId="18"/>
    <tableColumn id="19" xr3:uid="{51285D21-5CF9-4E44-A1B0-1D9812A1C6A6}" uniqueName="19" name="17:00:00" queryTableFieldId="19"/>
    <tableColumn id="20" xr3:uid="{E58891C6-AC5F-48E7-ABBC-A068ADF8670C}" uniqueName="20" name="18:00:00" queryTableFieldId="20"/>
    <tableColumn id="21" xr3:uid="{CFC12CBD-FB50-49BF-BD5F-F1B17987F960}" uniqueName="21" name="19:00:00" queryTableFieldId="21"/>
    <tableColumn id="22" xr3:uid="{D47058F6-561B-4F4A-BEBA-F5A5AA363B44}" uniqueName="22" name="20:00:00" queryTableFieldId="22"/>
    <tableColumn id="23" xr3:uid="{E6B2BC6D-7571-4CC5-B778-78F8C2CF1AEB}" uniqueName="23" name="21:00:00" queryTableFieldId="23"/>
    <tableColumn id="24" xr3:uid="{DF787BE1-8DB0-435D-8892-57F288FE21D2}" uniqueName="24" name="22:00:00" queryTableFieldId="24"/>
    <tableColumn id="25" xr3:uid="{52FB91E9-B608-4632-9DA4-BA88ABAAC3F1}" uniqueName="25" name="23:00:00" queryTableFieldId="25"/>
    <tableColumn id="26" xr3:uid="{E70515F4-7AFD-456D-949F-F1CB376D7296}" uniqueName="26" name="AVERAGE AQI" totalsRowFunction="custom" queryTableFieldId="26" dataDxfId="21" totalsRowDxfId="14">
      <calculatedColumnFormula>AVERAGE(Sheet1__10[[#This Row],[00:00:00]:[23:00:00]])</calculatedColumnFormula>
      <totalsRowFormula>AVERAGE(Sheet1__10[AVERAGE AQI])</totalsRowFormula>
    </tableColumn>
    <tableColumn id="27" xr3:uid="{8EC4D478-9ACF-4472-9A0A-FCDC94FBEAE1}" uniqueName="27" name="QUALITY" queryTableFieldId="27" dataDxfId="20" totalsRowDxfId="15">
      <calculatedColumnFormula array="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060406-0132-487B-AAF3-A19D258780EF}" name="Sheet1__11" displayName="Sheet1__11" ref="A1:AA32" tableType="queryTable" totalsRowCount="1">
  <autoFilter ref="A1:AA31" xr:uid="{1F060406-0132-487B-AAF3-A19D258780EF}"/>
  <tableColumns count="27">
    <tableColumn id="1" xr3:uid="{7D333DC6-D447-431C-9AFB-CD5753A10B5A}" uniqueName="1" name="Date" queryTableFieldId="1"/>
    <tableColumn id="2" xr3:uid="{EBC5437D-DD05-45D5-B2F0-80966B010F71}" uniqueName="2" name="00:00:00" queryTableFieldId="2"/>
    <tableColumn id="3" xr3:uid="{807D614A-A824-4995-AB62-1AFE472643EA}" uniqueName="3" name="01:00:00" queryTableFieldId="3"/>
    <tableColumn id="4" xr3:uid="{8610DCE4-5D82-465D-B6C8-902B102D6FF0}" uniqueName="4" name="02:00:00" queryTableFieldId="4"/>
    <tableColumn id="5" xr3:uid="{42879F18-3668-46A8-90AA-57A639C08B85}" uniqueName="5" name="03:00:00" queryTableFieldId="5"/>
    <tableColumn id="6" xr3:uid="{C937FD65-FCCB-43EE-AB48-6290EAB423D1}" uniqueName="6" name="04:00:00" queryTableFieldId="6"/>
    <tableColumn id="7" xr3:uid="{2F7CF473-1DCD-4AED-858D-22B30E03E7E3}" uniqueName="7" name="05:00:00" queryTableFieldId="7"/>
    <tableColumn id="8" xr3:uid="{BF61C734-AAE5-4FDA-9F56-7FF6828D2ED3}" uniqueName="8" name="06:00:00" queryTableFieldId="8"/>
    <tableColumn id="9" xr3:uid="{0842F044-87DF-424C-855F-9E4E7EF8205D}" uniqueName="9" name="07:00:00" queryTableFieldId="9"/>
    <tableColumn id="10" xr3:uid="{88C77D29-0B6F-4092-8485-E63C13C6E1D8}" uniqueName="10" name="08:00:00" queryTableFieldId="10"/>
    <tableColumn id="11" xr3:uid="{B77B7884-AEB3-400C-8F56-D4F3974EB181}" uniqueName="11" name="09:00:00" queryTableFieldId="11"/>
    <tableColumn id="12" xr3:uid="{957512A6-F445-48A2-9BB1-806AA54E320E}" uniqueName="12" name="10:00:00" queryTableFieldId="12"/>
    <tableColumn id="13" xr3:uid="{5B76D553-71C1-42FF-8284-9BC171A0449E}" uniqueName="13" name="11:00:00" queryTableFieldId="13"/>
    <tableColumn id="14" xr3:uid="{A2C46E82-A0BC-4349-B1E2-AC0E6D633975}" uniqueName="14" name="12:00:00" queryTableFieldId="14"/>
    <tableColumn id="15" xr3:uid="{B44BF78A-E905-4EEE-8447-7E16875B518E}" uniqueName="15" name="13:00:00" queryTableFieldId="15"/>
    <tableColumn id="16" xr3:uid="{BA593711-43FA-45DA-8BF1-BDFF3EF557EC}" uniqueName="16" name="14:00:00" queryTableFieldId="16"/>
    <tableColumn id="17" xr3:uid="{19B3E05B-02FC-4FE4-8F4F-A41DBE36F033}" uniqueName="17" name="15:00:00" queryTableFieldId="17"/>
    <tableColumn id="18" xr3:uid="{E91D82AF-499B-48DD-A1A1-E1E463700F57}" uniqueName="18" name="16:00:00" queryTableFieldId="18"/>
    <tableColumn id="19" xr3:uid="{FC413F5B-20DF-4B85-B27A-D643C7B04DB1}" uniqueName="19" name="17:00:00" queryTableFieldId="19"/>
    <tableColumn id="20" xr3:uid="{3BA2C84D-6D8E-4118-85B0-B15A0DB91946}" uniqueName="20" name="18:00:00" queryTableFieldId="20"/>
    <tableColumn id="21" xr3:uid="{AD95251A-FC01-4EDA-887C-D99B863BBF04}" uniqueName="21" name="19:00:00" queryTableFieldId="21"/>
    <tableColumn id="22" xr3:uid="{1A6DD24D-7D94-4CAC-9D39-18E1AEED3580}" uniqueName="22" name="20:00:00" queryTableFieldId="22"/>
    <tableColumn id="23" xr3:uid="{D3D14F54-3005-4E1D-9050-AF1839CF0BCE}" uniqueName="23" name="21:00:00" queryTableFieldId="23"/>
    <tableColumn id="24" xr3:uid="{1EE46585-8FFD-4D95-815D-8D5883580F57}" uniqueName="24" name="22:00:00" queryTableFieldId="24"/>
    <tableColumn id="25" xr3:uid="{8BB2D190-75EA-49D9-AE39-10E6B2EE72ED}" uniqueName="25" name="23:00:00" queryTableFieldId="25"/>
    <tableColumn id="26" xr3:uid="{DCF4D32D-CA13-4630-9A6F-B82D7675FAE7}" uniqueName="26" name="AVERAGE AQI" totalsRowFunction="custom" queryTableFieldId="26" dataDxfId="12" totalsRowDxfId="6">
      <calculatedColumnFormula>AVERAGE(Sheet1__11[[#This Row],[00:00:00]:[23:00:00]])</calculatedColumnFormula>
      <totalsRowFormula>AVERAGE(Sheet1__11[AVERAGE AQI])</totalsRowFormula>
    </tableColumn>
    <tableColumn id="27" xr3:uid="{6BCAC859-ACEB-4372-AD35-BF9DACC87C4A}" uniqueName="27" name="QUALITY" queryTableFieldId="27" dataDxfId="13" totalsRowDxfId="7">
      <calculatedColumnFormula array="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5DF5D9-142C-4B98-BBB8-AC547219BF49}" name="Sheet1__12" displayName="Sheet1__12" ref="A1:AA33" tableType="queryTable" totalsRowCount="1">
  <autoFilter ref="A1:AA32" xr:uid="{D55DF5D9-142C-4B98-BBB8-AC547219BF49}"/>
  <tableColumns count="27">
    <tableColumn id="1" xr3:uid="{EC76F8D8-4649-4197-8606-82EEDA5331DC}" uniqueName="1" name="Date" queryTableFieldId="1"/>
    <tableColumn id="2" xr3:uid="{9FA468D6-DB7C-4985-B0E5-B592445EF39C}" uniqueName="2" name="00:00:00" queryTableFieldId="2"/>
    <tableColumn id="3" xr3:uid="{0D442FFF-AB39-44E7-BB3E-F95CD92AFD90}" uniqueName="3" name="01:00:00" queryTableFieldId="3"/>
    <tableColumn id="4" xr3:uid="{6CD1653D-B5CE-4493-978C-CA2D05701C34}" uniqueName="4" name="02:00:00" queryTableFieldId="4"/>
    <tableColumn id="5" xr3:uid="{6A09B89F-062A-444D-A033-731CD4173046}" uniqueName="5" name="03:00:00" queryTableFieldId="5"/>
    <tableColumn id="6" xr3:uid="{C58108E9-D598-4134-B6CB-C989F5AB41E0}" uniqueName="6" name="04:00:00" queryTableFieldId="6"/>
    <tableColumn id="7" xr3:uid="{AEBE0A9D-A527-4B0E-94DF-5A6A259B375E}" uniqueName="7" name="05:00:00" queryTableFieldId="7"/>
    <tableColumn id="8" xr3:uid="{6F9446D3-73AD-4280-A094-FE041877C4F5}" uniqueName="8" name="06:00:00" queryTableFieldId="8"/>
    <tableColumn id="9" xr3:uid="{94F95EC6-AADD-4E52-9CCF-36CDB7DF7C6B}" uniqueName="9" name="07:00:00" queryTableFieldId="9"/>
    <tableColumn id="10" xr3:uid="{B5124102-C635-4B99-98DD-324976A23F68}" uniqueName="10" name="08:00:00" queryTableFieldId="10"/>
    <tableColumn id="11" xr3:uid="{01FD7A33-201D-462F-BB95-600004812580}" uniqueName="11" name="09:00:00" queryTableFieldId="11"/>
    <tableColumn id="12" xr3:uid="{C953DCA2-7AB8-4FD1-B948-C0D395982957}" uniqueName="12" name="10:00:00" queryTableFieldId="12"/>
    <tableColumn id="13" xr3:uid="{E8F48401-E02D-4BD5-918E-4F6C037ADDE3}" uniqueName="13" name="11:00:00" queryTableFieldId="13"/>
    <tableColumn id="14" xr3:uid="{AD5CC857-9FC7-428F-9BFE-66C8F90AB77B}" uniqueName="14" name="12:00:00" queryTableFieldId="14"/>
    <tableColumn id="15" xr3:uid="{F13BEAD9-616F-492D-A685-BA0C2681F1E4}" uniqueName="15" name="13:00:00" queryTableFieldId="15"/>
    <tableColumn id="16" xr3:uid="{FE6E3DED-DCE4-4E70-80D9-CB3930A7B58C}" uniqueName="16" name="14:00:00" queryTableFieldId="16"/>
    <tableColumn id="17" xr3:uid="{BF8ED132-91A4-44BF-B06E-D3C9B175CEC6}" uniqueName="17" name="15:00:00" queryTableFieldId="17"/>
    <tableColumn id="18" xr3:uid="{3C7C52E1-68C3-473E-85AF-79839C670ADB}" uniqueName="18" name="16:00:00" queryTableFieldId="18"/>
    <tableColumn id="19" xr3:uid="{E90ABE1D-2A7F-4072-852F-562F0F1E36BF}" uniqueName="19" name="17:00:00" queryTableFieldId="19"/>
    <tableColumn id="20" xr3:uid="{E457F052-7DA2-4F24-8962-B9D2AF277EFF}" uniqueName="20" name="18:00:00" queryTableFieldId="20"/>
    <tableColumn id="21" xr3:uid="{C9056047-2CF4-4829-B62D-BD7D21CD4334}" uniqueName="21" name="19:00:00" queryTableFieldId="21"/>
    <tableColumn id="22" xr3:uid="{08A2F888-504C-4EBC-A836-80D110F364E9}" uniqueName="22" name="20:00:00" queryTableFieldId="22"/>
    <tableColumn id="23" xr3:uid="{3EA32745-C064-43A3-ACAE-1480E5E5C2B5}" uniqueName="23" name="21:00:00" queryTableFieldId="23"/>
    <tableColumn id="24" xr3:uid="{D1526891-760E-4E2D-86EC-C0A2BAADAE2B}" uniqueName="24" name="22:00:00" queryTableFieldId="24"/>
    <tableColumn id="25" xr3:uid="{54391F89-E00B-40CC-B56F-212DED498C0D}" uniqueName="25" name="23:00:00" queryTableFieldId="25"/>
    <tableColumn id="26" xr3:uid="{C486EBFD-8B98-4722-BA6A-84FE0FBDB3F7}" uniqueName="26" name="AVERAGE AQI" totalsRowFunction="custom" queryTableFieldId="26" dataDxfId="4" totalsRowDxfId="0">
      <calculatedColumnFormula>AVERAGE(Sheet1__12[[#This Row],[00:00:00]:[23:00:00]])</calculatedColumnFormula>
      <totalsRowFormula>AVERAGE(Sheet1__12[AVERAGE AQI])</totalsRowFormula>
    </tableColumn>
    <tableColumn id="27" xr3:uid="{2C52E31C-63F9-43B5-A849-2B4B58F10AD1}" uniqueName="27" name="QUALITY" queryTableFieldId="27" dataDxfId="5" totalsRowDxfId="1">
      <calculatedColumnFormula array="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BE3D-099A-460C-8620-593BA76BAE5E}">
  <dimension ref="A1:AA33"/>
  <sheetViews>
    <sheetView topLeftCell="K1" workbookViewId="0">
      <selection activeCell="Z1" sqref="Z1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45658</v>
      </c>
      <c r="B2">
        <v>95</v>
      </c>
      <c r="C2">
        <v>99</v>
      </c>
      <c r="D2">
        <v>100</v>
      </c>
      <c r="E2">
        <v>101</v>
      </c>
      <c r="F2">
        <v>103</v>
      </c>
      <c r="G2">
        <v>104</v>
      </c>
      <c r="H2">
        <v>104</v>
      </c>
      <c r="I2">
        <v>104</v>
      </c>
      <c r="J2">
        <v>103</v>
      </c>
      <c r="K2">
        <v>103</v>
      </c>
      <c r="L2">
        <v>104</v>
      </c>
      <c r="M2">
        <v>105</v>
      </c>
      <c r="N2">
        <v>105</v>
      </c>
      <c r="O2">
        <v>106</v>
      </c>
      <c r="P2">
        <v>106</v>
      </c>
      <c r="Q2">
        <v>107</v>
      </c>
      <c r="R2">
        <v>107</v>
      </c>
      <c r="S2">
        <v>107</v>
      </c>
      <c r="T2">
        <v>108</v>
      </c>
      <c r="U2">
        <v>108</v>
      </c>
      <c r="V2">
        <v>109</v>
      </c>
      <c r="W2">
        <v>109</v>
      </c>
      <c r="X2">
        <v>109</v>
      </c>
      <c r="Y2">
        <v>109</v>
      </c>
      <c r="Z2" s="2">
        <f>AVERAGE(Sheet1[[#This Row],[00:00:00]:[23:00:00]])</f>
        <v>104.79166666666667</v>
      </c>
      <c r="AA2" t="str" cm="1">
        <f t="array" ref="AA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" spans="1:27" x14ac:dyDescent="0.3">
      <c r="A3" s="1">
        <v>45659</v>
      </c>
      <c r="B3">
        <v>110</v>
      </c>
      <c r="C3">
        <v>110</v>
      </c>
      <c r="D3">
        <v>110</v>
      </c>
      <c r="E3">
        <v>108</v>
      </c>
      <c r="F3">
        <v>107</v>
      </c>
      <c r="G3">
        <v>106</v>
      </c>
      <c r="H3">
        <v>106</v>
      </c>
      <c r="I3">
        <v>106</v>
      </c>
      <c r="J3">
        <v>104</v>
      </c>
      <c r="K3">
        <v>103</v>
      </c>
      <c r="L3">
        <v>102</v>
      </c>
      <c r="M3">
        <v>102</v>
      </c>
      <c r="N3">
        <v>101</v>
      </c>
      <c r="O3">
        <v>102</v>
      </c>
      <c r="P3">
        <v>102</v>
      </c>
      <c r="Q3">
        <v>102</v>
      </c>
      <c r="R3">
        <v>102</v>
      </c>
      <c r="S3">
        <v>102</v>
      </c>
      <c r="T3">
        <v>102</v>
      </c>
      <c r="U3">
        <v>101</v>
      </c>
      <c r="V3">
        <v>101</v>
      </c>
      <c r="W3">
        <v>100</v>
      </c>
      <c r="X3">
        <v>99</v>
      </c>
      <c r="Y3">
        <v>98</v>
      </c>
      <c r="Z3" s="2">
        <f>AVERAGE(Sheet1[[#This Row],[00:00:00]:[23:00:00]])</f>
        <v>103.58333333333333</v>
      </c>
      <c r="AA3" t="str" cm="1">
        <f t="array" ref="AA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4" spans="1:27" x14ac:dyDescent="0.3">
      <c r="A4" s="1">
        <v>45660</v>
      </c>
      <c r="B4">
        <v>96</v>
      </c>
      <c r="C4">
        <v>94</v>
      </c>
      <c r="D4">
        <v>92</v>
      </c>
      <c r="E4">
        <v>91</v>
      </c>
      <c r="F4">
        <v>90</v>
      </c>
      <c r="G4">
        <v>88</v>
      </c>
      <c r="H4">
        <v>87</v>
      </c>
      <c r="I4">
        <v>88</v>
      </c>
      <c r="J4">
        <v>88</v>
      </c>
      <c r="K4">
        <v>88</v>
      </c>
      <c r="L4">
        <v>90</v>
      </c>
      <c r="M4">
        <v>90</v>
      </c>
      <c r="N4">
        <v>90</v>
      </c>
      <c r="O4">
        <v>89</v>
      </c>
      <c r="P4">
        <v>88</v>
      </c>
      <c r="Q4">
        <v>88</v>
      </c>
      <c r="R4">
        <v>86</v>
      </c>
      <c r="S4">
        <v>85</v>
      </c>
      <c r="T4">
        <v>84</v>
      </c>
      <c r="U4">
        <v>84</v>
      </c>
      <c r="V4">
        <v>84</v>
      </c>
      <c r="W4">
        <v>83</v>
      </c>
      <c r="X4">
        <v>84</v>
      </c>
      <c r="Y4">
        <v>86</v>
      </c>
      <c r="Z4" s="2">
        <f>AVERAGE(Sheet1[[#This Row],[00:00:00]:[23:00:00]])</f>
        <v>88.041666666666671</v>
      </c>
      <c r="AA4" t="str" cm="1">
        <f t="array" ref="AA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5" spans="1:27" x14ac:dyDescent="0.3">
      <c r="A5" s="1">
        <v>45661</v>
      </c>
      <c r="B5">
        <v>89</v>
      </c>
      <c r="C5">
        <v>92</v>
      </c>
      <c r="D5">
        <v>94</v>
      </c>
      <c r="E5">
        <v>96</v>
      </c>
      <c r="F5">
        <v>97</v>
      </c>
      <c r="G5">
        <v>98</v>
      </c>
      <c r="H5">
        <v>98</v>
      </c>
      <c r="I5">
        <v>99</v>
      </c>
      <c r="K5">
        <v>102</v>
      </c>
      <c r="L5">
        <v>103</v>
      </c>
      <c r="M5">
        <v>104</v>
      </c>
      <c r="N5">
        <v>106</v>
      </c>
      <c r="O5">
        <v>106</v>
      </c>
      <c r="P5">
        <v>106</v>
      </c>
      <c r="Q5">
        <v>107</v>
      </c>
      <c r="R5">
        <v>108</v>
      </c>
      <c r="S5">
        <v>108</v>
      </c>
      <c r="T5">
        <v>108</v>
      </c>
      <c r="U5">
        <v>109</v>
      </c>
      <c r="V5">
        <v>110</v>
      </c>
      <c r="W5">
        <v>110</v>
      </c>
      <c r="X5">
        <v>109</v>
      </c>
      <c r="Y5">
        <v>108</v>
      </c>
      <c r="Z5" s="2">
        <f>AVERAGE(Sheet1[[#This Row],[00:00:00]:[23:00:00]])</f>
        <v>102.91304347826087</v>
      </c>
      <c r="AA5" t="str" cm="1">
        <f t="array" ref="AA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6" spans="1:27" x14ac:dyDescent="0.3">
      <c r="A6" s="1">
        <v>45662</v>
      </c>
      <c r="B6">
        <v>107</v>
      </c>
      <c r="C6">
        <v>106</v>
      </c>
      <c r="D6">
        <v>106</v>
      </c>
      <c r="E6">
        <v>105</v>
      </c>
      <c r="F6">
        <v>106</v>
      </c>
      <c r="G6">
        <v>107</v>
      </c>
      <c r="H6">
        <v>106</v>
      </c>
      <c r="I6">
        <v>107</v>
      </c>
      <c r="J6">
        <v>108</v>
      </c>
      <c r="K6">
        <v>107</v>
      </c>
      <c r="L6">
        <v>104</v>
      </c>
      <c r="M6">
        <v>104</v>
      </c>
      <c r="N6">
        <v>102</v>
      </c>
      <c r="O6">
        <v>103</v>
      </c>
      <c r="P6">
        <v>102</v>
      </c>
      <c r="Q6">
        <v>103</v>
      </c>
      <c r="R6">
        <v>103</v>
      </c>
      <c r="S6">
        <v>102</v>
      </c>
      <c r="T6">
        <v>103</v>
      </c>
      <c r="U6">
        <v>103</v>
      </c>
      <c r="V6">
        <v>103</v>
      </c>
      <c r="W6">
        <v>101</v>
      </c>
      <c r="X6">
        <v>99</v>
      </c>
      <c r="Y6">
        <v>99</v>
      </c>
      <c r="Z6" s="2">
        <f>AVERAGE(Sheet1[[#This Row],[00:00:00]:[23:00:00]])</f>
        <v>104</v>
      </c>
      <c r="AA6" t="str" cm="1">
        <f t="array" ref="AA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7" spans="1:27" x14ac:dyDescent="0.3">
      <c r="A7" s="1">
        <v>45663</v>
      </c>
      <c r="B7">
        <v>98</v>
      </c>
      <c r="C7">
        <v>98</v>
      </c>
      <c r="D7">
        <v>98</v>
      </c>
      <c r="E7">
        <v>97</v>
      </c>
      <c r="F7">
        <v>96</v>
      </c>
      <c r="G7">
        <v>96</v>
      </c>
      <c r="H7">
        <v>96</v>
      </c>
      <c r="I7">
        <v>100</v>
      </c>
      <c r="J7">
        <v>100</v>
      </c>
      <c r="K7">
        <v>100</v>
      </c>
      <c r="L7">
        <v>101</v>
      </c>
      <c r="M7">
        <v>100</v>
      </c>
      <c r="N7">
        <v>101</v>
      </c>
      <c r="O7">
        <v>100</v>
      </c>
      <c r="P7">
        <v>100</v>
      </c>
      <c r="Q7">
        <v>100</v>
      </c>
      <c r="R7">
        <v>101</v>
      </c>
      <c r="S7">
        <v>101</v>
      </c>
      <c r="T7">
        <v>101</v>
      </c>
      <c r="U7">
        <v>101</v>
      </c>
      <c r="V7">
        <v>100</v>
      </c>
      <c r="W7">
        <v>100</v>
      </c>
      <c r="X7">
        <v>100</v>
      </c>
      <c r="Y7">
        <v>99</v>
      </c>
      <c r="Z7" s="2">
        <f>AVERAGE(Sheet1[[#This Row],[00:00:00]:[23:00:00]])</f>
        <v>99.333333333333329</v>
      </c>
      <c r="AA7" t="str" cm="1">
        <f t="array" ref="AA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8" spans="1:27" x14ac:dyDescent="0.3">
      <c r="A8" s="1">
        <v>45664</v>
      </c>
      <c r="B8">
        <v>99</v>
      </c>
      <c r="C8">
        <v>98</v>
      </c>
      <c r="D8">
        <v>97</v>
      </c>
      <c r="E8">
        <v>96</v>
      </c>
      <c r="F8">
        <v>96</v>
      </c>
      <c r="G8">
        <v>95</v>
      </c>
      <c r="H8">
        <v>94</v>
      </c>
      <c r="I8">
        <v>94</v>
      </c>
      <c r="J8">
        <v>94</v>
      </c>
      <c r="K8">
        <v>95</v>
      </c>
      <c r="L8">
        <v>96</v>
      </c>
      <c r="M8">
        <v>96</v>
      </c>
      <c r="N8">
        <v>96</v>
      </c>
      <c r="O8">
        <v>96</v>
      </c>
      <c r="P8">
        <v>96</v>
      </c>
      <c r="Q8">
        <v>97</v>
      </c>
      <c r="R8">
        <v>98</v>
      </c>
      <c r="S8">
        <v>99</v>
      </c>
      <c r="T8">
        <v>99</v>
      </c>
      <c r="U8">
        <v>100</v>
      </c>
      <c r="V8">
        <v>100</v>
      </c>
      <c r="W8">
        <v>101</v>
      </c>
      <c r="X8">
        <v>102</v>
      </c>
      <c r="Y8">
        <v>102</v>
      </c>
      <c r="Z8" s="2">
        <f>AVERAGE(Sheet1[[#This Row],[00:00:00]:[23:00:00]])</f>
        <v>97.333333333333329</v>
      </c>
      <c r="AA8" t="str" cm="1">
        <f t="array" ref="AA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9" spans="1:27" x14ac:dyDescent="0.3">
      <c r="A9" s="1">
        <v>45665</v>
      </c>
      <c r="B9">
        <v>104</v>
      </c>
      <c r="C9">
        <v>104</v>
      </c>
      <c r="D9">
        <v>105</v>
      </c>
      <c r="E9">
        <v>105</v>
      </c>
      <c r="F9">
        <v>105</v>
      </c>
      <c r="G9">
        <v>105</v>
      </c>
      <c r="H9">
        <v>104</v>
      </c>
      <c r="I9">
        <v>104</v>
      </c>
      <c r="J9">
        <v>103</v>
      </c>
      <c r="K9">
        <v>101</v>
      </c>
      <c r="L9">
        <v>100</v>
      </c>
      <c r="M9">
        <v>100</v>
      </c>
      <c r="N9">
        <v>100</v>
      </c>
      <c r="O9">
        <v>100</v>
      </c>
      <c r="P9">
        <v>100</v>
      </c>
      <c r="Q9">
        <v>98</v>
      </c>
      <c r="R9">
        <v>98</v>
      </c>
      <c r="S9">
        <v>98</v>
      </c>
      <c r="T9">
        <v>98</v>
      </c>
      <c r="U9">
        <v>98</v>
      </c>
      <c r="V9">
        <v>98</v>
      </c>
      <c r="W9">
        <v>100</v>
      </c>
      <c r="X9">
        <v>101</v>
      </c>
      <c r="Y9">
        <v>102</v>
      </c>
      <c r="Z9" s="2">
        <f>AVERAGE(Sheet1[[#This Row],[00:00:00]:[23:00:00]])</f>
        <v>101.29166666666667</v>
      </c>
      <c r="AA9" t="str" cm="1">
        <f t="array" ref="AA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0" spans="1:27" x14ac:dyDescent="0.3">
      <c r="A10" s="1">
        <v>45666</v>
      </c>
      <c r="B10">
        <v>104</v>
      </c>
      <c r="C10">
        <v>104</v>
      </c>
      <c r="D10">
        <v>104</v>
      </c>
      <c r="E10">
        <v>104</v>
      </c>
      <c r="F10">
        <v>103</v>
      </c>
      <c r="G10">
        <v>104</v>
      </c>
      <c r="H10">
        <v>104</v>
      </c>
      <c r="I10">
        <v>104</v>
      </c>
      <c r="J10">
        <v>104</v>
      </c>
      <c r="K10">
        <v>105</v>
      </c>
      <c r="L10">
        <v>106</v>
      </c>
      <c r="M10">
        <v>106</v>
      </c>
      <c r="N10">
        <v>108</v>
      </c>
      <c r="O10">
        <v>108</v>
      </c>
      <c r="P10">
        <v>108</v>
      </c>
      <c r="Q10">
        <v>109</v>
      </c>
      <c r="R10">
        <v>108</v>
      </c>
      <c r="S10">
        <v>109</v>
      </c>
      <c r="T10">
        <v>110</v>
      </c>
      <c r="U10">
        <v>110</v>
      </c>
      <c r="V10">
        <v>109</v>
      </c>
      <c r="W10">
        <v>108</v>
      </c>
      <c r="X10">
        <v>108</v>
      </c>
      <c r="Y10">
        <v>110</v>
      </c>
      <c r="Z10" s="2">
        <f>AVERAGE(Sheet1[[#This Row],[00:00:00]:[23:00:00]])</f>
        <v>106.54166666666667</v>
      </c>
      <c r="AA10" t="str" cm="1">
        <f t="array" ref="AA1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1" spans="1:27" x14ac:dyDescent="0.3">
      <c r="A11" s="1">
        <v>45667</v>
      </c>
      <c r="B11">
        <v>112</v>
      </c>
      <c r="C11">
        <v>114</v>
      </c>
      <c r="D11">
        <v>117</v>
      </c>
      <c r="E11">
        <v>120</v>
      </c>
      <c r="F11">
        <v>122</v>
      </c>
      <c r="G11">
        <v>123</v>
      </c>
      <c r="H11">
        <v>124</v>
      </c>
      <c r="I11">
        <v>124</v>
      </c>
      <c r="J11">
        <v>124</v>
      </c>
      <c r="K11">
        <v>124</v>
      </c>
      <c r="L11">
        <v>124</v>
      </c>
      <c r="M11">
        <v>124</v>
      </c>
      <c r="N11">
        <v>126</v>
      </c>
      <c r="O11">
        <v>127</v>
      </c>
      <c r="P11">
        <v>130</v>
      </c>
      <c r="Q11">
        <v>132</v>
      </c>
      <c r="R11">
        <v>133</v>
      </c>
      <c r="S11">
        <v>134</v>
      </c>
      <c r="T11">
        <v>134</v>
      </c>
      <c r="U11">
        <v>136</v>
      </c>
      <c r="V11">
        <v>140</v>
      </c>
      <c r="W11">
        <v>141</v>
      </c>
      <c r="X11">
        <v>143</v>
      </c>
      <c r="Y11">
        <v>143</v>
      </c>
      <c r="Z11" s="2">
        <f>AVERAGE(Sheet1[[#This Row],[00:00:00]:[23:00:00]])</f>
        <v>127.95833333333333</v>
      </c>
      <c r="AA11" t="str" cm="1">
        <f t="array" ref="AA1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2" spans="1:27" x14ac:dyDescent="0.3">
      <c r="A12" s="1">
        <v>45668</v>
      </c>
      <c r="B12">
        <v>144</v>
      </c>
      <c r="C12">
        <v>141</v>
      </c>
      <c r="D12">
        <v>141</v>
      </c>
      <c r="E12">
        <v>141</v>
      </c>
      <c r="F12">
        <v>141</v>
      </c>
      <c r="G12">
        <v>142</v>
      </c>
      <c r="H12">
        <v>140</v>
      </c>
      <c r="I12">
        <v>144</v>
      </c>
      <c r="J12">
        <v>156</v>
      </c>
      <c r="K12">
        <v>161</v>
      </c>
      <c r="L12">
        <v>165</v>
      </c>
      <c r="M12">
        <v>170</v>
      </c>
      <c r="N12">
        <v>172</v>
      </c>
      <c r="O12">
        <v>174</v>
      </c>
      <c r="P12">
        <v>177</v>
      </c>
      <c r="Q12">
        <v>181</v>
      </c>
      <c r="R12">
        <v>180</v>
      </c>
      <c r="S12">
        <v>180</v>
      </c>
      <c r="T12">
        <v>178</v>
      </c>
      <c r="U12">
        <v>176</v>
      </c>
      <c r="V12">
        <v>175</v>
      </c>
      <c r="W12">
        <v>171</v>
      </c>
      <c r="X12">
        <v>169</v>
      </c>
      <c r="Y12">
        <v>165</v>
      </c>
      <c r="Z12" s="2">
        <f>AVERAGE(Sheet1[[#This Row],[00:00:00]:[23:00:00]])</f>
        <v>161.83333333333334</v>
      </c>
      <c r="AA12" t="str" cm="1">
        <f t="array" ref="AA1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3" spans="1:27" x14ac:dyDescent="0.3">
      <c r="A13" s="1">
        <v>45669</v>
      </c>
      <c r="B13">
        <v>164</v>
      </c>
      <c r="C13">
        <v>164</v>
      </c>
      <c r="D13">
        <v>165</v>
      </c>
      <c r="E13">
        <v>166</v>
      </c>
      <c r="F13">
        <v>167</v>
      </c>
      <c r="G13">
        <v>170</v>
      </c>
      <c r="H13">
        <v>169</v>
      </c>
      <c r="I13">
        <v>167</v>
      </c>
      <c r="J13">
        <v>165</v>
      </c>
      <c r="K13">
        <v>162</v>
      </c>
      <c r="L13">
        <v>160</v>
      </c>
      <c r="M13">
        <v>160</v>
      </c>
      <c r="N13">
        <v>160</v>
      </c>
      <c r="O13">
        <v>161</v>
      </c>
      <c r="P13">
        <v>160</v>
      </c>
      <c r="Q13">
        <v>159</v>
      </c>
      <c r="R13">
        <v>159</v>
      </c>
      <c r="S13">
        <v>159</v>
      </c>
      <c r="T13">
        <v>160</v>
      </c>
      <c r="U13">
        <v>162</v>
      </c>
      <c r="V13">
        <v>163</v>
      </c>
      <c r="W13">
        <v>165</v>
      </c>
      <c r="X13">
        <v>168</v>
      </c>
      <c r="Y13">
        <v>170</v>
      </c>
      <c r="Z13" s="2">
        <f>AVERAGE(Sheet1[[#This Row],[00:00:00]:[23:00:00]])</f>
        <v>163.54166666666666</v>
      </c>
      <c r="AA13" t="str" cm="1">
        <f t="array" ref="AA1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4" spans="1:27" x14ac:dyDescent="0.3">
      <c r="A14" s="1">
        <v>45670</v>
      </c>
      <c r="B14">
        <v>172</v>
      </c>
      <c r="C14">
        <v>171</v>
      </c>
      <c r="D14">
        <v>170</v>
      </c>
      <c r="E14">
        <v>170</v>
      </c>
      <c r="F14">
        <v>169</v>
      </c>
      <c r="G14">
        <v>167</v>
      </c>
      <c r="H14">
        <v>165</v>
      </c>
      <c r="I14">
        <v>161</v>
      </c>
      <c r="J14">
        <v>161</v>
      </c>
      <c r="K14">
        <v>160</v>
      </c>
      <c r="L14">
        <v>160</v>
      </c>
      <c r="M14">
        <v>159</v>
      </c>
      <c r="N14">
        <v>156</v>
      </c>
      <c r="O14">
        <v>154</v>
      </c>
      <c r="P14">
        <v>150</v>
      </c>
      <c r="Q14">
        <v>148</v>
      </c>
      <c r="R14">
        <v>146</v>
      </c>
      <c r="S14">
        <v>145</v>
      </c>
      <c r="T14">
        <v>145</v>
      </c>
      <c r="U14">
        <v>146</v>
      </c>
      <c r="V14">
        <v>146</v>
      </c>
      <c r="W14">
        <v>144</v>
      </c>
      <c r="X14">
        <v>142</v>
      </c>
      <c r="Y14">
        <v>139</v>
      </c>
      <c r="Z14" s="2">
        <f>AVERAGE(Sheet1[[#This Row],[00:00:00]:[23:00:00]])</f>
        <v>156.08333333333334</v>
      </c>
      <c r="AA14" t="str" cm="1">
        <f t="array" ref="AA1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5" spans="1:27" x14ac:dyDescent="0.3">
      <c r="A15" s="1">
        <v>45671</v>
      </c>
      <c r="B15">
        <v>138</v>
      </c>
      <c r="C15">
        <v>138</v>
      </c>
      <c r="D15">
        <v>137</v>
      </c>
      <c r="E15">
        <v>137</v>
      </c>
      <c r="F15">
        <v>136</v>
      </c>
      <c r="G15">
        <v>136</v>
      </c>
      <c r="H15">
        <v>136</v>
      </c>
      <c r="I15">
        <v>134</v>
      </c>
      <c r="J15">
        <v>133</v>
      </c>
      <c r="K15">
        <v>132</v>
      </c>
      <c r="L15">
        <v>131</v>
      </c>
      <c r="M15">
        <v>131</v>
      </c>
      <c r="N15">
        <v>131</v>
      </c>
      <c r="O15">
        <v>132</v>
      </c>
      <c r="P15">
        <v>134</v>
      </c>
      <c r="Q15">
        <v>134</v>
      </c>
      <c r="R15">
        <v>134</v>
      </c>
      <c r="S15">
        <v>134</v>
      </c>
      <c r="T15">
        <v>133</v>
      </c>
      <c r="U15">
        <v>131</v>
      </c>
      <c r="V15">
        <v>130</v>
      </c>
      <c r="W15">
        <v>131</v>
      </c>
      <c r="X15">
        <v>137</v>
      </c>
      <c r="Y15">
        <v>141</v>
      </c>
      <c r="Z15" s="2">
        <f>AVERAGE(Sheet1[[#This Row],[00:00:00]:[23:00:00]])</f>
        <v>134.20833333333334</v>
      </c>
      <c r="AA15" t="str" cm="1">
        <f t="array" ref="AA1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16" spans="1:27" x14ac:dyDescent="0.3">
      <c r="A16" s="1">
        <v>45672</v>
      </c>
      <c r="B16">
        <v>146</v>
      </c>
      <c r="C16">
        <v>150</v>
      </c>
      <c r="D16">
        <v>153</v>
      </c>
      <c r="E16">
        <v>156</v>
      </c>
      <c r="F16">
        <v>158</v>
      </c>
      <c r="G16">
        <v>161</v>
      </c>
      <c r="H16">
        <v>163</v>
      </c>
      <c r="I16">
        <v>166</v>
      </c>
      <c r="J16">
        <v>169</v>
      </c>
      <c r="K16">
        <v>171</v>
      </c>
      <c r="L16">
        <v>174</v>
      </c>
      <c r="M16">
        <v>176</v>
      </c>
      <c r="N16">
        <v>176</v>
      </c>
      <c r="O16">
        <v>173</v>
      </c>
      <c r="P16">
        <v>170</v>
      </c>
      <c r="Q16">
        <v>167</v>
      </c>
      <c r="R16">
        <v>166</v>
      </c>
      <c r="S16">
        <v>164</v>
      </c>
      <c r="T16">
        <v>164</v>
      </c>
      <c r="U16">
        <v>164</v>
      </c>
      <c r="V16">
        <v>164</v>
      </c>
      <c r="W16">
        <v>164</v>
      </c>
      <c r="X16">
        <v>162</v>
      </c>
      <c r="Y16">
        <v>159</v>
      </c>
      <c r="Z16" s="2">
        <f>AVERAGE(Sheet1[[#This Row],[00:00:00]:[23:00:00]])</f>
        <v>164</v>
      </c>
      <c r="AA16" t="str" cm="1">
        <f t="array" ref="AA1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7" spans="1:27" x14ac:dyDescent="0.3">
      <c r="A17" s="1">
        <v>45673</v>
      </c>
      <c r="B17">
        <v>155</v>
      </c>
      <c r="C17">
        <v>151</v>
      </c>
      <c r="D17">
        <v>148</v>
      </c>
      <c r="E17">
        <v>146</v>
      </c>
      <c r="F17">
        <v>146</v>
      </c>
      <c r="G17">
        <v>146</v>
      </c>
      <c r="H17">
        <v>144</v>
      </c>
      <c r="I17">
        <v>146</v>
      </c>
      <c r="J17">
        <v>147</v>
      </c>
      <c r="K17">
        <v>149</v>
      </c>
      <c r="L17">
        <v>152</v>
      </c>
      <c r="M17">
        <v>154</v>
      </c>
      <c r="N17">
        <v>158</v>
      </c>
      <c r="O17">
        <v>161</v>
      </c>
      <c r="P17">
        <v>163</v>
      </c>
      <c r="Q17">
        <v>165</v>
      </c>
      <c r="R17">
        <v>166</v>
      </c>
      <c r="S17">
        <v>167</v>
      </c>
      <c r="T17">
        <v>168</v>
      </c>
      <c r="U17">
        <v>170</v>
      </c>
      <c r="V17">
        <v>172</v>
      </c>
      <c r="W17">
        <v>174</v>
      </c>
      <c r="X17">
        <v>175</v>
      </c>
      <c r="Y17">
        <v>174</v>
      </c>
      <c r="Z17" s="2">
        <f>AVERAGE(Sheet1[[#This Row],[00:00:00]:[23:00:00]])</f>
        <v>158.20833333333334</v>
      </c>
      <c r="AA17" t="str" cm="1">
        <f t="array" ref="AA1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8" spans="1:27" x14ac:dyDescent="0.3">
      <c r="A18" s="1">
        <v>45674</v>
      </c>
      <c r="B18">
        <v>172</v>
      </c>
      <c r="C18">
        <v>172</v>
      </c>
      <c r="D18">
        <v>171</v>
      </c>
      <c r="E18">
        <v>170</v>
      </c>
      <c r="F18">
        <v>169</v>
      </c>
      <c r="G18">
        <v>167</v>
      </c>
      <c r="H18">
        <v>164</v>
      </c>
      <c r="I18">
        <v>162</v>
      </c>
      <c r="J18">
        <v>159</v>
      </c>
      <c r="K18">
        <v>157</v>
      </c>
      <c r="L18">
        <v>152</v>
      </c>
      <c r="M18">
        <v>148</v>
      </c>
      <c r="N18">
        <v>146</v>
      </c>
      <c r="O18">
        <v>142</v>
      </c>
      <c r="P18">
        <v>142</v>
      </c>
      <c r="Q18">
        <v>140</v>
      </c>
      <c r="R18">
        <v>139</v>
      </c>
      <c r="S18">
        <v>140</v>
      </c>
      <c r="T18">
        <v>138</v>
      </c>
      <c r="U18">
        <v>137</v>
      </c>
      <c r="V18">
        <v>135</v>
      </c>
      <c r="W18">
        <v>132</v>
      </c>
      <c r="X18">
        <v>130</v>
      </c>
      <c r="Y18">
        <v>132</v>
      </c>
      <c r="Z18" s="2">
        <f>AVERAGE(Sheet1[[#This Row],[00:00:00]:[23:00:00]])</f>
        <v>150.66666666666666</v>
      </c>
      <c r="AA18" t="str" cm="1">
        <f t="array" ref="AA1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VERY BAD</v>
      </c>
    </row>
    <row r="19" spans="1:27" x14ac:dyDescent="0.3">
      <c r="A19" s="1">
        <v>45675</v>
      </c>
      <c r="B19">
        <v>131</v>
      </c>
      <c r="C19">
        <v>131</v>
      </c>
      <c r="D19">
        <v>130</v>
      </c>
      <c r="E19">
        <v>130</v>
      </c>
      <c r="F19">
        <v>130</v>
      </c>
      <c r="G19">
        <v>129</v>
      </c>
      <c r="H19">
        <v>130</v>
      </c>
      <c r="I19">
        <v>130</v>
      </c>
      <c r="J19">
        <v>130</v>
      </c>
      <c r="K19">
        <v>131</v>
      </c>
      <c r="L19">
        <v>131</v>
      </c>
      <c r="M19">
        <v>131</v>
      </c>
      <c r="N19">
        <v>132</v>
      </c>
      <c r="O19">
        <v>133</v>
      </c>
      <c r="P19">
        <v>133</v>
      </c>
      <c r="Q19">
        <v>133</v>
      </c>
      <c r="R19">
        <v>133</v>
      </c>
      <c r="S19">
        <v>132</v>
      </c>
      <c r="T19">
        <v>132</v>
      </c>
      <c r="U19">
        <v>132</v>
      </c>
      <c r="V19">
        <v>131</v>
      </c>
      <c r="W19">
        <v>129</v>
      </c>
      <c r="X19">
        <v>128</v>
      </c>
      <c r="Y19">
        <v>127</v>
      </c>
      <c r="Z19" s="2">
        <f>AVERAGE(Sheet1[[#This Row],[00:00:00]:[23:00:00]])</f>
        <v>130.79166666666666</v>
      </c>
      <c r="AA19" t="str" cm="1">
        <f t="array" ref="AA1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0" spans="1:27" x14ac:dyDescent="0.3">
      <c r="A20" s="1">
        <v>45676</v>
      </c>
      <c r="B20">
        <v>125</v>
      </c>
      <c r="C20">
        <v>124</v>
      </c>
      <c r="D20">
        <v>124</v>
      </c>
      <c r="E20">
        <v>123</v>
      </c>
      <c r="F20">
        <v>122</v>
      </c>
      <c r="G20">
        <v>121</v>
      </c>
      <c r="H20">
        <v>121</v>
      </c>
      <c r="I20">
        <v>120</v>
      </c>
      <c r="J20">
        <v>120</v>
      </c>
      <c r="K20">
        <v>119</v>
      </c>
      <c r="L20">
        <v>119</v>
      </c>
      <c r="M20">
        <v>119</v>
      </c>
      <c r="N20">
        <v>119</v>
      </c>
      <c r="O20">
        <v>119</v>
      </c>
      <c r="P20">
        <v>119</v>
      </c>
      <c r="Q20">
        <v>120</v>
      </c>
      <c r="R20">
        <v>120</v>
      </c>
      <c r="S20">
        <v>120</v>
      </c>
      <c r="T20">
        <v>121</v>
      </c>
      <c r="U20">
        <v>122</v>
      </c>
      <c r="V20">
        <v>123</v>
      </c>
      <c r="W20">
        <v>126</v>
      </c>
      <c r="X20">
        <v>130</v>
      </c>
      <c r="Y20">
        <v>133</v>
      </c>
      <c r="Z20" s="2">
        <f>AVERAGE(Sheet1[[#This Row],[00:00:00]:[23:00:00]])</f>
        <v>122.04166666666667</v>
      </c>
      <c r="AA20" t="str" cm="1">
        <f t="array" ref="AA2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1" spans="1:27" x14ac:dyDescent="0.3">
      <c r="A21" s="1">
        <v>45677</v>
      </c>
      <c r="B21">
        <v>137</v>
      </c>
      <c r="C21">
        <v>139</v>
      </c>
      <c r="D21">
        <v>140</v>
      </c>
      <c r="E21">
        <v>142</v>
      </c>
      <c r="F21">
        <v>143</v>
      </c>
      <c r="G21">
        <v>142</v>
      </c>
      <c r="H21">
        <v>143</v>
      </c>
      <c r="I21">
        <v>143</v>
      </c>
      <c r="J21">
        <v>143</v>
      </c>
      <c r="K21">
        <v>143</v>
      </c>
      <c r="L21">
        <v>143</v>
      </c>
      <c r="M21">
        <v>142</v>
      </c>
      <c r="N21">
        <v>141</v>
      </c>
      <c r="O21">
        <v>141</v>
      </c>
      <c r="P21">
        <v>138</v>
      </c>
      <c r="Q21">
        <v>136</v>
      </c>
      <c r="R21">
        <v>136</v>
      </c>
      <c r="S21">
        <v>135</v>
      </c>
      <c r="T21">
        <v>135</v>
      </c>
      <c r="U21">
        <v>135</v>
      </c>
      <c r="V21">
        <v>133</v>
      </c>
      <c r="W21">
        <v>134</v>
      </c>
      <c r="X21">
        <v>136</v>
      </c>
      <c r="Y21">
        <v>137</v>
      </c>
      <c r="Z21" s="2">
        <f>AVERAGE(Sheet1[[#This Row],[00:00:00]:[23:00:00]])</f>
        <v>139.04166666666666</v>
      </c>
      <c r="AA21" t="str" cm="1">
        <f t="array" ref="AA2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2" spans="1:27" x14ac:dyDescent="0.3">
      <c r="A22" s="1">
        <v>45678</v>
      </c>
      <c r="B22">
        <v>137</v>
      </c>
      <c r="C22">
        <v>138</v>
      </c>
      <c r="D22">
        <v>138</v>
      </c>
      <c r="E22">
        <v>137</v>
      </c>
      <c r="F22">
        <v>136</v>
      </c>
      <c r="G22">
        <v>137</v>
      </c>
      <c r="H22">
        <v>136</v>
      </c>
      <c r="I22">
        <v>135</v>
      </c>
      <c r="J22">
        <v>134</v>
      </c>
      <c r="K22">
        <v>135</v>
      </c>
      <c r="L22">
        <v>136</v>
      </c>
      <c r="M22">
        <v>138</v>
      </c>
      <c r="N22">
        <v>139</v>
      </c>
      <c r="O22">
        <v>139</v>
      </c>
      <c r="P22">
        <v>139</v>
      </c>
      <c r="Q22">
        <v>139</v>
      </c>
      <c r="R22">
        <v>139</v>
      </c>
      <c r="S22">
        <v>139</v>
      </c>
      <c r="T22">
        <v>137</v>
      </c>
      <c r="U22">
        <v>138</v>
      </c>
      <c r="V22">
        <v>137</v>
      </c>
      <c r="W22">
        <v>138</v>
      </c>
      <c r="X22">
        <v>138</v>
      </c>
      <c r="Y22">
        <v>136</v>
      </c>
      <c r="Z22" s="2">
        <f>AVERAGE(Sheet1[[#This Row],[00:00:00]:[23:00:00]])</f>
        <v>137.29166666666666</v>
      </c>
      <c r="AA22" t="str" cm="1">
        <f t="array" ref="AA2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3" spans="1:27" x14ac:dyDescent="0.3">
      <c r="A23" s="1">
        <v>45679</v>
      </c>
      <c r="B23">
        <v>133</v>
      </c>
      <c r="C23">
        <v>132</v>
      </c>
      <c r="D23">
        <v>130</v>
      </c>
      <c r="E23">
        <v>130</v>
      </c>
      <c r="F23">
        <v>130</v>
      </c>
      <c r="G23">
        <v>141</v>
      </c>
      <c r="H23">
        <v>144</v>
      </c>
      <c r="I23">
        <v>144</v>
      </c>
      <c r="J23">
        <v>143</v>
      </c>
      <c r="K23">
        <v>144</v>
      </c>
      <c r="L23">
        <v>144</v>
      </c>
      <c r="M23">
        <v>144</v>
      </c>
      <c r="N23">
        <v>143</v>
      </c>
      <c r="O23">
        <v>142</v>
      </c>
      <c r="P23">
        <v>142</v>
      </c>
      <c r="Q23">
        <v>142</v>
      </c>
      <c r="R23">
        <v>143</v>
      </c>
      <c r="S23">
        <v>143</v>
      </c>
      <c r="T23">
        <v>142</v>
      </c>
      <c r="U23">
        <v>141</v>
      </c>
      <c r="V23">
        <v>140</v>
      </c>
      <c r="W23">
        <v>136</v>
      </c>
      <c r="X23">
        <v>136</v>
      </c>
      <c r="Y23">
        <v>130</v>
      </c>
      <c r="Z23" s="2">
        <f>AVERAGE(Sheet1[[#This Row],[00:00:00]:[23:00:00]])</f>
        <v>139.125</v>
      </c>
      <c r="AA23" t="str" cm="1">
        <f t="array" ref="AA23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4" spans="1:27" x14ac:dyDescent="0.3">
      <c r="A24" s="1">
        <v>45680</v>
      </c>
      <c r="B24">
        <v>128</v>
      </c>
      <c r="C24">
        <v>126</v>
      </c>
      <c r="D24">
        <v>125</v>
      </c>
      <c r="E24">
        <v>123</v>
      </c>
      <c r="F24">
        <v>123</v>
      </c>
      <c r="G24">
        <v>122</v>
      </c>
      <c r="H24">
        <v>121</v>
      </c>
      <c r="I24">
        <v>121</v>
      </c>
      <c r="J24">
        <v>120</v>
      </c>
      <c r="K24">
        <v>119</v>
      </c>
      <c r="L24">
        <v>119</v>
      </c>
      <c r="M24">
        <v>120</v>
      </c>
      <c r="N24">
        <v>122</v>
      </c>
      <c r="O24">
        <v>124</v>
      </c>
      <c r="P24">
        <v>124</v>
      </c>
      <c r="Q24">
        <v>125</v>
      </c>
      <c r="R24">
        <v>124</v>
      </c>
      <c r="S24">
        <v>125</v>
      </c>
      <c r="T24">
        <v>126</v>
      </c>
      <c r="U24">
        <v>126</v>
      </c>
      <c r="V24">
        <v>126</v>
      </c>
      <c r="W24">
        <v>125</v>
      </c>
      <c r="X24">
        <v>124</v>
      </c>
      <c r="Y24">
        <v>123</v>
      </c>
      <c r="Z24" s="2">
        <f>AVERAGE(Sheet1[[#This Row],[00:00:00]:[23:00:00]])</f>
        <v>123.375</v>
      </c>
      <c r="AA24" t="str" cm="1">
        <f t="array" ref="AA24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5" spans="1:27" x14ac:dyDescent="0.3">
      <c r="A25" s="1">
        <v>45681</v>
      </c>
      <c r="B25">
        <v>122</v>
      </c>
      <c r="C25">
        <v>120</v>
      </c>
      <c r="D25">
        <v>119</v>
      </c>
      <c r="E25">
        <v>119</v>
      </c>
      <c r="F25">
        <v>117</v>
      </c>
      <c r="G25">
        <v>116</v>
      </c>
      <c r="H25">
        <v>116</v>
      </c>
      <c r="I25">
        <v>115</v>
      </c>
      <c r="J25">
        <v>115</v>
      </c>
      <c r="K25">
        <v>115</v>
      </c>
      <c r="L25">
        <v>115</v>
      </c>
      <c r="M25">
        <v>112</v>
      </c>
      <c r="N25">
        <v>110</v>
      </c>
      <c r="O25">
        <v>108</v>
      </c>
      <c r="P25">
        <v>107</v>
      </c>
      <c r="Q25">
        <v>106</v>
      </c>
      <c r="R25">
        <v>106</v>
      </c>
      <c r="S25">
        <v>105</v>
      </c>
      <c r="T25">
        <v>104</v>
      </c>
      <c r="U25">
        <v>104</v>
      </c>
      <c r="V25">
        <v>105</v>
      </c>
      <c r="W25">
        <v>107</v>
      </c>
      <c r="X25">
        <v>111</v>
      </c>
      <c r="Y25">
        <v>115</v>
      </c>
      <c r="Z25" s="2">
        <f>AVERAGE(Sheet1[[#This Row],[00:00:00]:[23:00:00]])</f>
        <v>112.04166666666667</v>
      </c>
      <c r="AA25" t="str" cm="1">
        <f t="array" ref="AA25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6" spans="1:27" x14ac:dyDescent="0.3">
      <c r="A26" s="1">
        <v>45682</v>
      </c>
      <c r="B26">
        <v>119</v>
      </c>
      <c r="C26">
        <v>121</v>
      </c>
      <c r="D26">
        <v>122</v>
      </c>
      <c r="E26">
        <v>122</v>
      </c>
      <c r="F26">
        <v>124</v>
      </c>
      <c r="G26">
        <v>126</v>
      </c>
      <c r="H26">
        <v>127</v>
      </c>
      <c r="I26">
        <v>128</v>
      </c>
      <c r="J26">
        <v>129</v>
      </c>
      <c r="K26">
        <v>128</v>
      </c>
      <c r="L26">
        <v>127</v>
      </c>
      <c r="M26">
        <v>128</v>
      </c>
      <c r="N26">
        <v>129</v>
      </c>
      <c r="O26">
        <v>129</v>
      </c>
      <c r="P26">
        <v>130</v>
      </c>
      <c r="Q26">
        <v>130</v>
      </c>
      <c r="R26">
        <v>130</v>
      </c>
      <c r="S26">
        <v>130</v>
      </c>
      <c r="T26">
        <v>130</v>
      </c>
      <c r="U26">
        <v>130</v>
      </c>
      <c r="V26">
        <v>130</v>
      </c>
      <c r="W26">
        <v>128</v>
      </c>
      <c r="X26">
        <v>124</v>
      </c>
      <c r="Y26">
        <v>122</v>
      </c>
      <c r="Z26" s="2">
        <f>AVERAGE(Sheet1[[#This Row],[00:00:00]:[23:00:00]])</f>
        <v>126.79166666666667</v>
      </c>
      <c r="AA26" t="str" cm="1">
        <f t="array" ref="AA26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7" spans="1:27" x14ac:dyDescent="0.3">
      <c r="A27" s="1">
        <v>45683</v>
      </c>
      <c r="B27">
        <v>120</v>
      </c>
      <c r="C27">
        <v>119</v>
      </c>
      <c r="D27">
        <v>119</v>
      </c>
      <c r="E27">
        <v>120</v>
      </c>
      <c r="F27">
        <v>120</v>
      </c>
      <c r="G27">
        <v>120</v>
      </c>
      <c r="H27">
        <v>119</v>
      </c>
      <c r="I27">
        <v>119</v>
      </c>
      <c r="J27">
        <v>120</v>
      </c>
      <c r="K27">
        <v>120</v>
      </c>
      <c r="L27">
        <v>124</v>
      </c>
      <c r="M27">
        <v>124</v>
      </c>
      <c r="N27">
        <v>124</v>
      </c>
      <c r="O27">
        <v>125</v>
      </c>
      <c r="P27">
        <v>124</v>
      </c>
      <c r="Q27">
        <v>122</v>
      </c>
      <c r="R27">
        <v>122</v>
      </c>
      <c r="S27">
        <v>120</v>
      </c>
      <c r="T27">
        <v>120</v>
      </c>
      <c r="U27">
        <v>120</v>
      </c>
      <c r="V27">
        <v>118</v>
      </c>
      <c r="W27">
        <v>123</v>
      </c>
      <c r="X27">
        <v>128</v>
      </c>
      <c r="Y27">
        <v>128</v>
      </c>
      <c r="Z27" s="2">
        <f>AVERAGE(Sheet1[[#This Row],[00:00:00]:[23:00:00]])</f>
        <v>121.58333333333333</v>
      </c>
      <c r="AA27" t="str" cm="1">
        <f t="array" ref="AA27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8" spans="1:27" x14ac:dyDescent="0.3">
      <c r="A28" s="1">
        <v>45684</v>
      </c>
      <c r="B28">
        <v>128</v>
      </c>
      <c r="C28">
        <v>126</v>
      </c>
      <c r="D28">
        <v>124</v>
      </c>
      <c r="E28">
        <v>122</v>
      </c>
      <c r="F28">
        <v>120</v>
      </c>
      <c r="G28">
        <v>118</v>
      </c>
      <c r="H28">
        <v>117</v>
      </c>
      <c r="I28">
        <v>116</v>
      </c>
      <c r="J28">
        <v>114</v>
      </c>
      <c r="K28">
        <v>112</v>
      </c>
      <c r="L28">
        <v>108</v>
      </c>
      <c r="M28">
        <v>109</v>
      </c>
      <c r="N28">
        <v>109</v>
      </c>
      <c r="O28">
        <v>108</v>
      </c>
      <c r="P28">
        <v>107</v>
      </c>
      <c r="Q28">
        <v>107</v>
      </c>
      <c r="R28">
        <v>106</v>
      </c>
      <c r="S28">
        <v>106</v>
      </c>
      <c r="T28">
        <v>105</v>
      </c>
      <c r="U28">
        <v>104</v>
      </c>
      <c r="V28">
        <v>103</v>
      </c>
      <c r="W28">
        <v>99</v>
      </c>
      <c r="X28">
        <v>95</v>
      </c>
      <c r="Y28">
        <v>94</v>
      </c>
      <c r="Z28" s="2">
        <f>AVERAGE(Sheet1[[#This Row],[00:00:00]:[23:00:00]])</f>
        <v>110.70833333333333</v>
      </c>
      <c r="AA28" t="str" cm="1">
        <f t="array" ref="AA28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29" spans="1:27" x14ac:dyDescent="0.3">
      <c r="A29" s="1">
        <v>45685</v>
      </c>
      <c r="B29">
        <v>94</v>
      </c>
      <c r="C29">
        <v>94</v>
      </c>
      <c r="D29">
        <v>95</v>
      </c>
      <c r="E29">
        <v>96</v>
      </c>
      <c r="F29">
        <v>97</v>
      </c>
      <c r="G29">
        <v>98</v>
      </c>
      <c r="H29">
        <v>99</v>
      </c>
      <c r="I29">
        <v>100</v>
      </c>
      <c r="J29">
        <v>102</v>
      </c>
      <c r="K29">
        <v>103</v>
      </c>
      <c r="L29">
        <v>104</v>
      </c>
      <c r="M29">
        <v>106</v>
      </c>
      <c r="N29">
        <v>107</v>
      </c>
      <c r="O29">
        <v>108</v>
      </c>
      <c r="P29">
        <v>110</v>
      </c>
      <c r="Q29">
        <v>111</v>
      </c>
      <c r="R29">
        <v>114</v>
      </c>
      <c r="S29">
        <v>118</v>
      </c>
      <c r="T29">
        <v>120</v>
      </c>
      <c r="U29">
        <v>121</v>
      </c>
      <c r="V29">
        <v>122</v>
      </c>
      <c r="W29">
        <v>122</v>
      </c>
      <c r="X29">
        <v>122</v>
      </c>
      <c r="Y29">
        <v>122</v>
      </c>
      <c r="Z29" s="2">
        <f>AVERAGE(Sheet1[[#This Row],[00:00:00]:[23:00:00]])</f>
        <v>107.70833333333333</v>
      </c>
      <c r="AA29" t="str" cm="1">
        <f t="array" ref="AA29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0" spans="1:27" x14ac:dyDescent="0.3">
      <c r="A30" s="1">
        <v>45686</v>
      </c>
      <c r="B30">
        <v>122</v>
      </c>
      <c r="C30">
        <v>122</v>
      </c>
      <c r="D30">
        <v>122</v>
      </c>
      <c r="E30">
        <v>123</v>
      </c>
      <c r="F30">
        <v>125</v>
      </c>
      <c r="G30">
        <v>126</v>
      </c>
      <c r="H30">
        <v>127</v>
      </c>
      <c r="I30">
        <v>128</v>
      </c>
      <c r="J30">
        <v>129</v>
      </c>
      <c r="K30">
        <v>129</v>
      </c>
      <c r="L30">
        <v>130</v>
      </c>
      <c r="M30">
        <v>132</v>
      </c>
      <c r="N30">
        <v>133</v>
      </c>
      <c r="O30">
        <v>133</v>
      </c>
      <c r="P30">
        <v>133</v>
      </c>
      <c r="Q30">
        <v>132</v>
      </c>
      <c r="R30">
        <v>129</v>
      </c>
      <c r="S30">
        <v>126</v>
      </c>
      <c r="T30">
        <v>124</v>
      </c>
      <c r="U30">
        <v>123</v>
      </c>
      <c r="V30">
        <v>122</v>
      </c>
      <c r="W30">
        <v>121</v>
      </c>
      <c r="X30">
        <v>120</v>
      </c>
      <c r="Y30">
        <v>121</v>
      </c>
      <c r="Z30" s="2">
        <f>AVERAGE(Sheet1[[#This Row],[00:00:00]:[23:00:00]])</f>
        <v>126.33333333333333</v>
      </c>
      <c r="AA30" t="str" cm="1">
        <f t="array" ref="AA30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1" spans="1:27" x14ac:dyDescent="0.3">
      <c r="A31" s="1">
        <v>45687</v>
      </c>
      <c r="B31">
        <v>120</v>
      </c>
      <c r="C31">
        <v>119</v>
      </c>
      <c r="D31">
        <v>118</v>
      </c>
      <c r="E31">
        <v>118</v>
      </c>
      <c r="F31">
        <v>117</v>
      </c>
      <c r="G31">
        <v>116</v>
      </c>
      <c r="H31">
        <v>115</v>
      </c>
      <c r="I31">
        <v>114</v>
      </c>
      <c r="J31">
        <v>114</v>
      </c>
      <c r="K31">
        <v>114</v>
      </c>
      <c r="L31">
        <v>115</v>
      </c>
      <c r="M31">
        <v>114</v>
      </c>
      <c r="N31">
        <v>113</v>
      </c>
      <c r="O31">
        <v>112</v>
      </c>
      <c r="P31">
        <v>111</v>
      </c>
      <c r="Q31">
        <v>111</v>
      </c>
      <c r="R31">
        <v>111</v>
      </c>
      <c r="S31">
        <v>111</v>
      </c>
      <c r="U31">
        <v>114</v>
      </c>
      <c r="V31">
        <v>113</v>
      </c>
      <c r="W31">
        <v>113</v>
      </c>
      <c r="X31">
        <v>112</v>
      </c>
      <c r="Y31">
        <v>112</v>
      </c>
      <c r="Z31" s="2">
        <f>AVERAGE(Sheet1[[#This Row],[00:00:00]:[23:00:00]])</f>
        <v>114.21739130434783</v>
      </c>
      <c r="AA31" t="str" cm="1">
        <f t="array" ref="AA31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BAD</v>
      </c>
    </row>
    <row r="32" spans="1:27" x14ac:dyDescent="0.3">
      <c r="A32" s="1">
        <v>45688</v>
      </c>
      <c r="B32">
        <v>111</v>
      </c>
      <c r="C32">
        <v>110</v>
      </c>
      <c r="D32">
        <v>109</v>
      </c>
      <c r="E32">
        <v>108</v>
      </c>
      <c r="F32">
        <v>106</v>
      </c>
      <c r="G32">
        <v>104</v>
      </c>
      <c r="H32">
        <v>101</v>
      </c>
      <c r="I32">
        <v>98</v>
      </c>
      <c r="J32">
        <v>95</v>
      </c>
      <c r="K32">
        <v>92</v>
      </c>
      <c r="L32">
        <v>89</v>
      </c>
      <c r="M32">
        <v>88</v>
      </c>
      <c r="N32">
        <v>87</v>
      </c>
      <c r="O32">
        <v>86</v>
      </c>
      <c r="P32">
        <v>86</v>
      </c>
      <c r="Q32">
        <v>86</v>
      </c>
      <c r="R32">
        <v>87</v>
      </c>
      <c r="S32">
        <v>87</v>
      </c>
      <c r="T32">
        <v>87</v>
      </c>
      <c r="U32">
        <v>87</v>
      </c>
      <c r="V32">
        <v>88</v>
      </c>
      <c r="W32">
        <v>88</v>
      </c>
      <c r="X32">
        <v>87</v>
      </c>
      <c r="Y32">
        <v>86</v>
      </c>
      <c r="Z32" s="2">
        <f>AVERAGE(Sheet1[[#This Row],[00:00:00]:[23:00:00]])</f>
        <v>93.875</v>
      </c>
      <c r="AA32" t="str" cm="1">
        <f t="array" ref="AA32">_xlfn.IFS(Sheet1[[#This Row],[AVERAGE AQI]]&lt;50,"GOOD",Sheet1[[#This Row],[AVERAGE AQI]]&lt;=100,"MODERATE",Sheet1[[#This Row],[AVERAGE AQI]]&lt;=150,"BAD",Sheet1[[#This Row],[AVERAGE AQI]]&lt;=200,"VERY BAD",Sheet1[[#This Row],[AVERAGE AQI]]&lt;=300,"HAZARDOUS")</f>
        <v>MODERATE</v>
      </c>
    </row>
    <row r="33" spans="26:27" x14ac:dyDescent="0.3">
      <c r="Z33" s="2">
        <f>AVERAGE(Sheet1[AVERAGE AQI])</f>
        <v>123.5243688639551</v>
      </c>
      <c r="AA33" s="3"/>
    </row>
  </sheetData>
  <conditionalFormatting sqref="AA1:AA1048576">
    <cfRule type="containsText" dxfId="41" priority="1" operator="containsText" text="VERY BAD">
      <formula>NOT(ISERROR(SEARCH("VERY BAD",AA1)))</formula>
    </cfRule>
    <cfRule type="containsText" dxfId="40" priority="2" operator="containsText" text="MODERATE">
      <formula>NOT(ISERROR(SEARCH("MODERATE",AA1)))</formula>
    </cfRule>
    <cfRule type="containsText" dxfId="39" priority="3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4B39-3793-4290-9013-1F7E506F78EF}">
  <dimension ref="A1:AA30"/>
  <sheetViews>
    <sheetView topLeftCell="J9" workbookViewId="0">
      <selection activeCell="Z30" sqref="Z30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45689</v>
      </c>
      <c r="B2">
        <v>85</v>
      </c>
      <c r="C2">
        <v>84</v>
      </c>
      <c r="D2">
        <v>84</v>
      </c>
      <c r="E2">
        <v>83</v>
      </c>
      <c r="F2">
        <v>82</v>
      </c>
      <c r="G2">
        <v>82</v>
      </c>
      <c r="H2">
        <v>81</v>
      </c>
      <c r="I2">
        <v>81</v>
      </c>
      <c r="J2">
        <v>80</v>
      </c>
      <c r="K2">
        <v>79</v>
      </c>
      <c r="L2">
        <v>78</v>
      </c>
      <c r="M2">
        <v>76</v>
      </c>
      <c r="N2">
        <v>74</v>
      </c>
      <c r="O2">
        <v>74</v>
      </c>
      <c r="P2">
        <v>72</v>
      </c>
      <c r="Q2">
        <v>72</v>
      </c>
      <c r="R2">
        <v>72</v>
      </c>
      <c r="S2">
        <v>72</v>
      </c>
      <c r="T2">
        <v>74</v>
      </c>
      <c r="U2">
        <v>73</v>
      </c>
      <c r="V2">
        <v>72</v>
      </c>
      <c r="W2">
        <v>71</v>
      </c>
      <c r="X2">
        <v>70</v>
      </c>
      <c r="Y2">
        <v>68</v>
      </c>
      <c r="Z2" s="2">
        <f>AVERAGE(Sheet1__2[[#This Row],[00:00:00]:[23:00:00]])</f>
        <v>76.625</v>
      </c>
      <c r="AA2" t="str" cm="1">
        <f t="array" ref="AA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3" spans="1:27" x14ac:dyDescent="0.3">
      <c r="A3" s="1">
        <v>45690</v>
      </c>
      <c r="B3">
        <v>69</v>
      </c>
      <c r="C3">
        <v>70</v>
      </c>
      <c r="D3">
        <v>72</v>
      </c>
      <c r="E3">
        <v>73</v>
      </c>
      <c r="F3">
        <v>74</v>
      </c>
      <c r="G3">
        <v>76</v>
      </c>
      <c r="H3">
        <v>76</v>
      </c>
      <c r="I3">
        <v>78</v>
      </c>
      <c r="J3">
        <v>81</v>
      </c>
      <c r="K3">
        <v>84</v>
      </c>
      <c r="L3">
        <v>87</v>
      </c>
      <c r="M3">
        <v>90</v>
      </c>
      <c r="N3">
        <v>92</v>
      </c>
      <c r="O3">
        <v>95</v>
      </c>
      <c r="P3">
        <v>97</v>
      </c>
      <c r="Q3">
        <v>98</v>
      </c>
      <c r="R3">
        <v>99</v>
      </c>
      <c r="S3">
        <v>100</v>
      </c>
      <c r="T3">
        <v>101</v>
      </c>
      <c r="U3">
        <v>101</v>
      </c>
      <c r="V3">
        <v>102</v>
      </c>
      <c r="W3">
        <v>102</v>
      </c>
      <c r="X3">
        <v>103</v>
      </c>
      <c r="Y3">
        <v>104</v>
      </c>
      <c r="Z3" s="2">
        <f>AVERAGE(Sheet1__2[[#This Row],[00:00:00]:[23:00:00]])</f>
        <v>88.5</v>
      </c>
      <c r="AA3" t="str" cm="1">
        <f t="array" ref="AA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4" spans="1:27" x14ac:dyDescent="0.3">
      <c r="A4" s="1">
        <v>45691</v>
      </c>
      <c r="B4">
        <v>104</v>
      </c>
      <c r="C4">
        <v>105</v>
      </c>
      <c r="D4">
        <v>107</v>
      </c>
      <c r="E4">
        <v>108</v>
      </c>
      <c r="F4">
        <v>108</v>
      </c>
      <c r="G4">
        <v>109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112</v>
      </c>
      <c r="N4">
        <v>115</v>
      </c>
      <c r="O4">
        <v>113</v>
      </c>
      <c r="P4">
        <v>114</v>
      </c>
      <c r="Q4">
        <v>115</v>
      </c>
      <c r="R4">
        <v>115</v>
      </c>
      <c r="S4">
        <v>115</v>
      </c>
      <c r="T4">
        <v>115</v>
      </c>
      <c r="U4">
        <v>115</v>
      </c>
      <c r="V4">
        <v>117</v>
      </c>
      <c r="W4">
        <v>119</v>
      </c>
      <c r="X4">
        <v>121</v>
      </c>
      <c r="Y4">
        <v>123</v>
      </c>
      <c r="Z4" s="2">
        <f>AVERAGE(Sheet1__2[[#This Row],[00:00:00]:[23:00:00]])</f>
        <v>112.5</v>
      </c>
      <c r="AA4" t="str" cm="1">
        <f t="array" ref="AA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5" spans="1:27" x14ac:dyDescent="0.3">
      <c r="A5" s="1">
        <v>45692</v>
      </c>
      <c r="B5">
        <v>124</v>
      </c>
      <c r="C5">
        <v>124</v>
      </c>
      <c r="D5">
        <v>124</v>
      </c>
      <c r="E5">
        <v>124</v>
      </c>
      <c r="F5">
        <v>124</v>
      </c>
      <c r="G5">
        <v>124</v>
      </c>
      <c r="H5">
        <v>123</v>
      </c>
      <c r="I5">
        <v>122</v>
      </c>
      <c r="J5">
        <v>122</v>
      </c>
      <c r="K5">
        <v>122</v>
      </c>
      <c r="L5">
        <v>123</v>
      </c>
      <c r="M5">
        <v>122</v>
      </c>
      <c r="N5">
        <v>118</v>
      </c>
      <c r="O5">
        <v>116</v>
      </c>
      <c r="P5">
        <v>114</v>
      </c>
      <c r="Q5">
        <v>112</v>
      </c>
      <c r="R5">
        <v>111</v>
      </c>
      <c r="S5">
        <v>109</v>
      </c>
      <c r="T5">
        <v>108</v>
      </c>
      <c r="U5">
        <v>106</v>
      </c>
      <c r="V5">
        <v>104</v>
      </c>
      <c r="W5">
        <v>102</v>
      </c>
      <c r="X5">
        <v>100</v>
      </c>
      <c r="Y5">
        <v>98</v>
      </c>
      <c r="Z5" s="2">
        <f>AVERAGE(Sheet1__2[[#This Row],[00:00:00]:[23:00:00]])</f>
        <v>115.66666666666667</v>
      </c>
      <c r="AA5" t="str" cm="1">
        <f t="array" ref="AA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6" spans="1:27" x14ac:dyDescent="0.3">
      <c r="A6" s="1">
        <v>45693</v>
      </c>
      <c r="B6">
        <v>96</v>
      </c>
      <c r="C6">
        <v>95</v>
      </c>
      <c r="D6">
        <v>94</v>
      </c>
      <c r="E6">
        <v>94</v>
      </c>
      <c r="F6">
        <v>94</v>
      </c>
      <c r="G6">
        <v>93</v>
      </c>
      <c r="H6">
        <v>92</v>
      </c>
      <c r="I6">
        <v>92</v>
      </c>
      <c r="J6">
        <v>92</v>
      </c>
      <c r="K6">
        <v>90</v>
      </c>
      <c r="L6">
        <v>87</v>
      </c>
      <c r="M6">
        <v>85</v>
      </c>
      <c r="N6">
        <v>84</v>
      </c>
      <c r="O6">
        <v>86</v>
      </c>
      <c r="P6">
        <v>86</v>
      </c>
      <c r="Q6">
        <v>88</v>
      </c>
      <c r="R6">
        <v>89</v>
      </c>
      <c r="S6">
        <v>90</v>
      </c>
      <c r="T6">
        <v>90</v>
      </c>
      <c r="U6">
        <v>91</v>
      </c>
      <c r="V6">
        <v>92</v>
      </c>
      <c r="W6">
        <v>95</v>
      </c>
      <c r="X6">
        <v>95</v>
      </c>
      <c r="Y6">
        <v>96</v>
      </c>
      <c r="Z6" s="2">
        <f>AVERAGE(Sheet1__2[[#This Row],[00:00:00]:[23:00:00]])</f>
        <v>91.083333333333329</v>
      </c>
      <c r="AA6" t="str" cm="1">
        <f t="array" ref="AA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7" spans="1:27" x14ac:dyDescent="0.3">
      <c r="A7" s="1">
        <v>45694</v>
      </c>
      <c r="B7">
        <v>96</v>
      </c>
      <c r="C7">
        <v>95</v>
      </c>
      <c r="D7">
        <v>95</v>
      </c>
      <c r="E7">
        <v>95</v>
      </c>
      <c r="F7">
        <v>94</v>
      </c>
      <c r="G7">
        <v>94</v>
      </c>
      <c r="H7">
        <v>94</v>
      </c>
      <c r="I7">
        <v>94</v>
      </c>
      <c r="J7">
        <v>94</v>
      </c>
      <c r="K7">
        <v>94</v>
      </c>
      <c r="L7">
        <v>94</v>
      </c>
      <c r="M7">
        <v>93</v>
      </c>
      <c r="N7">
        <v>93</v>
      </c>
      <c r="O7">
        <v>92</v>
      </c>
      <c r="P7">
        <v>92</v>
      </c>
      <c r="Q7">
        <v>92</v>
      </c>
      <c r="R7">
        <v>92</v>
      </c>
      <c r="S7">
        <v>92</v>
      </c>
      <c r="T7">
        <v>93</v>
      </c>
      <c r="U7">
        <v>94</v>
      </c>
      <c r="V7">
        <v>95</v>
      </c>
      <c r="W7">
        <v>96</v>
      </c>
      <c r="X7">
        <v>96</v>
      </c>
      <c r="Y7">
        <v>98</v>
      </c>
      <c r="Z7" s="2">
        <f>AVERAGE(Sheet1__2[[#This Row],[00:00:00]:[23:00:00]])</f>
        <v>94.041666666666671</v>
      </c>
      <c r="AA7" t="str" cm="1">
        <f t="array" ref="AA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8" spans="1:27" x14ac:dyDescent="0.3">
      <c r="A8" s="1">
        <v>45695</v>
      </c>
      <c r="B8">
        <v>99</v>
      </c>
      <c r="C8">
        <v>100</v>
      </c>
      <c r="D8">
        <v>100</v>
      </c>
      <c r="E8">
        <v>100</v>
      </c>
      <c r="F8">
        <v>99</v>
      </c>
      <c r="G8">
        <v>98</v>
      </c>
      <c r="H8">
        <v>98</v>
      </c>
      <c r="I8">
        <v>97</v>
      </c>
      <c r="J8">
        <v>96</v>
      </c>
      <c r="K8">
        <v>95</v>
      </c>
      <c r="L8">
        <v>94</v>
      </c>
      <c r="M8">
        <v>93</v>
      </c>
      <c r="N8">
        <v>92</v>
      </c>
      <c r="O8">
        <v>92</v>
      </c>
      <c r="P8">
        <v>94</v>
      </c>
      <c r="Q8">
        <v>94</v>
      </c>
      <c r="R8">
        <v>94</v>
      </c>
      <c r="S8">
        <v>95</v>
      </c>
      <c r="T8">
        <v>95</v>
      </c>
      <c r="U8">
        <v>96</v>
      </c>
      <c r="V8">
        <v>96</v>
      </c>
      <c r="W8">
        <v>96</v>
      </c>
      <c r="X8">
        <v>98</v>
      </c>
      <c r="Y8">
        <v>98</v>
      </c>
      <c r="Z8" s="2">
        <f>AVERAGE(Sheet1__2[[#This Row],[00:00:00]:[23:00:00]])</f>
        <v>96.208333333333329</v>
      </c>
      <c r="AA8" t="str" cm="1">
        <f t="array" ref="AA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9" spans="1:27" x14ac:dyDescent="0.3">
      <c r="A9" s="1">
        <v>45696</v>
      </c>
      <c r="B9">
        <v>99</v>
      </c>
      <c r="C9">
        <v>100</v>
      </c>
      <c r="D9">
        <v>101</v>
      </c>
      <c r="E9">
        <v>104</v>
      </c>
      <c r="F9">
        <v>106</v>
      </c>
      <c r="G9">
        <v>108</v>
      </c>
      <c r="H9">
        <v>109</v>
      </c>
      <c r="I9">
        <v>110</v>
      </c>
      <c r="J9">
        <v>112</v>
      </c>
      <c r="K9">
        <v>113</v>
      </c>
      <c r="L9">
        <v>114</v>
      </c>
      <c r="M9">
        <v>116</v>
      </c>
      <c r="N9">
        <v>116</v>
      </c>
      <c r="O9">
        <v>117</v>
      </c>
      <c r="P9">
        <v>117</v>
      </c>
      <c r="Q9">
        <v>118</v>
      </c>
      <c r="R9">
        <v>117</v>
      </c>
      <c r="S9">
        <v>117</v>
      </c>
      <c r="T9">
        <v>117</v>
      </c>
      <c r="U9">
        <v>117</v>
      </c>
      <c r="V9">
        <v>117</v>
      </c>
      <c r="W9">
        <v>116</v>
      </c>
      <c r="X9">
        <v>113</v>
      </c>
      <c r="Y9">
        <v>111</v>
      </c>
      <c r="Z9" s="2">
        <f>AVERAGE(Sheet1__2[[#This Row],[00:00:00]:[23:00:00]])</f>
        <v>111.875</v>
      </c>
      <c r="AA9" t="str" cm="1">
        <f t="array" ref="AA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0" spans="1:27" x14ac:dyDescent="0.3">
      <c r="A10" s="1">
        <v>45697</v>
      </c>
      <c r="B10">
        <v>114</v>
      </c>
      <c r="C10">
        <v>116</v>
      </c>
      <c r="D10">
        <v>118</v>
      </c>
      <c r="E10">
        <v>118</v>
      </c>
      <c r="F10">
        <v>118</v>
      </c>
      <c r="G10">
        <v>118</v>
      </c>
      <c r="H10">
        <v>118</v>
      </c>
      <c r="I10">
        <v>118</v>
      </c>
      <c r="J10">
        <v>118</v>
      </c>
      <c r="K10">
        <v>118</v>
      </c>
      <c r="L10">
        <v>120</v>
      </c>
      <c r="M10">
        <v>124</v>
      </c>
      <c r="N10">
        <v>124</v>
      </c>
      <c r="O10">
        <v>126</v>
      </c>
      <c r="P10">
        <v>126</v>
      </c>
      <c r="Q10">
        <v>126</v>
      </c>
      <c r="R10">
        <v>126</v>
      </c>
      <c r="S10">
        <v>125</v>
      </c>
      <c r="T10">
        <v>124</v>
      </c>
      <c r="U10">
        <v>124</v>
      </c>
      <c r="V10">
        <v>126</v>
      </c>
      <c r="W10">
        <v>125</v>
      </c>
      <c r="X10">
        <v>123</v>
      </c>
      <c r="Y10">
        <v>121</v>
      </c>
      <c r="Z10" s="2">
        <f>AVERAGE(Sheet1__2[[#This Row],[00:00:00]:[23:00:00]])</f>
        <v>121.41666666666667</v>
      </c>
      <c r="AA10" t="str" cm="1">
        <f t="array" ref="AA1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1" spans="1:27" x14ac:dyDescent="0.3">
      <c r="A11" s="1">
        <v>45698</v>
      </c>
      <c r="B11">
        <v>116</v>
      </c>
      <c r="C11">
        <v>110</v>
      </c>
      <c r="D11">
        <v>106</v>
      </c>
      <c r="E11">
        <v>106</v>
      </c>
      <c r="F11">
        <v>106</v>
      </c>
      <c r="G11">
        <v>109</v>
      </c>
      <c r="H11">
        <v>112</v>
      </c>
      <c r="I11">
        <v>114</v>
      </c>
      <c r="J11">
        <v>115</v>
      </c>
      <c r="K11">
        <v>118</v>
      </c>
      <c r="L11">
        <v>118</v>
      </c>
      <c r="M11">
        <v>117</v>
      </c>
      <c r="N11">
        <v>116</v>
      </c>
      <c r="O11">
        <v>116</v>
      </c>
      <c r="P11">
        <v>117</v>
      </c>
      <c r="Q11">
        <v>118</v>
      </c>
      <c r="R11">
        <v>117</v>
      </c>
      <c r="S11">
        <v>116</v>
      </c>
      <c r="T11">
        <v>116</v>
      </c>
      <c r="U11">
        <v>116</v>
      </c>
      <c r="V11">
        <v>116</v>
      </c>
      <c r="W11">
        <v>116</v>
      </c>
      <c r="X11">
        <v>118</v>
      </c>
      <c r="Y11">
        <v>117</v>
      </c>
      <c r="Z11" s="2">
        <f>AVERAGE(Sheet1__2[[#This Row],[00:00:00]:[23:00:00]])</f>
        <v>114.41666666666667</v>
      </c>
      <c r="AA11" t="str" cm="1">
        <f t="array" ref="AA1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2" spans="1:27" x14ac:dyDescent="0.3">
      <c r="A12" s="1">
        <v>45699</v>
      </c>
      <c r="B12">
        <v>117</v>
      </c>
      <c r="C12">
        <v>115</v>
      </c>
      <c r="D12">
        <v>115</v>
      </c>
      <c r="E12">
        <v>114</v>
      </c>
      <c r="F12">
        <v>116</v>
      </c>
      <c r="G12">
        <v>115</v>
      </c>
      <c r="H12">
        <v>114</v>
      </c>
      <c r="I12">
        <v>114</v>
      </c>
      <c r="J12">
        <v>112</v>
      </c>
      <c r="K12">
        <v>111</v>
      </c>
      <c r="L12">
        <v>113</v>
      </c>
      <c r="M12">
        <v>112</v>
      </c>
      <c r="N12">
        <v>112</v>
      </c>
      <c r="O12">
        <v>110</v>
      </c>
      <c r="P12">
        <v>110</v>
      </c>
      <c r="Q12">
        <v>110</v>
      </c>
      <c r="R12">
        <v>112</v>
      </c>
      <c r="S12">
        <v>112</v>
      </c>
      <c r="T12">
        <v>113</v>
      </c>
      <c r="U12">
        <v>114</v>
      </c>
      <c r="V12">
        <v>114</v>
      </c>
      <c r="W12">
        <v>114</v>
      </c>
      <c r="X12">
        <v>114</v>
      </c>
      <c r="Y12">
        <v>115</v>
      </c>
      <c r="Z12" s="2">
        <f>AVERAGE(Sheet1__2[[#This Row],[00:00:00]:[23:00:00]])</f>
        <v>113.25</v>
      </c>
      <c r="AA12" t="str" cm="1">
        <f t="array" ref="AA1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3" spans="1:27" x14ac:dyDescent="0.3">
      <c r="A13" s="1">
        <v>45700</v>
      </c>
      <c r="B13">
        <v>116</v>
      </c>
      <c r="C13">
        <v>116</v>
      </c>
      <c r="D13">
        <v>117</v>
      </c>
      <c r="E13">
        <v>117</v>
      </c>
      <c r="F13">
        <v>114</v>
      </c>
      <c r="G13">
        <v>114</v>
      </c>
      <c r="H13">
        <v>114</v>
      </c>
      <c r="I13">
        <v>113</v>
      </c>
      <c r="J13">
        <v>112</v>
      </c>
      <c r="K13">
        <v>112</v>
      </c>
      <c r="L13">
        <v>109</v>
      </c>
      <c r="M13">
        <v>107</v>
      </c>
      <c r="N13">
        <v>106</v>
      </c>
      <c r="O13">
        <v>105</v>
      </c>
      <c r="P13">
        <v>105</v>
      </c>
      <c r="Q13">
        <v>105</v>
      </c>
      <c r="R13">
        <v>104</v>
      </c>
      <c r="S13">
        <v>102</v>
      </c>
      <c r="T13">
        <v>101</v>
      </c>
      <c r="U13">
        <v>100</v>
      </c>
      <c r="V13">
        <v>98</v>
      </c>
      <c r="W13">
        <v>98</v>
      </c>
      <c r="X13">
        <v>98</v>
      </c>
      <c r="Y13">
        <v>97</v>
      </c>
      <c r="Z13" s="2">
        <f>AVERAGE(Sheet1__2[[#This Row],[00:00:00]:[23:00:00]])</f>
        <v>107.5</v>
      </c>
      <c r="AA13" t="str" cm="1">
        <f t="array" ref="AA1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4" spans="1:27" x14ac:dyDescent="0.3">
      <c r="A14" s="1">
        <v>45701</v>
      </c>
      <c r="B14">
        <v>97</v>
      </c>
      <c r="C14">
        <v>97</v>
      </c>
      <c r="D14">
        <v>97</v>
      </c>
      <c r="E14">
        <v>96</v>
      </c>
      <c r="F14">
        <v>97</v>
      </c>
      <c r="G14">
        <v>97</v>
      </c>
      <c r="H14">
        <v>98</v>
      </c>
      <c r="I14">
        <v>99</v>
      </c>
      <c r="J14">
        <v>100</v>
      </c>
      <c r="K14">
        <v>101</v>
      </c>
      <c r="L14">
        <v>102</v>
      </c>
      <c r="M14">
        <v>103</v>
      </c>
      <c r="N14">
        <v>104</v>
      </c>
      <c r="O14">
        <v>104</v>
      </c>
      <c r="P14">
        <v>104</v>
      </c>
      <c r="Q14">
        <v>105</v>
      </c>
      <c r="R14">
        <v>105</v>
      </c>
      <c r="S14">
        <v>106</v>
      </c>
      <c r="T14">
        <v>106</v>
      </c>
      <c r="U14">
        <v>106</v>
      </c>
      <c r="V14">
        <v>106</v>
      </c>
      <c r="W14">
        <v>106</v>
      </c>
      <c r="X14">
        <v>108</v>
      </c>
      <c r="Y14">
        <v>109</v>
      </c>
      <c r="Z14" s="2">
        <f>AVERAGE(Sheet1__2[[#This Row],[00:00:00]:[23:00:00]])</f>
        <v>102.20833333333333</v>
      </c>
      <c r="AA14" t="str" cm="1">
        <f t="array" ref="AA1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5" spans="1:27" x14ac:dyDescent="0.3">
      <c r="A15" s="1">
        <v>45702</v>
      </c>
      <c r="B15">
        <v>110</v>
      </c>
      <c r="C15">
        <v>111</v>
      </c>
      <c r="D15">
        <v>111</v>
      </c>
      <c r="E15">
        <v>112</v>
      </c>
      <c r="F15">
        <v>112</v>
      </c>
      <c r="G15">
        <v>113</v>
      </c>
      <c r="H15">
        <v>113</v>
      </c>
      <c r="I15">
        <v>113</v>
      </c>
      <c r="J15">
        <v>114</v>
      </c>
      <c r="K15">
        <v>113</v>
      </c>
      <c r="L15">
        <v>113</v>
      </c>
      <c r="M15">
        <v>112</v>
      </c>
      <c r="N15">
        <v>112</v>
      </c>
      <c r="O15">
        <v>112</v>
      </c>
      <c r="P15">
        <v>113</v>
      </c>
      <c r="Q15">
        <v>114</v>
      </c>
      <c r="R15">
        <v>114</v>
      </c>
      <c r="S15">
        <v>114</v>
      </c>
      <c r="T15">
        <v>113</v>
      </c>
      <c r="U15">
        <v>113</v>
      </c>
      <c r="V15">
        <v>114</v>
      </c>
      <c r="W15">
        <v>114</v>
      </c>
      <c r="X15">
        <v>116</v>
      </c>
      <c r="Y15">
        <v>118</v>
      </c>
      <c r="Z15" s="2">
        <f>AVERAGE(Sheet1__2[[#This Row],[00:00:00]:[23:00:00]])</f>
        <v>113.08333333333333</v>
      </c>
      <c r="AA15" t="str" cm="1">
        <f t="array" ref="AA1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6" spans="1:27" x14ac:dyDescent="0.3">
      <c r="A16" s="1">
        <v>45703</v>
      </c>
      <c r="B16">
        <v>120</v>
      </c>
      <c r="C16">
        <v>122</v>
      </c>
      <c r="D16">
        <v>123</v>
      </c>
      <c r="E16">
        <v>124</v>
      </c>
      <c r="F16">
        <v>125</v>
      </c>
      <c r="G16">
        <v>126</v>
      </c>
      <c r="H16">
        <v>128</v>
      </c>
      <c r="I16">
        <v>130</v>
      </c>
      <c r="J16">
        <v>133</v>
      </c>
      <c r="K16">
        <v>135</v>
      </c>
      <c r="L16">
        <v>139</v>
      </c>
      <c r="M16">
        <v>139</v>
      </c>
      <c r="N16">
        <v>145</v>
      </c>
      <c r="O16">
        <v>146</v>
      </c>
      <c r="P16">
        <v>146</v>
      </c>
      <c r="Q16">
        <v>146</v>
      </c>
      <c r="R16">
        <v>145</v>
      </c>
      <c r="S16">
        <v>146</v>
      </c>
      <c r="T16">
        <v>145</v>
      </c>
      <c r="U16">
        <v>144</v>
      </c>
      <c r="V16">
        <v>144</v>
      </c>
      <c r="W16">
        <v>142</v>
      </c>
      <c r="X16">
        <v>141</v>
      </c>
      <c r="Y16">
        <v>138</v>
      </c>
      <c r="Z16" s="2">
        <f>AVERAGE(Sheet1__2[[#This Row],[00:00:00]:[23:00:00]])</f>
        <v>136.33333333333334</v>
      </c>
      <c r="AA16" t="str" cm="1">
        <f t="array" ref="AA1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7" spans="1:27" x14ac:dyDescent="0.3">
      <c r="A17" s="1">
        <v>45704</v>
      </c>
      <c r="B17">
        <v>135</v>
      </c>
      <c r="C17">
        <v>131</v>
      </c>
      <c r="D17">
        <v>128</v>
      </c>
      <c r="E17">
        <v>125</v>
      </c>
      <c r="F17">
        <v>122</v>
      </c>
      <c r="G17">
        <v>118</v>
      </c>
      <c r="H17">
        <v>114</v>
      </c>
      <c r="I17">
        <v>112</v>
      </c>
      <c r="J17">
        <v>109</v>
      </c>
      <c r="K17">
        <v>107</v>
      </c>
      <c r="L17">
        <v>104</v>
      </c>
      <c r="M17">
        <v>104</v>
      </c>
      <c r="N17">
        <v>102</v>
      </c>
      <c r="O17">
        <v>100</v>
      </c>
      <c r="P17">
        <v>99</v>
      </c>
      <c r="Q17">
        <v>97</v>
      </c>
      <c r="R17">
        <v>96</v>
      </c>
      <c r="S17">
        <v>94</v>
      </c>
      <c r="T17">
        <v>93</v>
      </c>
      <c r="U17">
        <v>92</v>
      </c>
      <c r="V17">
        <v>92</v>
      </c>
      <c r="W17">
        <v>91</v>
      </c>
      <c r="X17">
        <v>89</v>
      </c>
      <c r="Y17">
        <v>88</v>
      </c>
      <c r="Z17" s="2">
        <f>AVERAGE(Sheet1__2[[#This Row],[00:00:00]:[23:00:00]])</f>
        <v>105.91666666666667</v>
      </c>
      <c r="AA17" t="str" cm="1">
        <f t="array" ref="AA1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18" spans="1:27" x14ac:dyDescent="0.3">
      <c r="A18" s="1">
        <v>45705</v>
      </c>
      <c r="B18">
        <v>87</v>
      </c>
      <c r="C18">
        <v>88</v>
      </c>
      <c r="D18">
        <v>87</v>
      </c>
      <c r="E18">
        <v>86</v>
      </c>
      <c r="F18">
        <v>84</v>
      </c>
      <c r="G18">
        <v>83</v>
      </c>
      <c r="H18">
        <v>82</v>
      </c>
      <c r="I18">
        <v>81</v>
      </c>
      <c r="J18">
        <v>80</v>
      </c>
      <c r="K18">
        <v>79</v>
      </c>
      <c r="L18">
        <v>79</v>
      </c>
      <c r="M18">
        <v>79</v>
      </c>
      <c r="N18">
        <v>78</v>
      </c>
      <c r="O18">
        <v>79</v>
      </c>
      <c r="P18">
        <v>79</v>
      </c>
      <c r="Q18">
        <v>80</v>
      </c>
      <c r="R18">
        <v>81</v>
      </c>
      <c r="S18">
        <v>81</v>
      </c>
      <c r="T18">
        <v>81</v>
      </c>
      <c r="U18">
        <v>82</v>
      </c>
      <c r="V18">
        <v>82</v>
      </c>
      <c r="W18">
        <v>83</v>
      </c>
      <c r="X18">
        <v>84</v>
      </c>
      <c r="Y18">
        <v>83</v>
      </c>
      <c r="Z18" s="2">
        <f>AVERAGE(Sheet1__2[[#This Row],[00:00:00]:[23:00:00]])</f>
        <v>82</v>
      </c>
      <c r="AA18" t="str" cm="1">
        <f t="array" ref="AA1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19" spans="1:27" x14ac:dyDescent="0.3">
      <c r="A19" s="1">
        <v>45706</v>
      </c>
      <c r="B19">
        <v>84</v>
      </c>
      <c r="C19">
        <v>84</v>
      </c>
      <c r="D19">
        <v>85</v>
      </c>
      <c r="E19">
        <v>86</v>
      </c>
      <c r="F19">
        <v>86</v>
      </c>
      <c r="G19">
        <v>87</v>
      </c>
      <c r="H19">
        <v>88</v>
      </c>
      <c r="I19">
        <v>89</v>
      </c>
      <c r="J19">
        <v>89</v>
      </c>
      <c r="K19">
        <v>91</v>
      </c>
      <c r="L19">
        <v>91</v>
      </c>
      <c r="M19">
        <v>92</v>
      </c>
      <c r="N19">
        <v>93</v>
      </c>
      <c r="O19">
        <v>93</v>
      </c>
      <c r="P19">
        <v>94</v>
      </c>
      <c r="Q19">
        <v>96</v>
      </c>
      <c r="R19">
        <v>96</v>
      </c>
      <c r="S19">
        <v>98</v>
      </c>
      <c r="T19">
        <v>100</v>
      </c>
      <c r="U19">
        <v>102</v>
      </c>
      <c r="V19">
        <v>105</v>
      </c>
      <c r="W19">
        <v>106</v>
      </c>
      <c r="X19">
        <v>107</v>
      </c>
      <c r="Y19">
        <v>108</v>
      </c>
      <c r="Z19" s="2">
        <f>AVERAGE(Sheet1__2[[#This Row],[00:00:00]:[23:00:00]])</f>
        <v>93.75</v>
      </c>
      <c r="AA19" t="str" cm="1">
        <f t="array" ref="AA1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0" spans="1:27" x14ac:dyDescent="0.3">
      <c r="A20" s="1">
        <v>45707</v>
      </c>
      <c r="B20">
        <v>109</v>
      </c>
      <c r="C20">
        <v>110</v>
      </c>
      <c r="D20">
        <v>110</v>
      </c>
      <c r="E20">
        <v>110</v>
      </c>
      <c r="F20">
        <v>112</v>
      </c>
      <c r="G20">
        <v>112</v>
      </c>
      <c r="H20">
        <v>112</v>
      </c>
      <c r="I20">
        <v>112</v>
      </c>
      <c r="J20">
        <v>112</v>
      </c>
      <c r="K20">
        <v>112</v>
      </c>
      <c r="L20">
        <v>112</v>
      </c>
      <c r="M20">
        <v>111</v>
      </c>
      <c r="N20">
        <v>110</v>
      </c>
      <c r="O20">
        <v>109</v>
      </c>
      <c r="P20">
        <v>107</v>
      </c>
      <c r="Q20">
        <v>106</v>
      </c>
      <c r="R20">
        <v>104</v>
      </c>
      <c r="S20">
        <v>103</v>
      </c>
      <c r="T20">
        <v>100</v>
      </c>
      <c r="U20">
        <v>97</v>
      </c>
      <c r="V20">
        <v>95</v>
      </c>
      <c r="W20">
        <v>93</v>
      </c>
      <c r="X20">
        <v>91</v>
      </c>
      <c r="Y20">
        <v>90</v>
      </c>
      <c r="Z20" s="2">
        <f>AVERAGE(Sheet1__2[[#This Row],[00:00:00]:[23:00:00]])</f>
        <v>105.79166666666667</v>
      </c>
      <c r="AA20" t="str" cm="1">
        <f t="array" ref="AA20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1" spans="1:27" x14ac:dyDescent="0.3">
      <c r="A21" s="1">
        <v>45708</v>
      </c>
      <c r="B21">
        <v>88</v>
      </c>
      <c r="C21">
        <v>86</v>
      </c>
      <c r="D21">
        <v>86</v>
      </c>
      <c r="E21">
        <v>85</v>
      </c>
      <c r="F21">
        <v>85</v>
      </c>
      <c r="G21">
        <v>83</v>
      </c>
      <c r="H21">
        <v>82</v>
      </c>
      <c r="I21">
        <v>82</v>
      </c>
      <c r="J21">
        <v>82</v>
      </c>
      <c r="K21">
        <v>81</v>
      </c>
      <c r="L21">
        <v>82</v>
      </c>
      <c r="M21">
        <v>83</v>
      </c>
      <c r="N21">
        <v>83</v>
      </c>
      <c r="O21">
        <v>83</v>
      </c>
      <c r="P21">
        <v>83</v>
      </c>
      <c r="Q21">
        <v>84</v>
      </c>
      <c r="R21">
        <v>84</v>
      </c>
      <c r="S21">
        <v>85</v>
      </c>
      <c r="T21">
        <v>85</v>
      </c>
      <c r="U21">
        <v>86</v>
      </c>
      <c r="V21">
        <v>86</v>
      </c>
      <c r="W21">
        <v>89</v>
      </c>
      <c r="X21">
        <v>93</v>
      </c>
      <c r="Y21">
        <v>96</v>
      </c>
      <c r="Z21" s="2">
        <f>AVERAGE(Sheet1__2[[#This Row],[00:00:00]:[23:00:00]])</f>
        <v>85.083333333333329</v>
      </c>
      <c r="AA21" t="str" cm="1">
        <f t="array" ref="AA21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MODERATE</v>
      </c>
    </row>
    <row r="22" spans="1:27" x14ac:dyDescent="0.3">
      <c r="A22" s="1">
        <v>45709</v>
      </c>
      <c r="B22">
        <v>97</v>
      </c>
      <c r="C22">
        <v>98</v>
      </c>
      <c r="D22">
        <v>98</v>
      </c>
      <c r="E22">
        <v>100</v>
      </c>
      <c r="F22">
        <v>100</v>
      </c>
      <c r="G22">
        <v>100</v>
      </c>
      <c r="H22">
        <v>102</v>
      </c>
      <c r="I22">
        <v>102</v>
      </c>
      <c r="J22">
        <v>102</v>
      </c>
      <c r="K22">
        <v>101</v>
      </c>
      <c r="L22">
        <v>100</v>
      </c>
      <c r="M22">
        <v>100</v>
      </c>
      <c r="N22">
        <v>101</v>
      </c>
      <c r="O22">
        <v>101</v>
      </c>
      <c r="P22">
        <v>102</v>
      </c>
      <c r="Q22">
        <v>103</v>
      </c>
      <c r="R22">
        <v>104</v>
      </c>
      <c r="S22">
        <v>105</v>
      </c>
      <c r="T22">
        <v>106</v>
      </c>
      <c r="U22">
        <v>108</v>
      </c>
      <c r="V22">
        <v>110</v>
      </c>
      <c r="W22">
        <v>109</v>
      </c>
      <c r="X22">
        <v>106</v>
      </c>
      <c r="Y22">
        <v>106</v>
      </c>
      <c r="Z22" s="2">
        <f>AVERAGE(Sheet1__2[[#This Row],[00:00:00]:[23:00:00]])</f>
        <v>102.54166666666667</v>
      </c>
      <c r="AA22" t="str" cm="1">
        <f t="array" ref="AA22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3" spans="1:27" x14ac:dyDescent="0.3">
      <c r="A23" s="1">
        <v>45710</v>
      </c>
      <c r="B23">
        <v>106</v>
      </c>
      <c r="C23">
        <v>106</v>
      </c>
      <c r="D23">
        <v>106</v>
      </c>
      <c r="E23">
        <v>106</v>
      </c>
      <c r="F23">
        <v>107</v>
      </c>
      <c r="G23">
        <v>107</v>
      </c>
      <c r="H23">
        <v>107</v>
      </c>
      <c r="I23">
        <v>108</v>
      </c>
      <c r="J23">
        <v>109</v>
      </c>
      <c r="K23">
        <v>110</v>
      </c>
      <c r="L23">
        <v>109</v>
      </c>
      <c r="M23">
        <v>109</v>
      </c>
      <c r="N23">
        <v>110</v>
      </c>
      <c r="O23">
        <v>111</v>
      </c>
      <c r="P23">
        <v>112</v>
      </c>
      <c r="Q23">
        <v>114</v>
      </c>
      <c r="R23">
        <v>115</v>
      </c>
      <c r="S23">
        <v>115</v>
      </c>
      <c r="T23">
        <v>114</v>
      </c>
      <c r="U23">
        <v>112</v>
      </c>
      <c r="V23">
        <v>110</v>
      </c>
      <c r="W23">
        <v>110</v>
      </c>
      <c r="X23">
        <v>111</v>
      </c>
      <c r="Y23">
        <v>112</v>
      </c>
      <c r="Z23" s="2">
        <f>AVERAGE(Sheet1__2[[#This Row],[00:00:00]:[23:00:00]])</f>
        <v>109.83333333333333</v>
      </c>
      <c r="AA23" t="str" cm="1">
        <f t="array" ref="AA23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4" spans="1:27" x14ac:dyDescent="0.3">
      <c r="A24" s="1">
        <v>45711</v>
      </c>
      <c r="B24">
        <v>114</v>
      </c>
      <c r="C24">
        <v>114</v>
      </c>
      <c r="D24">
        <v>114</v>
      </c>
      <c r="E24">
        <v>115</v>
      </c>
      <c r="F24">
        <v>116</v>
      </c>
      <c r="G24">
        <v>116</v>
      </c>
      <c r="H24">
        <v>116</v>
      </c>
      <c r="I24">
        <v>116</v>
      </c>
      <c r="J24">
        <v>116</v>
      </c>
      <c r="K24">
        <v>116</v>
      </c>
      <c r="L24">
        <v>115</v>
      </c>
      <c r="M24">
        <v>114</v>
      </c>
      <c r="N24">
        <v>117</v>
      </c>
      <c r="O24">
        <v>117</v>
      </c>
      <c r="P24">
        <v>116</v>
      </c>
      <c r="Q24">
        <v>115</v>
      </c>
      <c r="R24">
        <v>114</v>
      </c>
      <c r="S24">
        <v>114</v>
      </c>
      <c r="T24">
        <v>115</v>
      </c>
      <c r="U24">
        <v>116</v>
      </c>
      <c r="V24">
        <v>117</v>
      </c>
      <c r="W24">
        <v>119</v>
      </c>
      <c r="X24">
        <v>121</v>
      </c>
      <c r="Y24">
        <v>123</v>
      </c>
      <c r="Z24" s="2">
        <f>AVERAGE(Sheet1__2[[#This Row],[00:00:00]:[23:00:00]])</f>
        <v>116.08333333333333</v>
      </c>
      <c r="AA24" t="str" cm="1">
        <f t="array" ref="AA24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5" spans="1:27" x14ac:dyDescent="0.3">
      <c r="A25" s="1">
        <v>45712</v>
      </c>
      <c r="B25">
        <v>123</v>
      </c>
      <c r="C25">
        <v>123</v>
      </c>
      <c r="D25">
        <v>124</v>
      </c>
      <c r="E25">
        <v>123</v>
      </c>
      <c r="F25">
        <v>123</v>
      </c>
      <c r="G25">
        <v>124</v>
      </c>
      <c r="H25">
        <v>124</v>
      </c>
      <c r="I25">
        <v>124</v>
      </c>
      <c r="J25">
        <v>125</v>
      </c>
      <c r="K25">
        <v>126</v>
      </c>
      <c r="L25">
        <v>127</v>
      </c>
      <c r="M25">
        <v>127</v>
      </c>
      <c r="N25">
        <v>126</v>
      </c>
      <c r="O25">
        <v>124</v>
      </c>
      <c r="P25">
        <v>124</v>
      </c>
      <c r="Q25">
        <v>124</v>
      </c>
      <c r="R25">
        <v>124</v>
      </c>
      <c r="S25">
        <v>124</v>
      </c>
      <c r="T25">
        <v>124</v>
      </c>
      <c r="U25">
        <v>123</v>
      </c>
      <c r="V25">
        <v>123</v>
      </c>
      <c r="W25">
        <v>122</v>
      </c>
      <c r="X25">
        <v>120</v>
      </c>
      <c r="Y25">
        <v>118</v>
      </c>
      <c r="Z25" s="2">
        <f>AVERAGE(Sheet1__2[[#This Row],[00:00:00]:[23:00:00]])</f>
        <v>123.70833333333333</v>
      </c>
      <c r="AA25" t="str" cm="1">
        <f t="array" ref="AA25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6" spans="1:27" x14ac:dyDescent="0.3">
      <c r="A26" s="1">
        <v>45713</v>
      </c>
      <c r="B26">
        <v>118</v>
      </c>
      <c r="C26">
        <v>118</v>
      </c>
      <c r="D26">
        <v>118</v>
      </c>
      <c r="E26">
        <v>119</v>
      </c>
      <c r="F26">
        <v>118</v>
      </c>
      <c r="G26">
        <v>118</v>
      </c>
      <c r="H26">
        <v>118</v>
      </c>
      <c r="I26">
        <v>116</v>
      </c>
      <c r="J26">
        <v>114</v>
      </c>
      <c r="K26">
        <v>112</v>
      </c>
      <c r="L26">
        <v>111</v>
      </c>
      <c r="M26">
        <v>112</v>
      </c>
      <c r="N26">
        <v>112</v>
      </c>
      <c r="O26">
        <v>114</v>
      </c>
      <c r="P26">
        <v>114</v>
      </c>
      <c r="Q26">
        <v>114</v>
      </c>
      <c r="R26">
        <v>116</v>
      </c>
      <c r="S26">
        <v>116</v>
      </c>
      <c r="T26">
        <v>116</v>
      </c>
      <c r="U26">
        <v>116</v>
      </c>
      <c r="V26">
        <v>118</v>
      </c>
      <c r="W26">
        <v>117</v>
      </c>
      <c r="X26">
        <v>116</v>
      </c>
      <c r="Y26">
        <v>117</v>
      </c>
      <c r="Z26" s="2">
        <f>AVERAGE(Sheet1__2[[#This Row],[00:00:00]:[23:00:00]])</f>
        <v>115.75</v>
      </c>
      <c r="AA26" t="str" cm="1">
        <f t="array" ref="AA26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7" spans="1:27" x14ac:dyDescent="0.3">
      <c r="A27" s="1">
        <v>45714</v>
      </c>
      <c r="B27">
        <v>118</v>
      </c>
      <c r="C27">
        <v>121</v>
      </c>
      <c r="D27">
        <v>124</v>
      </c>
      <c r="E27">
        <v>128</v>
      </c>
      <c r="F27">
        <v>130</v>
      </c>
      <c r="G27">
        <v>130</v>
      </c>
      <c r="H27">
        <v>132</v>
      </c>
      <c r="I27">
        <v>135</v>
      </c>
      <c r="J27">
        <v>138</v>
      </c>
      <c r="K27">
        <v>141</v>
      </c>
      <c r="L27">
        <v>142</v>
      </c>
      <c r="M27">
        <v>142</v>
      </c>
      <c r="N27">
        <v>142</v>
      </c>
      <c r="O27">
        <v>142</v>
      </c>
      <c r="P27">
        <v>142</v>
      </c>
      <c r="Q27">
        <v>142</v>
      </c>
      <c r="R27">
        <v>143</v>
      </c>
      <c r="S27">
        <v>142</v>
      </c>
      <c r="T27">
        <v>142</v>
      </c>
      <c r="U27">
        <v>142</v>
      </c>
      <c r="V27">
        <v>142</v>
      </c>
      <c r="W27">
        <v>144</v>
      </c>
      <c r="X27">
        <v>143</v>
      </c>
      <c r="Y27">
        <v>144</v>
      </c>
      <c r="Z27" s="2">
        <f>AVERAGE(Sheet1__2[[#This Row],[00:00:00]:[23:00:00]])</f>
        <v>137.125</v>
      </c>
      <c r="AA27" t="str" cm="1">
        <f t="array" ref="AA27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8" spans="1:27" x14ac:dyDescent="0.3">
      <c r="A28" s="1">
        <v>45715</v>
      </c>
      <c r="B28">
        <v>146</v>
      </c>
      <c r="C28">
        <v>146</v>
      </c>
      <c r="D28">
        <v>146</v>
      </c>
      <c r="E28">
        <v>146</v>
      </c>
      <c r="F28">
        <v>146</v>
      </c>
      <c r="G28">
        <v>146</v>
      </c>
      <c r="H28">
        <v>146</v>
      </c>
      <c r="I28">
        <v>145</v>
      </c>
      <c r="J28">
        <v>146</v>
      </c>
      <c r="K28">
        <v>146</v>
      </c>
      <c r="L28">
        <v>147</v>
      </c>
      <c r="M28">
        <v>148</v>
      </c>
      <c r="N28">
        <v>150</v>
      </c>
      <c r="O28">
        <v>150</v>
      </c>
      <c r="P28">
        <v>152</v>
      </c>
      <c r="Q28">
        <v>152</v>
      </c>
      <c r="R28">
        <v>151</v>
      </c>
      <c r="S28">
        <v>151</v>
      </c>
      <c r="T28">
        <v>151</v>
      </c>
      <c r="U28">
        <v>150</v>
      </c>
      <c r="V28">
        <v>148</v>
      </c>
      <c r="W28">
        <v>142</v>
      </c>
      <c r="X28">
        <v>138</v>
      </c>
      <c r="Y28">
        <v>133</v>
      </c>
      <c r="Z28" s="2">
        <f>AVERAGE(Sheet1__2[[#This Row],[00:00:00]:[23:00:00]])</f>
        <v>146.75</v>
      </c>
      <c r="AA28" t="str" cm="1">
        <f t="array" ref="AA28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29" spans="1:27" x14ac:dyDescent="0.3">
      <c r="A29" s="1">
        <v>45716</v>
      </c>
      <c r="B29">
        <v>130</v>
      </c>
      <c r="C29">
        <v>127</v>
      </c>
      <c r="D29">
        <v>125</v>
      </c>
      <c r="E29">
        <v>123</v>
      </c>
      <c r="F29">
        <v>120</v>
      </c>
      <c r="G29">
        <v>119</v>
      </c>
      <c r="H29">
        <v>119</v>
      </c>
      <c r="I29">
        <v>119</v>
      </c>
      <c r="J29">
        <v>119</v>
      </c>
      <c r="K29">
        <v>119</v>
      </c>
      <c r="L29">
        <v>120</v>
      </c>
      <c r="M29">
        <v>120</v>
      </c>
      <c r="N29">
        <v>119</v>
      </c>
      <c r="O29">
        <v>120</v>
      </c>
      <c r="P29">
        <v>118</v>
      </c>
      <c r="Q29">
        <v>119</v>
      </c>
      <c r="R29">
        <v>120</v>
      </c>
      <c r="S29">
        <v>122</v>
      </c>
      <c r="T29">
        <v>124</v>
      </c>
      <c r="U29">
        <v>125</v>
      </c>
      <c r="V29">
        <v>126</v>
      </c>
      <c r="W29">
        <v>126</v>
      </c>
      <c r="X29">
        <v>127</v>
      </c>
      <c r="Y29">
        <v>128</v>
      </c>
      <c r="Z29" s="2">
        <f>AVERAGE(Sheet1__2[[#This Row],[00:00:00]:[23:00:00]])</f>
        <v>122.25</v>
      </c>
      <c r="AA29" t="str" cm="1">
        <f t="array" ref="AA29">_xlfn.IFS(Sheet1__2[[#This Row],[AVERAGE AQI]]&lt;50,"GOOD",Sheet1__2[[#This Row],[AVERAGE AQI]]&lt;=100,"MODERATE",Sheet1__2[[#This Row],[AVERAGE AQI]]&lt;=150,"BAD",Sheet1__2[[#This Row],[AVERAGE AQI]]&lt;=200,"VERY BAD",Sheet1__2[[#This Row],[AVERAGE AQI]]&lt;=300,"HAZARDOUS")</f>
        <v>BAD</v>
      </c>
    </row>
    <row r="30" spans="1:27" x14ac:dyDescent="0.3">
      <c r="Z30" s="2">
        <f>AVERAGE(Sheet1__2[AVERAGE AQI])</f>
        <v>108.61755952380953</v>
      </c>
      <c r="AA30" s="3"/>
    </row>
  </sheetData>
  <conditionalFormatting sqref="AA1:AA1048576">
    <cfRule type="containsText" dxfId="38" priority="1" operator="containsText" text="MODERATE">
      <formula>NOT(ISERROR(SEARCH("MODERATE",AA1)))</formula>
    </cfRule>
    <cfRule type="containsText" dxfId="37" priority="2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7BD3-8706-4885-BDDD-25F653FC5168}">
  <dimension ref="A1:AA33"/>
  <sheetViews>
    <sheetView topLeftCell="N1" workbookViewId="0">
      <selection activeCell="AG17" sqref="AG17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45717</v>
      </c>
      <c r="B2">
        <v>128</v>
      </c>
      <c r="C2">
        <v>129</v>
      </c>
      <c r="D2">
        <v>131</v>
      </c>
      <c r="E2">
        <v>132</v>
      </c>
      <c r="F2">
        <v>134</v>
      </c>
      <c r="G2">
        <v>135</v>
      </c>
      <c r="H2">
        <v>136</v>
      </c>
      <c r="I2">
        <v>136</v>
      </c>
      <c r="J2">
        <v>138</v>
      </c>
      <c r="K2">
        <v>142</v>
      </c>
      <c r="L2">
        <v>145</v>
      </c>
      <c r="M2">
        <v>146</v>
      </c>
      <c r="N2">
        <v>147</v>
      </c>
      <c r="O2">
        <v>148</v>
      </c>
      <c r="P2">
        <v>148</v>
      </c>
      <c r="Q2">
        <v>148</v>
      </c>
      <c r="R2">
        <v>149</v>
      </c>
      <c r="S2">
        <v>150</v>
      </c>
      <c r="T2">
        <v>151</v>
      </c>
      <c r="U2">
        <v>152</v>
      </c>
      <c r="V2">
        <v>152</v>
      </c>
      <c r="W2">
        <v>152</v>
      </c>
      <c r="X2">
        <v>152</v>
      </c>
      <c r="Y2">
        <v>151</v>
      </c>
      <c r="Z2" s="2">
        <f>AVERAGE(Sheet1__3[[#This Row],[00:00:00]:[23:00:00]])</f>
        <v>143</v>
      </c>
      <c r="AA2" t="str" cm="1">
        <f t="array" ref="AA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" spans="1:27" x14ac:dyDescent="0.3">
      <c r="A3" s="1">
        <v>45718</v>
      </c>
      <c r="B3">
        <v>150</v>
      </c>
      <c r="C3">
        <v>148</v>
      </c>
      <c r="D3">
        <v>144</v>
      </c>
      <c r="E3">
        <v>142</v>
      </c>
      <c r="F3">
        <v>141</v>
      </c>
      <c r="G3">
        <v>139</v>
      </c>
      <c r="H3">
        <v>136</v>
      </c>
      <c r="I3">
        <v>134</v>
      </c>
      <c r="J3">
        <v>131</v>
      </c>
      <c r="K3">
        <v>126</v>
      </c>
      <c r="L3">
        <v>120</v>
      </c>
      <c r="M3">
        <v>116</v>
      </c>
      <c r="N3">
        <v>117</v>
      </c>
      <c r="O3">
        <v>116</v>
      </c>
      <c r="P3">
        <v>115</v>
      </c>
      <c r="Q3">
        <v>114</v>
      </c>
      <c r="R3">
        <v>111</v>
      </c>
      <c r="S3">
        <v>110</v>
      </c>
      <c r="T3">
        <v>108</v>
      </c>
      <c r="U3">
        <v>105</v>
      </c>
      <c r="V3">
        <v>104</v>
      </c>
      <c r="W3">
        <v>103</v>
      </c>
      <c r="X3">
        <v>103</v>
      </c>
      <c r="Y3">
        <v>103</v>
      </c>
      <c r="Z3" s="2">
        <f>AVERAGE(Sheet1__3[[#This Row],[00:00:00]:[23:00:00]])</f>
        <v>122.33333333333333</v>
      </c>
      <c r="AA3" t="str" cm="1">
        <f t="array" ref="AA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4" spans="1:27" x14ac:dyDescent="0.3">
      <c r="A4" s="1">
        <v>45719</v>
      </c>
      <c r="B4">
        <v>104</v>
      </c>
      <c r="C4">
        <v>104</v>
      </c>
      <c r="D4">
        <v>104</v>
      </c>
      <c r="E4">
        <v>106</v>
      </c>
      <c r="F4">
        <v>106</v>
      </c>
      <c r="G4">
        <v>106</v>
      </c>
      <c r="H4">
        <v>106</v>
      </c>
      <c r="I4">
        <v>107</v>
      </c>
      <c r="J4">
        <v>109</v>
      </c>
      <c r="K4">
        <v>112</v>
      </c>
      <c r="L4">
        <v>114</v>
      </c>
      <c r="M4">
        <v>117</v>
      </c>
      <c r="N4">
        <v>116</v>
      </c>
      <c r="O4">
        <v>119</v>
      </c>
      <c r="P4">
        <v>121</v>
      </c>
      <c r="Q4">
        <v>123</v>
      </c>
      <c r="R4">
        <v>126</v>
      </c>
      <c r="S4">
        <v>128</v>
      </c>
      <c r="T4">
        <v>130</v>
      </c>
      <c r="U4">
        <v>130</v>
      </c>
      <c r="V4">
        <v>131</v>
      </c>
      <c r="W4">
        <v>131</v>
      </c>
      <c r="X4">
        <v>130</v>
      </c>
      <c r="Y4">
        <v>130</v>
      </c>
      <c r="Z4" s="2">
        <f>AVERAGE(Sheet1__3[[#This Row],[00:00:00]:[23:00:00]])</f>
        <v>117.08333333333333</v>
      </c>
      <c r="AA4" t="str" cm="1">
        <f t="array" ref="AA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5" spans="1:27" x14ac:dyDescent="0.3">
      <c r="A5" s="1">
        <v>45720</v>
      </c>
      <c r="B5">
        <v>130</v>
      </c>
      <c r="C5">
        <v>129</v>
      </c>
      <c r="D5">
        <v>128</v>
      </c>
      <c r="E5">
        <v>126</v>
      </c>
      <c r="F5">
        <v>126</v>
      </c>
      <c r="G5">
        <v>126</v>
      </c>
      <c r="H5">
        <v>126</v>
      </c>
      <c r="I5">
        <v>126</v>
      </c>
      <c r="J5">
        <v>125</v>
      </c>
      <c r="K5">
        <v>123</v>
      </c>
      <c r="L5">
        <v>122</v>
      </c>
      <c r="M5">
        <v>120</v>
      </c>
      <c r="N5">
        <v>118</v>
      </c>
      <c r="O5">
        <v>114</v>
      </c>
      <c r="P5">
        <v>113</v>
      </c>
      <c r="Q5">
        <v>112</v>
      </c>
      <c r="R5">
        <v>111</v>
      </c>
      <c r="S5">
        <v>110</v>
      </c>
      <c r="T5">
        <v>110</v>
      </c>
      <c r="U5">
        <v>110</v>
      </c>
      <c r="V5">
        <v>110</v>
      </c>
      <c r="W5">
        <v>110</v>
      </c>
      <c r="X5">
        <v>109</v>
      </c>
      <c r="Y5">
        <v>109</v>
      </c>
      <c r="Z5" s="2">
        <f>AVERAGE(Sheet1__3[[#This Row],[00:00:00]:[23:00:00]])</f>
        <v>118.45833333333333</v>
      </c>
      <c r="AA5" t="str" cm="1">
        <f t="array" ref="AA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6" spans="1:27" x14ac:dyDescent="0.3">
      <c r="A6" s="1">
        <v>45721</v>
      </c>
      <c r="B6">
        <v>108</v>
      </c>
      <c r="C6">
        <v>108</v>
      </c>
      <c r="D6">
        <v>108</v>
      </c>
      <c r="E6">
        <v>108</v>
      </c>
      <c r="F6">
        <v>108</v>
      </c>
      <c r="G6">
        <v>108</v>
      </c>
      <c r="H6">
        <v>108</v>
      </c>
      <c r="I6">
        <v>108</v>
      </c>
      <c r="J6">
        <v>108</v>
      </c>
      <c r="K6">
        <v>108</v>
      </c>
      <c r="L6">
        <v>108</v>
      </c>
      <c r="M6">
        <v>108</v>
      </c>
      <c r="N6">
        <v>108</v>
      </c>
      <c r="O6">
        <v>110</v>
      </c>
      <c r="P6">
        <v>111</v>
      </c>
      <c r="Q6">
        <v>112</v>
      </c>
      <c r="R6">
        <v>112</v>
      </c>
      <c r="S6">
        <v>114</v>
      </c>
      <c r="T6">
        <v>113</v>
      </c>
      <c r="U6">
        <v>113</v>
      </c>
      <c r="V6">
        <v>113</v>
      </c>
      <c r="W6">
        <v>114</v>
      </c>
      <c r="X6">
        <v>115</v>
      </c>
      <c r="Y6">
        <v>116</v>
      </c>
      <c r="Z6" s="2">
        <f>AVERAGE(Sheet1__3[[#This Row],[00:00:00]:[23:00:00]])</f>
        <v>110.29166666666667</v>
      </c>
      <c r="AA6" t="str" cm="1">
        <f t="array" ref="AA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7" spans="1:27" x14ac:dyDescent="0.3">
      <c r="A7" s="1">
        <v>45722</v>
      </c>
      <c r="B7">
        <v>116</v>
      </c>
      <c r="C7">
        <v>117</v>
      </c>
      <c r="D7">
        <v>118</v>
      </c>
      <c r="E7">
        <v>119</v>
      </c>
      <c r="G7">
        <v>120</v>
      </c>
      <c r="H7">
        <v>121</v>
      </c>
      <c r="I7">
        <v>121</v>
      </c>
      <c r="J7">
        <v>122</v>
      </c>
      <c r="K7">
        <v>122</v>
      </c>
      <c r="L7">
        <v>123</v>
      </c>
      <c r="M7">
        <v>122</v>
      </c>
      <c r="N7">
        <v>122</v>
      </c>
      <c r="O7">
        <v>121</v>
      </c>
      <c r="P7">
        <v>120</v>
      </c>
      <c r="Q7">
        <v>121</v>
      </c>
      <c r="R7">
        <v>118</v>
      </c>
      <c r="S7">
        <v>114</v>
      </c>
      <c r="T7">
        <v>113</v>
      </c>
      <c r="U7">
        <v>113</v>
      </c>
      <c r="V7">
        <v>112</v>
      </c>
      <c r="W7">
        <v>113</v>
      </c>
      <c r="X7">
        <v>113</v>
      </c>
      <c r="Y7">
        <v>113</v>
      </c>
      <c r="Z7" s="2">
        <f>AVERAGE(Sheet1__3[[#This Row],[00:00:00]:[23:00:00]])</f>
        <v>118</v>
      </c>
      <c r="AA7" t="str" cm="1">
        <f t="array" ref="AA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8" spans="1:27" x14ac:dyDescent="0.3">
      <c r="A8" s="1">
        <v>45723</v>
      </c>
      <c r="B8">
        <v>113</v>
      </c>
      <c r="C8">
        <v>114</v>
      </c>
      <c r="D8">
        <v>116</v>
      </c>
      <c r="E8">
        <v>119</v>
      </c>
      <c r="F8">
        <v>122</v>
      </c>
      <c r="G8">
        <v>124</v>
      </c>
      <c r="H8">
        <v>124</v>
      </c>
      <c r="I8">
        <v>124</v>
      </c>
      <c r="J8">
        <v>123</v>
      </c>
      <c r="K8">
        <v>125</v>
      </c>
      <c r="L8">
        <v>128</v>
      </c>
      <c r="M8">
        <v>130</v>
      </c>
      <c r="N8">
        <v>128</v>
      </c>
      <c r="O8">
        <v>126</v>
      </c>
      <c r="P8">
        <v>124</v>
      </c>
      <c r="Q8">
        <v>124</v>
      </c>
      <c r="R8">
        <v>124</v>
      </c>
      <c r="S8">
        <v>123</v>
      </c>
      <c r="T8">
        <v>123</v>
      </c>
      <c r="U8">
        <v>122</v>
      </c>
      <c r="V8">
        <v>129</v>
      </c>
      <c r="W8">
        <v>133</v>
      </c>
      <c r="X8">
        <v>137</v>
      </c>
      <c r="Y8">
        <v>140</v>
      </c>
      <c r="Z8" s="2">
        <f>AVERAGE(Sheet1__3[[#This Row],[00:00:00]:[23:00:00]])</f>
        <v>124.79166666666667</v>
      </c>
      <c r="AA8" t="str" cm="1">
        <f t="array" ref="AA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9" spans="1:27" x14ac:dyDescent="0.3">
      <c r="A9" s="1">
        <v>45724</v>
      </c>
      <c r="B9">
        <v>144</v>
      </c>
      <c r="C9">
        <v>147</v>
      </c>
      <c r="D9">
        <v>147</v>
      </c>
      <c r="E9">
        <v>143</v>
      </c>
      <c r="F9">
        <v>139</v>
      </c>
      <c r="G9">
        <v>135</v>
      </c>
      <c r="H9">
        <v>135</v>
      </c>
      <c r="I9">
        <v>133</v>
      </c>
      <c r="J9">
        <v>132</v>
      </c>
      <c r="K9">
        <v>131</v>
      </c>
      <c r="L9">
        <v>128</v>
      </c>
      <c r="M9">
        <v>126</v>
      </c>
      <c r="N9">
        <v>127</v>
      </c>
      <c r="O9">
        <v>127</v>
      </c>
      <c r="P9">
        <v>127</v>
      </c>
      <c r="Q9">
        <v>128</v>
      </c>
      <c r="R9">
        <v>128</v>
      </c>
      <c r="S9">
        <v>128</v>
      </c>
      <c r="T9">
        <v>128</v>
      </c>
      <c r="U9">
        <v>128</v>
      </c>
      <c r="V9">
        <v>127</v>
      </c>
      <c r="W9">
        <v>121</v>
      </c>
      <c r="X9">
        <v>115</v>
      </c>
      <c r="Y9">
        <v>111</v>
      </c>
      <c r="Z9" s="2">
        <f>AVERAGE(Sheet1__3[[#This Row],[00:00:00]:[23:00:00]])</f>
        <v>130.625</v>
      </c>
      <c r="AA9" t="str" cm="1">
        <f t="array" ref="AA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0" spans="1:27" x14ac:dyDescent="0.3">
      <c r="A10" s="1">
        <v>45725</v>
      </c>
      <c r="B10">
        <v>107</v>
      </c>
      <c r="C10">
        <v>104</v>
      </c>
      <c r="D10">
        <v>102</v>
      </c>
      <c r="E10">
        <v>96</v>
      </c>
      <c r="F10">
        <v>98</v>
      </c>
      <c r="G10">
        <v>100</v>
      </c>
      <c r="H10">
        <v>102</v>
      </c>
      <c r="I10">
        <v>104</v>
      </c>
      <c r="J10">
        <v>106</v>
      </c>
      <c r="K10">
        <v>106</v>
      </c>
      <c r="L10">
        <v>108</v>
      </c>
      <c r="M10">
        <v>110</v>
      </c>
      <c r="N10">
        <v>111</v>
      </c>
      <c r="O10">
        <v>112</v>
      </c>
      <c r="P10">
        <v>113</v>
      </c>
      <c r="Q10">
        <v>114</v>
      </c>
      <c r="R10">
        <v>114</v>
      </c>
      <c r="S10">
        <v>114</v>
      </c>
      <c r="T10">
        <v>115</v>
      </c>
      <c r="U10">
        <v>117</v>
      </c>
      <c r="V10">
        <v>118</v>
      </c>
      <c r="W10">
        <v>119</v>
      </c>
      <c r="X10">
        <v>122</v>
      </c>
      <c r="Y10">
        <v>123</v>
      </c>
      <c r="Z10" s="2">
        <f>AVERAGE(Sheet1__3[[#This Row],[00:00:00]:[23:00:00]])</f>
        <v>109.79166666666667</v>
      </c>
      <c r="AA10" t="str" cm="1">
        <f t="array" ref="AA1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1" spans="1:27" x14ac:dyDescent="0.3">
      <c r="A11" s="1">
        <v>45726</v>
      </c>
      <c r="B11">
        <v>125</v>
      </c>
      <c r="C11">
        <v>126</v>
      </c>
      <c r="D11">
        <v>115</v>
      </c>
      <c r="E11">
        <v>114</v>
      </c>
      <c r="F11">
        <v>113</v>
      </c>
      <c r="G11">
        <v>113</v>
      </c>
      <c r="H11">
        <v>113</v>
      </c>
      <c r="I11">
        <v>113</v>
      </c>
      <c r="J11">
        <v>112</v>
      </c>
      <c r="K11">
        <v>112</v>
      </c>
      <c r="L11">
        <v>111</v>
      </c>
      <c r="M11">
        <v>110</v>
      </c>
      <c r="N11">
        <v>108</v>
      </c>
      <c r="O11">
        <v>108</v>
      </c>
      <c r="P11">
        <v>118</v>
      </c>
      <c r="Q11">
        <v>119</v>
      </c>
      <c r="R11">
        <v>120</v>
      </c>
      <c r="S11">
        <v>122</v>
      </c>
      <c r="T11">
        <v>122</v>
      </c>
      <c r="U11">
        <v>125</v>
      </c>
      <c r="V11">
        <v>126</v>
      </c>
      <c r="W11">
        <v>128</v>
      </c>
      <c r="X11">
        <v>127</v>
      </c>
      <c r="Y11">
        <v>128</v>
      </c>
      <c r="Z11" s="2">
        <f>AVERAGE(Sheet1__3[[#This Row],[00:00:00]:[23:00:00]])</f>
        <v>117.83333333333333</v>
      </c>
      <c r="AA11" t="str" cm="1">
        <f t="array" ref="AA1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2" spans="1:27" x14ac:dyDescent="0.3">
      <c r="A12" s="1">
        <v>45727</v>
      </c>
      <c r="B12">
        <v>127</v>
      </c>
      <c r="C12">
        <v>128</v>
      </c>
      <c r="D12">
        <v>130</v>
      </c>
      <c r="E12">
        <v>132</v>
      </c>
      <c r="F12">
        <v>134</v>
      </c>
      <c r="G12">
        <v>136</v>
      </c>
      <c r="H12">
        <v>138</v>
      </c>
      <c r="I12">
        <v>141</v>
      </c>
      <c r="J12">
        <v>145</v>
      </c>
      <c r="K12">
        <v>149</v>
      </c>
      <c r="L12">
        <v>153</v>
      </c>
      <c r="M12">
        <v>157</v>
      </c>
      <c r="N12">
        <v>157</v>
      </c>
      <c r="O12">
        <v>164</v>
      </c>
      <c r="P12">
        <v>165</v>
      </c>
      <c r="Q12">
        <v>168</v>
      </c>
      <c r="R12">
        <v>168</v>
      </c>
      <c r="S12">
        <v>167</v>
      </c>
      <c r="T12">
        <v>167</v>
      </c>
      <c r="U12">
        <v>167</v>
      </c>
      <c r="V12">
        <v>168</v>
      </c>
      <c r="W12">
        <v>169</v>
      </c>
      <c r="Z12" s="2">
        <f>AVERAGE(Sheet1__3[[#This Row],[00:00:00]:[23:00:00]])</f>
        <v>151.36363636363637</v>
      </c>
      <c r="AA12" t="str" cm="1">
        <f t="array" ref="AA1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3" spans="1:27" x14ac:dyDescent="0.3">
      <c r="A13" s="1">
        <v>45728</v>
      </c>
      <c r="B13">
        <v>174</v>
      </c>
      <c r="C13">
        <v>175</v>
      </c>
      <c r="D13">
        <v>175</v>
      </c>
      <c r="E13">
        <v>175</v>
      </c>
      <c r="F13">
        <v>175</v>
      </c>
      <c r="G13">
        <v>174</v>
      </c>
      <c r="H13">
        <v>173</v>
      </c>
      <c r="I13">
        <v>172</v>
      </c>
      <c r="J13">
        <v>170</v>
      </c>
      <c r="K13">
        <v>169</v>
      </c>
      <c r="L13">
        <v>170</v>
      </c>
      <c r="M13">
        <v>170</v>
      </c>
      <c r="N13">
        <v>171</v>
      </c>
      <c r="O13">
        <v>168</v>
      </c>
      <c r="P13">
        <v>166</v>
      </c>
      <c r="Q13">
        <v>163</v>
      </c>
      <c r="R13">
        <v>163</v>
      </c>
      <c r="S13">
        <v>159</v>
      </c>
      <c r="T13">
        <v>159</v>
      </c>
      <c r="U13">
        <v>158</v>
      </c>
      <c r="V13">
        <v>158</v>
      </c>
      <c r="W13">
        <v>157</v>
      </c>
      <c r="X13">
        <v>156</v>
      </c>
      <c r="Y13">
        <v>156</v>
      </c>
      <c r="Z13" s="2">
        <f>AVERAGE(Sheet1__3[[#This Row],[00:00:00]:[23:00:00]])</f>
        <v>166.91666666666666</v>
      </c>
      <c r="AA13" t="str" cm="1">
        <f t="array" ref="AA1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4" spans="1:27" x14ac:dyDescent="0.3">
      <c r="A14" s="1">
        <v>45729</v>
      </c>
      <c r="B14">
        <v>155</v>
      </c>
      <c r="C14">
        <v>155</v>
      </c>
      <c r="D14">
        <v>154</v>
      </c>
      <c r="E14">
        <v>155</v>
      </c>
      <c r="F14">
        <v>146</v>
      </c>
      <c r="G14">
        <v>146</v>
      </c>
      <c r="H14">
        <v>146</v>
      </c>
      <c r="I14">
        <v>146</v>
      </c>
      <c r="J14">
        <v>148</v>
      </c>
      <c r="K14">
        <v>148</v>
      </c>
      <c r="L14">
        <v>148</v>
      </c>
      <c r="M14">
        <v>148</v>
      </c>
      <c r="N14">
        <v>148</v>
      </c>
      <c r="O14">
        <v>149</v>
      </c>
      <c r="P14">
        <v>150</v>
      </c>
      <c r="Q14">
        <v>151</v>
      </c>
      <c r="R14">
        <v>157</v>
      </c>
      <c r="S14">
        <v>158</v>
      </c>
      <c r="T14">
        <v>161</v>
      </c>
      <c r="U14">
        <v>163</v>
      </c>
      <c r="V14">
        <v>163</v>
      </c>
      <c r="W14">
        <v>163</v>
      </c>
      <c r="X14">
        <v>163</v>
      </c>
      <c r="Y14">
        <v>165</v>
      </c>
      <c r="Z14" s="2">
        <f>AVERAGE(Sheet1__3[[#This Row],[00:00:00]:[23:00:00]])</f>
        <v>153.58333333333334</v>
      </c>
      <c r="AA14" t="str" cm="1">
        <f t="array" ref="AA1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VERY BAD</v>
      </c>
    </row>
    <row r="15" spans="1:27" x14ac:dyDescent="0.3">
      <c r="A15" s="1">
        <v>45730</v>
      </c>
      <c r="B15">
        <v>166</v>
      </c>
      <c r="C15">
        <v>167</v>
      </c>
      <c r="D15">
        <v>167</v>
      </c>
      <c r="E15">
        <v>166</v>
      </c>
      <c r="F15">
        <v>165</v>
      </c>
      <c r="G15">
        <v>163</v>
      </c>
      <c r="H15">
        <v>162</v>
      </c>
      <c r="I15">
        <v>160</v>
      </c>
      <c r="J15">
        <v>157</v>
      </c>
      <c r="K15">
        <v>155</v>
      </c>
      <c r="L15">
        <v>151</v>
      </c>
      <c r="M15">
        <v>147</v>
      </c>
      <c r="N15">
        <v>147</v>
      </c>
      <c r="O15">
        <v>143</v>
      </c>
      <c r="P15">
        <v>140</v>
      </c>
      <c r="Q15">
        <v>138</v>
      </c>
      <c r="R15">
        <v>133</v>
      </c>
      <c r="S15">
        <v>130</v>
      </c>
      <c r="T15">
        <v>126</v>
      </c>
      <c r="U15">
        <v>122</v>
      </c>
      <c r="V15">
        <v>120</v>
      </c>
      <c r="W15">
        <v>117</v>
      </c>
      <c r="X15">
        <v>112</v>
      </c>
      <c r="Y15">
        <v>105</v>
      </c>
      <c r="Z15" s="2">
        <f>AVERAGE(Sheet1__3[[#This Row],[00:00:00]:[23:00:00]])</f>
        <v>144.125</v>
      </c>
      <c r="AA15" t="str" cm="1">
        <f t="array" ref="AA1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16" spans="1:27" x14ac:dyDescent="0.3">
      <c r="A16" s="1">
        <v>45731</v>
      </c>
      <c r="B16">
        <v>98</v>
      </c>
      <c r="C16">
        <v>92</v>
      </c>
      <c r="D16">
        <v>89</v>
      </c>
      <c r="E16">
        <v>87</v>
      </c>
      <c r="F16">
        <v>85</v>
      </c>
      <c r="G16">
        <v>84</v>
      </c>
      <c r="H16">
        <v>84</v>
      </c>
      <c r="I16">
        <v>83</v>
      </c>
      <c r="J16">
        <v>81</v>
      </c>
      <c r="K16">
        <v>80</v>
      </c>
      <c r="L16">
        <v>79</v>
      </c>
      <c r="M16">
        <v>79</v>
      </c>
      <c r="N16">
        <v>78</v>
      </c>
      <c r="O16">
        <v>78</v>
      </c>
      <c r="P16">
        <v>70</v>
      </c>
      <c r="Q16">
        <v>70</v>
      </c>
      <c r="R16">
        <v>70</v>
      </c>
      <c r="S16">
        <v>69</v>
      </c>
      <c r="T16">
        <v>70</v>
      </c>
      <c r="U16">
        <v>73</v>
      </c>
      <c r="V16">
        <v>73</v>
      </c>
      <c r="W16">
        <v>73</v>
      </c>
      <c r="X16">
        <v>72</v>
      </c>
      <c r="Y16">
        <v>72</v>
      </c>
      <c r="Z16" s="2">
        <f>AVERAGE(Sheet1__3[[#This Row],[00:00:00]:[23:00:00]])</f>
        <v>78.708333333333329</v>
      </c>
      <c r="AA16" t="str" cm="1">
        <f t="array" ref="AA1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7" spans="1:27" x14ac:dyDescent="0.3">
      <c r="A17" s="1">
        <v>45732</v>
      </c>
      <c r="B17">
        <v>72</v>
      </c>
      <c r="C17">
        <v>73</v>
      </c>
      <c r="D17">
        <v>74</v>
      </c>
      <c r="E17">
        <v>74</v>
      </c>
      <c r="F17">
        <v>75</v>
      </c>
      <c r="G17">
        <v>75</v>
      </c>
      <c r="H17">
        <v>76</v>
      </c>
      <c r="I17">
        <v>76</v>
      </c>
      <c r="J17">
        <v>76</v>
      </c>
      <c r="K17">
        <v>76</v>
      </c>
      <c r="L17">
        <v>75</v>
      </c>
      <c r="M17">
        <v>75</v>
      </c>
      <c r="N17">
        <v>75</v>
      </c>
      <c r="O17">
        <v>75</v>
      </c>
      <c r="P17">
        <v>75</v>
      </c>
      <c r="Q17">
        <v>75</v>
      </c>
      <c r="R17">
        <v>76</v>
      </c>
      <c r="S17">
        <v>76</v>
      </c>
      <c r="T17">
        <v>76</v>
      </c>
      <c r="U17">
        <v>76</v>
      </c>
      <c r="V17">
        <v>76</v>
      </c>
      <c r="W17">
        <v>75</v>
      </c>
      <c r="X17">
        <v>75</v>
      </c>
      <c r="Y17">
        <v>75</v>
      </c>
      <c r="Z17" s="2">
        <f>AVERAGE(Sheet1__3[[#This Row],[00:00:00]:[23:00:00]])</f>
        <v>75.083333333333329</v>
      </c>
      <c r="AA17" t="str" cm="1">
        <f t="array" ref="AA1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8" spans="1:27" x14ac:dyDescent="0.3">
      <c r="A18" s="1">
        <v>45733</v>
      </c>
      <c r="B18">
        <v>75</v>
      </c>
      <c r="C18">
        <v>75</v>
      </c>
      <c r="D18">
        <v>75</v>
      </c>
      <c r="E18">
        <v>75</v>
      </c>
      <c r="F18">
        <v>76</v>
      </c>
      <c r="G18">
        <v>77</v>
      </c>
      <c r="H18">
        <v>78</v>
      </c>
      <c r="I18">
        <v>80</v>
      </c>
      <c r="J18">
        <v>82</v>
      </c>
      <c r="K18">
        <v>83</v>
      </c>
      <c r="L18">
        <v>85</v>
      </c>
      <c r="M18">
        <v>86</v>
      </c>
      <c r="N18">
        <v>87</v>
      </c>
      <c r="O18">
        <v>88</v>
      </c>
      <c r="P18">
        <v>89</v>
      </c>
      <c r="Q18">
        <v>90</v>
      </c>
      <c r="R18">
        <v>92</v>
      </c>
      <c r="S18">
        <v>93</v>
      </c>
      <c r="T18">
        <v>95</v>
      </c>
      <c r="U18">
        <v>95</v>
      </c>
      <c r="V18">
        <v>96</v>
      </c>
      <c r="W18">
        <v>97</v>
      </c>
      <c r="X18">
        <v>98</v>
      </c>
      <c r="Y18">
        <v>99</v>
      </c>
      <c r="Z18" s="2">
        <f>AVERAGE(Sheet1__3[[#This Row],[00:00:00]:[23:00:00]])</f>
        <v>86.083333333333329</v>
      </c>
      <c r="AA18" t="str" cm="1">
        <f t="array" ref="AA1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19" spans="1:27" x14ac:dyDescent="0.3">
      <c r="A19" s="1">
        <v>45734</v>
      </c>
      <c r="B19">
        <v>100</v>
      </c>
      <c r="C19">
        <v>101</v>
      </c>
      <c r="D19">
        <v>103</v>
      </c>
      <c r="F19">
        <v>104</v>
      </c>
      <c r="G19">
        <v>104</v>
      </c>
      <c r="H19">
        <v>105</v>
      </c>
      <c r="I19">
        <v>105</v>
      </c>
      <c r="J19">
        <v>106</v>
      </c>
      <c r="K19">
        <v>107</v>
      </c>
      <c r="L19">
        <v>108</v>
      </c>
      <c r="M19">
        <v>112</v>
      </c>
      <c r="N19">
        <v>112</v>
      </c>
      <c r="O19">
        <v>113</v>
      </c>
      <c r="P19">
        <v>118</v>
      </c>
      <c r="R19">
        <v>120</v>
      </c>
      <c r="S19">
        <v>121</v>
      </c>
      <c r="T19">
        <v>123</v>
      </c>
      <c r="U19">
        <v>124</v>
      </c>
      <c r="V19">
        <v>125</v>
      </c>
      <c r="W19">
        <v>126</v>
      </c>
      <c r="X19">
        <v>126</v>
      </c>
      <c r="Y19">
        <v>127</v>
      </c>
      <c r="Z19" s="2">
        <f>AVERAGE(Sheet1__3[[#This Row],[00:00:00]:[23:00:00]])</f>
        <v>113.18181818181819</v>
      </c>
      <c r="AA19" t="str" cm="1">
        <f t="array" ref="AA1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0" spans="1:27" x14ac:dyDescent="0.3">
      <c r="A20" s="1">
        <v>45735</v>
      </c>
      <c r="B20">
        <v>128</v>
      </c>
      <c r="C20">
        <v>128</v>
      </c>
      <c r="D20">
        <v>128</v>
      </c>
      <c r="E20">
        <v>128</v>
      </c>
      <c r="F20">
        <v>128</v>
      </c>
      <c r="G20">
        <v>129</v>
      </c>
      <c r="H20">
        <v>130</v>
      </c>
      <c r="I20">
        <v>130</v>
      </c>
      <c r="J20">
        <v>130</v>
      </c>
      <c r="K20">
        <v>129</v>
      </c>
      <c r="L20">
        <v>129</v>
      </c>
      <c r="M20">
        <v>128</v>
      </c>
      <c r="N20">
        <v>127</v>
      </c>
      <c r="O20">
        <v>124</v>
      </c>
      <c r="P20">
        <v>121</v>
      </c>
      <c r="Q20">
        <v>120</v>
      </c>
      <c r="R20">
        <v>118</v>
      </c>
      <c r="S20">
        <v>118</v>
      </c>
      <c r="T20">
        <v>116</v>
      </c>
      <c r="U20">
        <v>114</v>
      </c>
      <c r="V20">
        <v>106</v>
      </c>
      <c r="W20">
        <v>106</v>
      </c>
      <c r="X20">
        <v>106</v>
      </c>
      <c r="Y20">
        <v>104</v>
      </c>
      <c r="Z20" s="2">
        <f>AVERAGE(Sheet1__3[[#This Row],[00:00:00]:[23:00:00]])</f>
        <v>121.875</v>
      </c>
      <c r="AA20" t="str" cm="1">
        <f t="array" ref="AA2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1" spans="1:27" x14ac:dyDescent="0.3">
      <c r="A21" s="1">
        <v>45736</v>
      </c>
      <c r="B21">
        <v>103</v>
      </c>
      <c r="C21">
        <v>101</v>
      </c>
      <c r="D21">
        <v>98</v>
      </c>
      <c r="E21">
        <v>96</v>
      </c>
      <c r="F21">
        <v>94</v>
      </c>
      <c r="G21">
        <v>91</v>
      </c>
      <c r="H21">
        <v>94</v>
      </c>
      <c r="I21">
        <v>95</v>
      </c>
      <c r="J21">
        <v>94</v>
      </c>
      <c r="K21">
        <v>94</v>
      </c>
      <c r="L21">
        <v>93</v>
      </c>
      <c r="M21">
        <v>94</v>
      </c>
      <c r="N21">
        <v>99</v>
      </c>
      <c r="O21">
        <v>100</v>
      </c>
      <c r="P21">
        <v>101</v>
      </c>
      <c r="Q21">
        <v>102</v>
      </c>
      <c r="R21">
        <v>103</v>
      </c>
      <c r="S21">
        <v>105</v>
      </c>
      <c r="T21">
        <v>106</v>
      </c>
      <c r="U21">
        <v>108</v>
      </c>
      <c r="V21">
        <v>108</v>
      </c>
      <c r="W21">
        <v>108</v>
      </c>
      <c r="X21">
        <v>108</v>
      </c>
      <c r="Y21">
        <v>108</v>
      </c>
      <c r="Z21" s="2">
        <f>AVERAGE(Sheet1__3[[#This Row],[00:00:00]:[23:00:00]])</f>
        <v>100.125</v>
      </c>
      <c r="AA21" t="str" cm="1">
        <f t="array" ref="AA2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2" spans="1:27" x14ac:dyDescent="0.3">
      <c r="A22" s="1">
        <v>45737</v>
      </c>
      <c r="B22">
        <v>108</v>
      </c>
      <c r="C22">
        <v>107</v>
      </c>
      <c r="D22">
        <v>106</v>
      </c>
      <c r="E22">
        <v>106</v>
      </c>
      <c r="F22">
        <v>105</v>
      </c>
      <c r="G22">
        <v>104</v>
      </c>
      <c r="H22">
        <v>99</v>
      </c>
      <c r="I22">
        <v>97</v>
      </c>
      <c r="J22">
        <v>96</v>
      </c>
      <c r="K22">
        <v>95</v>
      </c>
      <c r="L22">
        <v>94</v>
      </c>
      <c r="M22">
        <v>94</v>
      </c>
      <c r="N22">
        <v>93</v>
      </c>
      <c r="O22">
        <v>93</v>
      </c>
      <c r="P22">
        <v>92</v>
      </c>
      <c r="Q22">
        <v>92</v>
      </c>
      <c r="R22">
        <v>92</v>
      </c>
      <c r="S22">
        <v>91</v>
      </c>
      <c r="T22">
        <v>90</v>
      </c>
      <c r="U22">
        <v>90</v>
      </c>
      <c r="V22">
        <v>89</v>
      </c>
      <c r="W22">
        <v>89</v>
      </c>
      <c r="X22">
        <v>89</v>
      </c>
      <c r="Y22">
        <v>89</v>
      </c>
      <c r="Z22" s="2">
        <f>AVERAGE(Sheet1__3[[#This Row],[00:00:00]:[23:00:00]])</f>
        <v>95.833333333333329</v>
      </c>
      <c r="AA22" t="str" cm="1">
        <f t="array" ref="AA2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3" spans="1:27" x14ac:dyDescent="0.3">
      <c r="A23" s="1">
        <v>45738</v>
      </c>
      <c r="B23">
        <v>89</v>
      </c>
      <c r="C23">
        <v>89</v>
      </c>
      <c r="D23">
        <v>89</v>
      </c>
      <c r="E23">
        <v>90</v>
      </c>
      <c r="F23">
        <v>90</v>
      </c>
      <c r="G23">
        <v>91</v>
      </c>
      <c r="H23">
        <v>92</v>
      </c>
      <c r="I23">
        <v>92</v>
      </c>
      <c r="J23">
        <v>92</v>
      </c>
      <c r="K23">
        <v>92</v>
      </c>
      <c r="L23">
        <v>91</v>
      </c>
      <c r="M23">
        <v>90</v>
      </c>
      <c r="N23">
        <v>90</v>
      </c>
      <c r="O23">
        <v>89</v>
      </c>
      <c r="P23">
        <v>89</v>
      </c>
      <c r="Q23">
        <v>89</v>
      </c>
      <c r="R23">
        <v>90</v>
      </c>
      <c r="S23">
        <v>89</v>
      </c>
      <c r="T23">
        <v>92</v>
      </c>
      <c r="U23">
        <v>92</v>
      </c>
      <c r="V23">
        <v>92</v>
      </c>
      <c r="W23">
        <v>92</v>
      </c>
      <c r="X23">
        <v>92</v>
      </c>
      <c r="Y23">
        <v>92</v>
      </c>
      <c r="Z23" s="2">
        <f>AVERAGE(Sheet1__3[[#This Row],[00:00:00]:[23:00:00]])</f>
        <v>90.625</v>
      </c>
      <c r="AA23" t="str" cm="1">
        <f t="array" ref="AA23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4" spans="1:27" x14ac:dyDescent="0.3">
      <c r="A24" s="1">
        <v>45739</v>
      </c>
      <c r="B24">
        <v>93</v>
      </c>
      <c r="C24">
        <v>93</v>
      </c>
      <c r="D24">
        <v>94</v>
      </c>
      <c r="E24">
        <v>94</v>
      </c>
      <c r="F24">
        <v>94</v>
      </c>
      <c r="G24">
        <v>95</v>
      </c>
      <c r="H24">
        <v>96</v>
      </c>
      <c r="I24">
        <v>97</v>
      </c>
      <c r="J24">
        <v>98</v>
      </c>
      <c r="K24">
        <v>98</v>
      </c>
      <c r="L24">
        <v>100</v>
      </c>
      <c r="M24">
        <v>102</v>
      </c>
      <c r="N24">
        <v>104</v>
      </c>
      <c r="O24">
        <v>106</v>
      </c>
      <c r="P24">
        <v>107</v>
      </c>
      <c r="Q24">
        <v>107</v>
      </c>
      <c r="R24">
        <v>107</v>
      </c>
      <c r="S24">
        <v>107</v>
      </c>
      <c r="T24">
        <v>107</v>
      </c>
      <c r="U24">
        <v>107</v>
      </c>
      <c r="V24">
        <v>108</v>
      </c>
      <c r="W24">
        <v>108</v>
      </c>
      <c r="X24">
        <v>108</v>
      </c>
      <c r="Y24">
        <v>108</v>
      </c>
      <c r="Z24" s="2">
        <f>AVERAGE(Sheet1__3[[#This Row],[00:00:00]:[23:00:00]])</f>
        <v>101.58333333333333</v>
      </c>
      <c r="AA24" t="str" cm="1">
        <f t="array" ref="AA24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5" spans="1:27" x14ac:dyDescent="0.3">
      <c r="A25" s="1">
        <v>45740</v>
      </c>
      <c r="B25">
        <v>108</v>
      </c>
      <c r="C25">
        <v>108</v>
      </c>
      <c r="D25">
        <v>107</v>
      </c>
      <c r="E25">
        <v>107</v>
      </c>
      <c r="F25">
        <v>107</v>
      </c>
      <c r="G25">
        <v>106</v>
      </c>
      <c r="H25">
        <v>105</v>
      </c>
      <c r="I25">
        <v>105</v>
      </c>
      <c r="J25">
        <v>104</v>
      </c>
      <c r="K25">
        <v>104</v>
      </c>
      <c r="L25">
        <v>104</v>
      </c>
      <c r="N25">
        <v>104</v>
      </c>
      <c r="O25">
        <v>103</v>
      </c>
      <c r="P25">
        <v>104</v>
      </c>
      <c r="Q25">
        <v>104</v>
      </c>
      <c r="R25">
        <v>103</v>
      </c>
      <c r="S25">
        <v>107</v>
      </c>
      <c r="T25">
        <v>108</v>
      </c>
      <c r="U25">
        <v>110</v>
      </c>
      <c r="V25">
        <v>108</v>
      </c>
      <c r="W25">
        <v>113</v>
      </c>
      <c r="X25">
        <v>114</v>
      </c>
      <c r="Y25">
        <v>114</v>
      </c>
      <c r="Z25" s="2">
        <f>AVERAGE(Sheet1__3[[#This Row],[00:00:00]:[23:00:00]])</f>
        <v>106.82608695652173</v>
      </c>
      <c r="AA25" t="str" cm="1">
        <f t="array" ref="AA25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6" spans="1:27" x14ac:dyDescent="0.3">
      <c r="A26" s="1">
        <v>45741</v>
      </c>
      <c r="B26">
        <v>114</v>
      </c>
      <c r="C26">
        <v>115</v>
      </c>
      <c r="D26">
        <v>116</v>
      </c>
      <c r="E26">
        <v>118</v>
      </c>
      <c r="F26">
        <v>124</v>
      </c>
      <c r="H26">
        <v>128</v>
      </c>
      <c r="I26">
        <v>129</v>
      </c>
      <c r="J26">
        <v>130</v>
      </c>
      <c r="K26">
        <v>132</v>
      </c>
      <c r="L26">
        <v>135</v>
      </c>
      <c r="M26">
        <v>136</v>
      </c>
      <c r="N26">
        <v>137</v>
      </c>
      <c r="O26">
        <v>136</v>
      </c>
      <c r="P26">
        <v>136</v>
      </c>
      <c r="Q26">
        <v>135</v>
      </c>
      <c r="R26">
        <v>134</v>
      </c>
      <c r="S26">
        <v>134</v>
      </c>
      <c r="T26">
        <v>134</v>
      </c>
      <c r="U26">
        <v>133</v>
      </c>
      <c r="V26">
        <v>130</v>
      </c>
      <c r="W26">
        <v>123</v>
      </c>
      <c r="X26">
        <v>123</v>
      </c>
      <c r="Y26">
        <v>123</v>
      </c>
      <c r="Z26" s="2">
        <f>AVERAGE(Sheet1__3[[#This Row],[00:00:00]:[23:00:00]])</f>
        <v>128.47826086956522</v>
      </c>
      <c r="AA26" t="str" cm="1">
        <f t="array" ref="AA26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7" spans="1:27" x14ac:dyDescent="0.3">
      <c r="A27" s="1">
        <v>45742</v>
      </c>
      <c r="B27">
        <v>123</v>
      </c>
      <c r="C27">
        <v>122</v>
      </c>
      <c r="D27">
        <v>122</v>
      </c>
      <c r="E27">
        <v>131</v>
      </c>
      <c r="F27">
        <v>132</v>
      </c>
      <c r="G27">
        <v>131</v>
      </c>
      <c r="H27">
        <v>131</v>
      </c>
      <c r="I27">
        <v>131</v>
      </c>
      <c r="J27">
        <v>130</v>
      </c>
      <c r="K27">
        <v>129</v>
      </c>
      <c r="L27">
        <v>128</v>
      </c>
      <c r="M27">
        <v>126</v>
      </c>
      <c r="N27">
        <v>124</v>
      </c>
      <c r="O27">
        <v>124</v>
      </c>
      <c r="P27">
        <v>124</v>
      </c>
      <c r="Q27">
        <v>123</v>
      </c>
      <c r="R27">
        <v>122</v>
      </c>
      <c r="S27">
        <v>122</v>
      </c>
      <c r="T27">
        <v>121</v>
      </c>
      <c r="U27">
        <v>122</v>
      </c>
      <c r="V27">
        <v>122</v>
      </c>
      <c r="W27">
        <v>121</v>
      </c>
      <c r="X27">
        <v>117</v>
      </c>
      <c r="Y27">
        <v>114</v>
      </c>
      <c r="Z27" s="2">
        <f>AVERAGE(Sheet1__3[[#This Row],[00:00:00]:[23:00:00]])</f>
        <v>124.66666666666667</v>
      </c>
      <c r="AA27" t="str" cm="1">
        <f t="array" ref="AA27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28" spans="1:27" x14ac:dyDescent="0.3">
      <c r="A28" s="1">
        <v>45743</v>
      </c>
      <c r="B28">
        <v>111</v>
      </c>
      <c r="C28">
        <v>108</v>
      </c>
      <c r="D28">
        <v>106</v>
      </c>
      <c r="E28">
        <v>103</v>
      </c>
      <c r="F28">
        <v>101</v>
      </c>
      <c r="G28">
        <v>100</v>
      </c>
      <c r="H28">
        <v>98</v>
      </c>
      <c r="I28">
        <v>96</v>
      </c>
      <c r="J28">
        <v>94</v>
      </c>
      <c r="K28">
        <v>92</v>
      </c>
      <c r="L28">
        <v>89</v>
      </c>
      <c r="M28">
        <v>87</v>
      </c>
      <c r="N28">
        <v>86</v>
      </c>
      <c r="O28">
        <v>85</v>
      </c>
      <c r="P28">
        <v>85</v>
      </c>
      <c r="Q28">
        <v>85</v>
      </c>
      <c r="R28">
        <v>85</v>
      </c>
      <c r="S28">
        <v>85</v>
      </c>
      <c r="T28">
        <v>85</v>
      </c>
      <c r="U28">
        <v>84</v>
      </c>
      <c r="V28">
        <v>82</v>
      </c>
      <c r="W28">
        <v>81</v>
      </c>
      <c r="X28">
        <v>80</v>
      </c>
      <c r="Y28">
        <v>79</v>
      </c>
      <c r="Z28" s="2">
        <f>AVERAGE(Sheet1__3[[#This Row],[00:00:00]:[23:00:00]])</f>
        <v>91.125</v>
      </c>
      <c r="AA28" t="str" cm="1">
        <f t="array" ref="AA28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29" spans="1:27" x14ac:dyDescent="0.3">
      <c r="A29" s="1">
        <v>45744</v>
      </c>
      <c r="B29">
        <v>80</v>
      </c>
      <c r="C29">
        <v>80</v>
      </c>
      <c r="D29">
        <v>82</v>
      </c>
      <c r="E29">
        <v>82</v>
      </c>
      <c r="F29">
        <v>83</v>
      </c>
      <c r="G29">
        <v>84</v>
      </c>
      <c r="H29">
        <v>86</v>
      </c>
      <c r="I29">
        <v>82</v>
      </c>
      <c r="J29">
        <v>83</v>
      </c>
      <c r="K29">
        <v>83</v>
      </c>
      <c r="L29">
        <v>84</v>
      </c>
      <c r="M29">
        <v>84</v>
      </c>
      <c r="N29">
        <v>84</v>
      </c>
      <c r="O29">
        <v>85</v>
      </c>
      <c r="P29">
        <v>86</v>
      </c>
      <c r="Q29">
        <v>86</v>
      </c>
      <c r="R29">
        <v>87</v>
      </c>
      <c r="S29">
        <v>87</v>
      </c>
      <c r="T29">
        <v>87</v>
      </c>
      <c r="U29">
        <v>87</v>
      </c>
      <c r="V29">
        <v>88</v>
      </c>
      <c r="W29">
        <v>89</v>
      </c>
      <c r="X29">
        <v>91</v>
      </c>
      <c r="Y29">
        <v>93</v>
      </c>
      <c r="Z29" s="2">
        <f>AVERAGE(Sheet1__3[[#This Row],[00:00:00]:[23:00:00]])</f>
        <v>85.125</v>
      </c>
      <c r="AA29" t="str" cm="1">
        <f t="array" ref="AA29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MODERATE</v>
      </c>
    </row>
    <row r="30" spans="1:27" x14ac:dyDescent="0.3">
      <c r="A30" s="1">
        <v>45745</v>
      </c>
      <c r="B30">
        <v>94</v>
      </c>
      <c r="C30">
        <v>94</v>
      </c>
      <c r="D30">
        <v>96</v>
      </c>
      <c r="E30">
        <v>96</v>
      </c>
      <c r="F30">
        <v>97</v>
      </c>
      <c r="G30">
        <v>98</v>
      </c>
      <c r="H30">
        <v>99</v>
      </c>
      <c r="I30">
        <v>100</v>
      </c>
      <c r="J30">
        <v>102</v>
      </c>
      <c r="K30">
        <v>108</v>
      </c>
      <c r="L30">
        <v>114</v>
      </c>
      <c r="M30">
        <v>116</v>
      </c>
      <c r="N30">
        <v>119</v>
      </c>
      <c r="O30">
        <v>121</v>
      </c>
      <c r="P30">
        <v>122</v>
      </c>
      <c r="Q30">
        <v>124</v>
      </c>
      <c r="R30">
        <v>126</v>
      </c>
      <c r="S30">
        <v>127</v>
      </c>
      <c r="T30">
        <v>128</v>
      </c>
      <c r="U30">
        <v>129</v>
      </c>
      <c r="V30">
        <v>131</v>
      </c>
      <c r="W30">
        <v>131</v>
      </c>
      <c r="X30">
        <v>131</v>
      </c>
      <c r="Y30">
        <v>131</v>
      </c>
      <c r="Z30" s="2">
        <f>AVERAGE(Sheet1__3[[#This Row],[00:00:00]:[23:00:00]])</f>
        <v>113.91666666666667</v>
      </c>
      <c r="AA30" t="str" cm="1">
        <f t="array" ref="AA30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1" spans="1:27" x14ac:dyDescent="0.3">
      <c r="A31" s="1">
        <v>45746</v>
      </c>
      <c r="B31">
        <v>132</v>
      </c>
      <c r="C31">
        <v>132</v>
      </c>
      <c r="D31">
        <v>133</v>
      </c>
      <c r="E31">
        <v>134</v>
      </c>
      <c r="F31">
        <v>136</v>
      </c>
      <c r="G31">
        <v>137</v>
      </c>
      <c r="H31">
        <v>138</v>
      </c>
      <c r="I31">
        <v>138</v>
      </c>
      <c r="J31">
        <v>138</v>
      </c>
      <c r="K31">
        <v>135</v>
      </c>
      <c r="L31">
        <v>132</v>
      </c>
      <c r="M31">
        <v>131</v>
      </c>
      <c r="N31">
        <v>130</v>
      </c>
      <c r="O31">
        <v>130</v>
      </c>
      <c r="P31">
        <v>130</v>
      </c>
      <c r="Q31">
        <v>129</v>
      </c>
      <c r="R31">
        <v>127</v>
      </c>
      <c r="S31">
        <v>125</v>
      </c>
      <c r="T31">
        <v>124</v>
      </c>
      <c r="U31">
        <v>123</v>
      </c>
      <c r="V31">
        <v>123</v>
      </c>
      <c r="W31">
        <v>122</v>
      </c>
      <c r="X31">
        <v>121</v>
      </c>
      <c r="Y31">
        <v>120</v>
      </c>
      <c r="Z31" s="2">
        <f>AVERAGE(Sheet1__3[[#This Row],[00:00:00]:[23:00:00]])</f>
        <v>130</v>
      </c>
      <c r="AA31" t="str" cm="1">
        <f t="array" ref="AA31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2" spans="1:27" x14ac:dyDescent="0.3">
      <c r="A32" s="1">
        <v>45747</v>
      </c>
      <c r="B32">
        <v>120</v>
      </c>
      <c r="C32">
        <v>120</v>
      </c>
      <c r="D32">
        <v>120</v>
      </c>
      <c r="E32">
        <v>120</v>
      </c>
      <c r="F32">
        <v>121</v>
      </c>
      <c r="G32">
        <v>122</v>
      </c>
      <c r="H32">
        <v>122</v>
      </c>
      <c r="I32">
        <v>122</v>
      </c>
      <c r="J32">
        <v>124</v>
      </c>
      <c r="K32">
        <v>126</v>
      </c>
      <c r="L32">
        <v>131</v>
      </c>
      <c r="M32">
        <v>134</v>
      </c>
      <c r="N32">
        <v>134</v>
      </c>
      <c r="O32">
        <v>134</v>
      </c>
      <c r="P32">
        <v>134</v>
      </c>
      <c r="Q32">
        <v>134</v>
      </c>
      <c r="R32">
        <v>134</v>
      </c>
      <c r="S32">
        <v>136</v>
      </c>
      <c r="T32">
        <v>137</v>
      </c>
      <c r="U32">
        <v>139</v>
      </c>
      <c r="V32">
        <v>140</v>
      </c>
      <c r="W32">
        <v>141</v>
      </c>
      <c r="X32">
        <v>142</v>
      </c>
      <c r="Y32">
        <v>143</v>
      </c>
      <c r="Z32" s="2">
        <f>AVERAGE(Sheet1__3[[#This Row],[00:00:00]:[23:00:00]])</f>
        <v>130.41666666666666</v>
      </c>
      <c r="AA32" t="str" cm="1">
        <f t="array" ref="AA32">_xlfn.IFS(Sheet1__3[[#This Row],[AVERAGE AQI]]&lt;50,"GOOD",Sheet1__3[[#This Row],[AVERAGE AQI]]&lt;=100,"MODERATE",Sheet1__3[[#This Row],[AVERAGE AQI]]&lt;=150,"BAD",Sheet1__3[[#This Row],[AVERAGE AQI]]&lt;=200,"VERY BAD",Sheet1__3[[#This Row],[AVERAGE AQI]]&lt;=300,"HAZARDOUS")</f>
        <v>BAD</v>
      </c>
    </row>
    <row r="33" spans="26:27" x14ac:dyDescent="0.3">
      <c r="Z33" s="2">
        <f>AVERAGE(Sheet1__3[AVERAGE AQI])</f>
        <v>116.18870330230776</v>
      </c>
      <c r="AA33" s="3"/>
    </row>
  </sheetData>
  <conditionalFormatting sqref="AA1:AA1048576">
    <cfRule type="containsText" dxfId="36" priority="1" operator="containsText" text="MODERATE">
      <formula>NOT(ISERROR(SEARCH("MODERATE",AA1)))</formula>
    </cfRule>
    <cfRule type="containsText" dxfId="35" priority="2" operator="containsText" text="VERY BAD">
      <formula>NOT(ISERROR(SEARCH("VERY BAD",AA1)))</formula>
    </cfRule>
    <cfRule type="containsText" dxfId="34" priority="3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D955C-7271-4341-8121-FF88A276E9F2}">
  <dimension ref="A1:AA32"/>
  <sheetViews>
    <sheetView topLeftCell="L1" workbookViewId="0">
      <selection activeCell="AB13" sqref="AB1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45748</v>
      </c>
      <c r="B2">
        <v>143</v>
      </c>
      <c r="C2">
        <v>142</v>
      </c>
      <c r="D2">
        <v>142</v>
      </c>
      <c r="E2">
        <v>141</v>
      </c>
      <c r="F2">
        <v>140</v>
      </c>
      <c r="G2">
        <v>140</v>
      </c>
      <c r="H2">
        <v>140</v>
      </c>
      <c r="I2">
        <v>140</v>
      </c>
      <c r="J2">
        <v>139</v>
      </c>
      <c r="K2">
        <v>140</v>
      </c>
      <c r="L2">
        <v>139</v>
      </c>
      <c r="M2">
        <v>140</v>
      </c>
      <c r="N2">
        <v>141</v>
      </c>
      <c r="O2">
        <v>142</v>
      </c>
      <c r="P2">
        <v>144</v>
      </c>
      <c r="Q2">
        <v>147</v>
      </c>
      <c r="R2">
        <v>148</v>
      </c>
      <c r="S2">
        <v>147</v>
      </c>
      <c r="T2">
        <v>147</v>
      </c>
      <c r="U2">
        <v>146</v>
      </c>
      <c r="V2">
        <v>148</v>
      </c>
      <c r="W2">
        <v>148</v>
      </c>
      <c r="X2">
        <v>150</v>
      </c>
      <c r="Y2">
        <v>150</v>
      </c>
      <c r="Z2" s="2">
        <f>AVERAGE(Sheet1__4[[#This Row],[00:00:00]:[23:00:00]])</f>
        <v>143.5</v>
      </c>
      <c r="AA2" t="str" cm="1">
        <f t="array" ref="AA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" spans="1:27" x14ac:dyDescent="0.3">
      <c r="A3" s="1">
        <v>45749</v>
      </c>
      <c r="B3">
        <v>154</v>
      </c>
      <c r="C3">
        <v>154</v>
      </c>
      <c r="D3">
        <v>154</v>
      </c>
      <c r="E3">
        <v>155</v>
      </c>
      <c r="F3">
        <v>154</v>
      </c>
      <c r="G3">
        <v>154</v>
      </c>
      <c r="H3">
        <v>154</v>
      </c>
      <c r="I3">
        <v>152</v>
      </c>
      <c r="J3">
        <v>151</v>
      </c>
      <c r="K3">
        <v>148</v>
      </c>
      <c r="L3">
        <v>143</v>
      </c>
      <c r="M3">
        <v>138</v>
      </c>
      <c r="N3">
        <v>134</v>
      </c>
      <c r="O3">
        <v>130</v>
      </c>
      <c r="P3">
        <v>127</v>
      </c>
      <c r="Q3">
        <v>125</v>
      </c>
      <c r="R3">
        <v>125</v>
      </c>
      <c r="S3">
        <v>126</v>
      </c>
      <c r="T3">
        <v>126</v>
      </c>
      <c r="V3">
        <v>127</v>
      </c>
      <c r="W3">
        <v>130</v>
      </c>
      <c r="X3">
        <v>129</v>
      </c>
      <c r="Y3">
        <v>127</v>
      </c>
      <c r="Z3" s="2">
        <f>AVERAGE(Sheet1__4[[#This Row],[00:00:00]:[23:00:00]])</f>
        <v>139.86956521739131</v>
      </c>
      <c r="AA3" t="str" cm="1">
        <f t="array" ref="AA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4" spans="1:27" x14ac:dyDescent="0.3">
      <c r="A4" s="1">
        <v>45750</v>
      </c>
      <c r="B4">
        <v>127</v>
      </c>
      <c r="C4">
        <v>126</v>
      </c>
      <c r="D4">
        <v>126</v>
      </c>
      <c r="E4">
        <v>126</v>
      </c>
      <c r="F4">
        <v>126</v>
      </c>
      <c r="G4">
        <v>126</v>
      </c>
      <c r="H4">
        <v>126</v>
      </c>
      <c r="I4">
        <v>126</v>
      </c>
      <c r="J4">
        <v>127</v>
      </c>
      <c r="K4">
        <v>128</v>
      </c>
      <c r="L4">
        <v>128</v>
      </c>
      <c r="M4">
        <v>128</v>
      </c>
      <c r="N4">
        <v>130</v>
      </c>
      <c r="P4">
        <v>130</v>
      </c>
      <c r="Q4">
        <v>130</v>
      </c>
      <c r="R4">
        <v>127</v>
      </c>
      <c r="S4">
        <v>122</v>
      </c>
      <c r="T4">
        <v>119</v>
      </c>
      <c r="U4">
        <v>120</v>
      </c>
      <c r="V4">
        <v>120</v>
      </c>
      <c r="W4">
        <v>116</v>
      </c>
      <c r="X4">
        <v>114</v>
      </c>
      <c r="Y4">
        <v>113</v>
      </c>
      <c r="Z4" s="2">
        <f>AVERAGE(Sheet1__4[[#This Row],[00:00:00]:[23:00:00]])</f>
        <v>124.39130434782609</v>
      </c>
      <c r="AA4" t="str" cm="1">
        <f t="array" ref="AA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5" spans="1:27" x14ac:dyDescent="0.3">
      <c r="A5" s="1">
        <v>45751</v>
      </c>
      <c r="B5">
        <v>113</v>
      </c>
      <c r="C5">
        <v>114</v>
      </c>
      <c r="D5">
        <v>116</v>
      </c>
      <c r="E5">
        <v>117</v>
      </c>
      <c r="F5">
        <v>117</v>
      </c>
      <c r="G5">
        <v>117</v>
      </c>
      <c r="H5">
        <v>119</v>
      </c>
      <c r="I5">
        <v>121</v>
      </c>
      <c r="J5">
        <v>124</v>
      </c>
      <c r="K5">
        <v>128</v>
      </c>
      <c r="L5">
        <v>131</v>
      </c>
      <c r="M5">
        <v>131</v>
      </c>
      <c r="N5">
        <v>135</v>
      </c>
      <c r="O5">
        <v>133</v>
      </c>
      <c r="P5">
        <v>134</v>
      </c>
      <c r="Q5">
        <v>133</v>
      </c>
      <c r="R5">
        <v>133</v>
      </c>
      <c r="S5">
        <v>132</v>
      </c>
      <c r="T5">
        <v>131</v>
      </c>
      <c r="U5">
        <v>129</v>
      </c>
      <c r="V5">
        <v>129</v>
      </c>
      <c r="W5">
        <v>127</v>
      </c>
      <c r="Y5">
        <v>126</v>
      </c>
      <c r="Z5" s="2">
        <f>AVERAGE(Sheet1__4[[#This Row],[00:00:00]:[23:00:00]])</f>
        <v>125.65217391304348</v>
      </c>
      <c r="AA5" t="str" cm="1">
        <f t="array" ref="AA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6" spans="1:27" x14ac:dyDescent="0.3">
      <c r="A6" s="1">
        <v>45752</v>
      </c>
      <c r="B6">
        <v>124</v>
      </c>
      <c r="C6">
        <v>119</v>
      </c>
      <c r="D6">
        <v>115</v>
      </c>
      <c r="E6">
        <v>112</v>
      </c>
      <c r="F6">
        <v>106</v>
      </c>
      <c r="G6">
        <v>104</v>
      </c>
      <c r="H6">
        <v>102</v>
      </c>
      <c r="I6">
        <v>99</v>
      </c>
      <c r="J6">
        <v>97</v>
      </c>
      <c r="K6">
        <v>95</v>
      </c>
      <c r="L6">
        <v>94</v>
      </c>
      <c r="M6">
        <v>94</v>
      </c>
      <c r="N6">
        <v>93</v>
      </c>
      <c r="O6">
        <v>93</v>
      </c>
      <c r="P6">
        <v>94</v>
      </c>
      <c r="Q6">
        <v>95</v>
      </c>
      <c r="R6">
        <v>96</v>
      </c>
      <c r="S6">
        <v>97</v>
      </c>
      <c r="T6">
        <v>96</v>
      </c>
      <c r="U6">
        <v>95</v>
      </c>
      <c r="V6">
        <v>94</v>
      </c>
      <c r="W6">
        <v>94</v>
      </c>
      <c r="X6">
        <v>96</v>
      </c>
      <c r="Y6">
        <v>98</v>
      </c>
      <c r="Z6" s="2">
        <f>AVERAGE(Sheet1__4[[#This Row],[00:00:00]:[23:00:00]])</f>
        <v>100.08333333333333</v>
      </c>
      <c r="AA6" t="str" cm="1">
        <f t="array" ref="AA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7" spans="1:27" x14ac:dyDescent="0.3">
      <c r="A7" s="1">
        <v>45753</v>
      </c>
      <c r="B7">
        <v>98</v>
      </c>
      <c r="C7">
        <v>100</v>
      </c>
      <c r="D7">
        <v>102</v>
      </c>
      <c r="E7">
        <v>104</v>
      </c>
      <c r="F7">
        <v>107</v>
      </c>
      <c r="G7">
        <v>110</v>
      </c>
      <c r="H7">
        <v>111</v>
      </c>
      <c r="I7">
        <v>113</v>
      </c>
      <c r="J7">
        <v>114</v>
      </c>
      <c r="K7">
        <v>114</v>
      </c>
      <c r="L7">
        <v>115</v>
      </c>
      <c r="M7">
        <v>115</v>
      </c>
      <c r="N7">
        <v>116</v>
      </c>
      <c r="O7">
        <v>117</v>
      </c>
      <c r="P7">
        <v>116</v>
      </c>
      <c r="Q7">
        <v>116</v>
      </c>
      <c r="R7">
        <v>116</v>
      </c>
      <c r="S7">
        <v>115</v>
      </c>
      <c r="T7">
        <v>117</v>
      </c>
      <c r="U7">
        <v>118</v>
      </c>
      <c r="V7">
        <v>120</v>
      </c>
      <c r="W7">
        <v>120</v>
      </c>
      <c r="X7">
        <v>119</v>
      </c>
      <c r="Y7">
        <v>119</v>
      </c>
      <c r="Z7" s="2">
        <f>AVERAGE(Sheet1__4[[#This Row],[00:00:00]:[23:00:00]])</f>
        <v>113</v>
      </c>
      <c r="AA7" t="str" cm="1">
        <f t="array" ref="AA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8" spans="1:27" x14ac:dyDescent="0.3">
      <c r="A8" s="1">
        <v>45754</v>
      </c>
      <c r="B8">
        <v>119</v>
      </c>
      <c r="C8">
        <v>119</v>
      </c>
      <c r="D8">
        <v>119</v>
      </c>
      <c r="E8">
        <v>119</v>
      </c>
      <c r="F8">
        <v>118</v>
      </c>
      <c r="G8">
        <v>118</v>
      </c>
      <c r="H8">
        <v>118</v>
      </c>
      <c r="I8">
        <v>117</v>
      </c>
      <c r="J8">
        <v>116</v>
      </c>
      <c r="K8">
        <v>117</v>
      </c>
      <c r="L8">
        <v>118</v>
      </c>
      <c r="M8">
        <v>118</v>
      </c>
      <c r="N8">
        <v>117</v>
      </c>
      <c r="O8">
        <v>118</v>
      </c>
      <c r="P8">
        <v>117</v>
      </c>
      <c r="Q8">
        <v>116</v>
      </c>
      <c r="R8">
        <v>115</v>
      </c>
      <c r="S8">
        <v>114</v>
      </c>
      <c r="T8">
        <v>113</v>
      </c>
      <c r="U8">
        <v>113</v>
      </c>
      <c r="V8">
        <v>111</v>
      </c>
      <c r="W8">
        <v>110</v>
      </c>
      <c r="X8">
        <v>109</v>
      </c>
      <c r="Y8">
        <v>109</v>
      </c>
      <c r="Z8" s="2">
        <f>AVERAGE(Sheet1__4[[#This Row],[00:00:00]:[23:00:00]])</f>
        <v>115.75</v>
      </c>
      <c r="AA8" t="str" cm="1">
        <f t="array" ref="AA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9" spans="1:27" x14ac:dyDescent="0.3">
      <c r="A9" s="1">
        <v>45755</v>
      </c>
      <c r="B9">
        <v>109</v>
      </c>
      <c r="C9">
        <v>109</v>
      </c>
      <c r="D9">
        <v>108</v>
      </c>
      <c r="E9">
        <v>105</v>
      </c>
      <c r="F9">
        <v>104</v>
      </c>
      <c r="G9">
        <v>103</v>
      </c>
      <c r="H9">
        <v>101</v>
      </c>
      <c r="I9">
        <v>100</v>
      </c>
      <c r="J9">
        <v>99</v>
      </c>
      <c r="K9">
        <v>98</v>
      </c>
      <c r="L9">
        <v>96</v>
      </c>
      <c r="M9">
        <v>94</v>
      </c>
      <c r="N9">
        <v>95</v>
      </c>
      <c r="O9">
        <v>94</v>
      </c>
      <c r="P9">
        <v>94</v>
      </c>
      <c r="Q9">
        <v>95</v>
      </c>
      <c r="R9">
        <v>96</v>
      </c>
      <c r="S9">
        <v>95</v>
      </c>
      <c r="T9">
        <v>95</v>
      </c>
      <c r="U9">
        <v>96</v>
      </c>
      <c r="V9">
        <v>96</v>
      </c>
      <c r="W9">
        <v>97</v>
      </c>
      <c r="X9">
        <v>97</v>
      </c>
      <c r="Y9">
        <v>97</v>
      </c>
      <c r="Z9" s="2">
        <f>AVERAGE(Sheet1__4[[#This Row],[00:00:00]:[23:00:00]])</f>
        <v>98.875</v>
      </c>
      <c r="AA9" t="str" cm="1">
        <f t="array" ref="AA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0" spans="1:27" x14ac:dyDescent="0.3">
      <c r="A10" s="1">
        <v>45756</v>
      </c>
      <c r="B10">
        <v>96</v>
      </c>
      <c r="C10">
        <v>96</v>
      </c>
      <c r="D10">
        <v>97</v>
      </c>
      <c r="E10">
        <v>98</v>
      </c>
      <c r="F10">
        <v>98</v>
      </c>
      <c r="G10">
        <v>98</v>
      </c>
      <c r="H10">
        <v>99</v>
      </c>
      <c r="I10">
        <v>100</v>
      </c>
      <c r="J10">
        <v>100</v>
      </c>
      <c r="K10">
        <v>101</v>
      </c>
      <c r="L10">
        <v>102</v>
      </c>
      <c r="N10">
        <v>102</v>
      </c>
      <c r="O10">
        <v>102</v>
      </c>
      <c r="P10">
        <v>102</v>
      </c>
      <c r="Q10">
        <v>102</v>
      </c>
      <c r="R10">
        <v>102</v>
      </c>
      <c r="S10">
        <v>103</v>
      </c>
      <c r="T10">
        <v>104</v>
      </c>
      <c r="U10">
        <v>108</v>
      </c>
      <c r="V10">
        <v>110</v>
      </c>
      <c r="W10">
        <v>111</v>
      </c>
      <c r="X10">
        <v>111</v>
      </c>
      <c r="Y10">
        <v>111</v>
      </c>
      <c r="Z10" s="2">
        <f>AVERAGE(Sheet1__4[[#This Row],[00:00:00]:[23:00:00]])</f>
        <v>102.30434782608695</v>
      </c>
      <c r="AA10" t="str" cm="1">
        <f t="array" ref="AA1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1" spans="1:27" x14ac:dyDescent="0.3">
      <c r="A11" s="1">
        <v>45757</v>
      </c>
      <c r="B11">
        <v>111</v>
      </c>
      <c r="C11">
        <v>111</v>
      </c>
      <c r="D11">
        <v>110</v>
      </c>
      <c r="E11">
        <v>110</v>
      </c>
      <c r="F11">
        <v>109</v>
      </c>
      <c r="G11">
        <v>109</v>
      </c>
      <c r="H11">
        <v>108</v>
      </c>
      <c r="I11">
        <v>108</v>
      </c>
      <c r="J11">
        <v>107</v>
      </c>
      <c r="K11">
        <v>106</v>
      </c>
      <c r="L11">
        <v>106</v>
      </c>
      <c r="M11">
        <v>106</v>
      </c>
      <c r="N11">
        <v>105</v>
      </c>
      <c r="O11">
        <v>104</v>
      </c>
      <c r="P11">
        <v>106</v>
      </c>
      <c r="Q11">
        <v>106</v>
      </c>
      <c r="R11">
        <v>105</v>
      </c>
      <c r="S11">
        <v>104</v>
      </c>
      <c r="T11">
        <v>103</v>
      </c>
      <c r="U11">
        <v>103</v>
      </c>
      <c r="V11">
        <v>100</v>
      </c>
      <c r="W11">
        <v>99</v>
      </c>
      <c r="X11">
        <v>98</v>
      </c>
      <c r="Y11">
        <v>98</v>
      </c>
      <c r="Z11" s="2">
        <f>AVERAGE(Sheet1__4[[#This Row],[00:00:00]:[23:00:00]])</f>
        <v>105.5</v>
      </c>
      <c r="AA11" t="str" cm="1">
        <f t="array" ref="AA1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2" spans="1:27" x14ac:dyDescent="0.3">
      <c r="A12" s="1">
        <v>45758</v>
      </c>
      <c r="B12">
        <v>98</v>
      </c>
      <c r="C12">
        <v>97</v>
      </c>
      <c r="D12">
        <v>96</v>
      </c>
      <c r="E12">
        <v>96</v>
      </c>
      <c r="G12">
        <v>94</v>
      </c>
      <c r="H12">
        <v>93</v>
      </c>
      <c r="I12">
        <v>92</v>
      </c>
      <c r="J12">
        <v>91</v>
      </c>
      <c r="K12">
        <v>90</v>
      </c>
      <c r="L12">
        <v>90</v>
      </c>
      <c r="M12">
        <v>90</v>
      </c>
      <c r="N12">
        <v>89</v>
      </c>
      <c r="O12">
        <v>90</v>
      </c>
      <c r="P12">
        <v>90</v>
      </c>
      <c r="Q12">
        <v>91</v>
      </c>
      <c r="R12">
        <v>93</v>
      </c>
      <c r="S12">
        <v>94</v>
      </c>
      <c r="T12">
        <v>95</v>
      </c>
      <c r="U12">
        <v>96</v>
      </c>
      <c r="V12">
        <v>96</v>
      </c>
      <c r="W12">
        <v>100</v>
      </c>
      <c r="X12">
        <v>102</v>
      </c>
      <c r="Y12">
        <v>103</v>
      </c>
      <c r="Z12" s="2">
        <f>AVERAGE(Sheet1__4[[#This Row],[00:00:00]:[23:00:00]])</f>
        <v>94.173913043478265</v>
      </c>
      <c r="AA12" t="str" cm="1">
        <f t="array" ref="AA1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3" spans="1:27" x14ac:dyDescent="0.3">
      <c r="A13" s="1">
        <v>45759</v>
      </c>
      <c r="B13">
        <v>103</v>
      </c>
      <c r="C13">
        <v>104</v>
      </c>
      <c r="D13">
        <v>103</v>
      </c>
      <c r="E13">
        <v>104</v>
      </c>
      <c r="F13">
        <v>104</v>
      </c>
      <c r="G13">
        <v>106</v>
      </c>
      <c r="H13">
        <v>108</v>
      </c>
      <c r="I13">
        <v>108</v>
      </c>
      <c r="J13">
        <v>107</v>
      </c>
      <c r="K13">
        <v>106</v>
      </c>
      <c r="L13">
        <v>105</v>
      </c>
      <c r="M13">
        <v>104</v>
      </c>
      <c r="N13">
        <v>103</v>
      </c>
      <c r="O13">
        <v>102</v>
      </c>
      <c r="P13">
        <v>101</v>
      </c>
      <c r="Q13">
        <v>99</v>
      </c>
      <c r="R13">
        <v>98</v>
      </c>
      <c r="S13">
        <v>96</v>
      </c>
      <c r="T13">
        <v>95</v>
      </c>
      <c r="U13">
        <v>99</v>
      </c>
      <c r="V13">
        <v>98</v>
      </c>
      <c r="W13">
        <v>90</v>
      </c>
      <c r="X13">
        <v>82</v>
      </c>
      <c r="Y13">
        <v>82</v>
      </c>
      <c r="Z13" s="2">
        <f>AVERAGE(Sheet1__4[[#This Row],[00:00:00]:[23:00:00]])</f>
        <v>100.29166666666667</v>
      </c>
      <c r="AA13" t="str" cm="1">
        <f t="array" ref="AA1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14" spans="1:27" x14ac:dyDescent="0.3">
      <c r="A14" s="1">
        <v>45760</v>
      </c>
      <c r="B14">
        <v>82</v>
      </c>
      <c r="C14">
        <v>82</v>
      </c>
      <c r="D14">
        <v>82</v>
      </c>
      <c r="E14">
        <v>81</v>
      </c>
      <c r="F14">
        <v>82</v>
      </c>
      <c r="G14">
        <v>82</v>
      </c>
      <c r="H14">
        <v>81</v>
      </c>
      <c r="I14">
        <v>81</v>
      </c>
      <c r="J14">
        <v>81</v>
      </c>
      <c r="K14">
        <v>81</v>
      </c>
      <c r="L14">
        <v>81</v>
      </c>
      <c r="M14">
        <v>81</v>
      </c>
      <c r="N14">
        <v>80</v>
      </c>
      <c r="O14">
        <v>81</v>
      </c>
      <c r="P14">
        <v>82</v>
      </c>
      <c r="Q14">
        <v>82</v>
      </c>
      <c r="R14">
        <v>82</v>
      </c>
      <c r="S14">
        <v>81</v>
      </c>
      <c r="T14">
        <v>81</v>
      </c>
      <c r="U14">
        <v>80</v>
      </c>
      <c r="V14">
        <v>80</v>
      </c>
      <c r="W14">
        <v>79</v>
      </c>
      <c r="X14">
        <v>79</v>
      </c>
      <c r="Y14">
        <v>79</v>
      </c>
      <c r="Z14" s="2">
        <f>AVERAGE(Sheet1__4[[#This Row],[00:00:00]:[23:00:00]])</f>
        <v>80.958333333333329</v>
      </c>
      <c r="AA14" t="str" cm="1">
        <f t="array" ref="AA1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5" spans="1:27" x14ac:dyDescent="0.3">
      <c r="A15" s="1">
        <v>45761</v>
      </c>
      <c r="B15">
        <v>79</v>
      </c>
      <c r="C15">
        <v>79</v>
      </c>
      <c r="D15">
        <v>80</v>
      </c>
      <c r="E15">
        <v>80</v>
      </c>
      <c r="F15">
        <v>80</v>
      </c>
      <c r="G15">
        <v>80</v>
      </c>
      <c r="H15">
        <v>80</v>
      </c>
      <c r="I15">
        <v>81</v>
      </c>
      <c r="J15">
        <v>80</v>
      </c>
      <c r="K15">
        <v>81</v>
      </c>
      <c r="L15">
        <v>81</v>
      </c>
      <c r="M15">
        <v>82</v>
      </c>
      <c r="N15">
        <v>82</v>
      </c>
      <c r="O15">
        <v>81</v>
      </c>
      <c r="P15">
        <v>80</v>
      </c>
      <c r="Q15">
        <v>80</v>
      </c>
      <c r="R15">
        <v>79</v>
      </c>
      <c r="S15">
        <v>77</v>
      </c>
      <c r="T15">
        <v>77</v>
      </c>
      <c r="U15">
        <v>77</v>
      </c>
      <c r="V15">
        <v>78</v>
      </c>
      <c r="W15">
        <v>77</v>
      </c>
      <c r="X15">
        <v>78</v>
      </c>
      <c r="Y15">
        <v>78</v>
      </c>
      <c r="Z15" s="2">
        <f>AVERAGE(Sheet1__4[[#This Row],[00:00:00]:[23:00:00]])</f>
        <v>79.458333333333329</v>
      </c>
      <c r="AA15" t="str" cm="1">
        <f t="array" ref="AA1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6" spans="1:27" x14ac:dyDescent="0.3">
      <c r="A16" s="1">
        <v>45762</v>
      </c>
      <c r="B16">
        <v>78</v>
      </c>
      <c r="C16">
        <v>78</v>
      </c>
      <c r="D16">
        <v>78</v>
      </c>
      <c r="E16">
        <v>77</v>
      </c>
      <c r="F16">
        <v>76</v>
      </c>
      <c r="G16">
        <v>75</v>
      </c>
      <c r="H16">
        <v>78</v>
      </c>
      <c r="I16">
        <v>77</v>
      </c>
      <c r="J16">
        <v>77</v>
      </c>
      <c r="K16">
        <v>76</v>
      </c>
      <c r="L16">
        <v>76</v>
      </c>
      <c r="M16">
        <v>77</v>
      </c>
      <c r="N16">
        <v>78</v>
      </c>
      <c r="O16">
        <v>80</v>
      </c>
      <c r="P16">
        <v>81</v>
      </c>
      <c r="Q16">
        <v>82</v>
      </c>
      <c r="R16">
        <v>83</v>
      </c>
      <c r="S16">
        <v>84</v>
      </c>
      <c r="T16">
        <v>85</v>
      </c>
      <c r="U16">
        <v>86</v>
      </c>
      <c r="V16">
        <v>87</v>
      </c>
      <c r="W16">
        <v>87</v>
      </c>
      <c r="X16">
        <v>88</v>
      </c>
      <c r="Y16">
        <v>89</v>
      </c>
      <c r="Z16" s="2">
        <f>AVERAGE(Sheet1__4[[#This Row],[00:00:00]:[23:00:00]])</f>
        <v>80.541666666666671</v>
      </c>
      <c r="AA16" t="str" cm="1">
        <f t="array" ref="AA1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7" spans="1:27" x14ac:dyDescent="0.3">
      <c r="A17" s="1">
        <v>45763</v>
      </c>
      <c r="B17">
        <v>85</v>
      </c>
      <c r="C17">
        <v>85</v>
      </c>
      <c r="D17">
        <v>85</v>
      </c>
      <c r="E17">
        <v>86</v>
      </c>
      <c r="F17">
        <v>86</v>
      </c>
      <c r="G17">
        <v>87</v>
      </c>
      <c r="H17">
        <v>87</v>
      </c>
      <c r="I17">
        <v>88</v>
      </c>
      <c r="J17">
        <v>90</v>
      </c>
      <c r="K17">
        <v>92</v>
      </c>
      <c r="L17">
        <v>93</v>
      </c>
      <c r="M17">
        <v>94</v>
      </c>
      <c r="N17">
        <v>96</v>
      </c>
      <c r="O17">
        <v>96</v>
      </c>
      <c r="P17">
        <v>96</v>
      </c>
      <c r="Q17">
        <v>96</v>
      </c>
      <c r="R17">
        <v>96</v>
      </c>
      <c r="S17">
        <v>95</v>
      </c>
      <c r="T17">
        <v>96</v>
      </c>
      <c r="U17">
        <v>96</v>
      </c>
      <c r="V17">
        <v>96</v>
      </c>
      <c r="W17">
        <v>96</v>
      </c>
      <c r="X17">
        <v>97</v>
      </c>
      <c r="Y17">
        <v>97</v>
      </c>
      <c r="Z17" s="2">
        <f>AVERAGE(Sheet1__4[[#This Row],[00:00:00]:[23:00:00]])</f>
        <v>92.125</v>
      </c>
      <c r="AA17" t="str" cm="1">
        <f t="array" ref="AA1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8" spans="1:27" x14ac:dyDescent="0.3">
      <c r="A18" s="1">
        <v>45764</v>
      </c>
      <c r="B18">
        <v>98</v>
      </c>
      <c r="C18">
        <v>98</v>
      </c>
      <c r="D18">
        <v>99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99</v>
      </c>
      <c r="K18">
        <v>97</v>
      </c>
      <c r="L18">
        <v>96</v>
      </c>
      <c r="M18">
        <v>95</v>
      </c>
      <c r="N18">
        <v>95</v>
      </c>
      <c r="O18">
        <v>95</v>
      </c>
      <c r="P18">
        <v>95</v>
      </c>
      <c r="Q18">
        <v>95</v>
      </c>
      <c r="R18">
        <v>94</v>
      </c>
      <c r="S18">
        <v>94</v>
      </c>
      <c r="T18">
        <v>94</v>
      </c>
      <c r="U18">
        <v>93</v>
      </c>
      <c r="V18">
        <v>92</v>
      </c>
      <c r="W18">
        <v>90</v>
      </c>
      <c r="X18">
        <v>90</v>
      </c>
      <c r="Y18">
        <v>89</v>
      </c>
      <c r="Z18" s="2">
        <f>AVERAGE(Sheet1__4[[#This Row],[00:00:00]:[23:00:00]])</f>
        <v>95.75</v>
      </c>
      <c r="AA18" t="str" cm="1">
        <f t="array" ref="AA1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19" spans="1:27" x14ac:dyDescent="0.3">
      <c r="A19" s="1">
        <v>45765</v>
      </c>
      <c r="B19">
        <v>89</v>
      </c>
      <c r="C19">
        <v>88</v>
      </c>
      <c r="D19">
        <v>88</v>
      </c>
      <c r="E19">
        <v>87</v>
      </c>
      <c r="F19">
        <v>86</v>
      </c>
      <c r="G19">
        <v>86</v>
      </c>
      <c r="H19">
        <v>86</v>
      </c>
      <c r="I19">
        <v>86</v>
      </c>
      <c r="J19">
        <v>85</v>
      </c>
      <c r="K19">
        <v>84</v>
      </c>
      <c r="L19">
        <v>83</v>
      </c>
      <c r="M19">
        <v>81</v>
      </c>
      <c r="N19">
        <v>79</v>
      </c>
      <c r="O19">
        <v>78</v>
      </c>
      <c r="P19">
        <v>77</v>
      </c>
      <c r="Q19">
        <v>77</v>
      </c>
      <c r="R19">
        <v>77</v>
      </c>
      <c r="S19">
        <v>76</v>
      </c>
      <c r="T19">
        <v>76</v>
      </c>
      <c r="U19">
        <v>77</v>
      </c>
      <c r="V19">
        <v>79</v>
      </c>
      <c r="W19">
        <v>80</v>
      </c>
      <c r="X19">
        <v>80</v>
      </c>
      <c r="Y19">
        <v>78</v>
      </c>
      <c r="Z19" s="2">
        <f>AVERAGE(Sheet1__4[[#This Row],[00:00:00]:[23:00:00]])</f>
        <v>81.791666666666671</v>
      </c>
      <c r="AA19" t="str" cm="1">
        <f t="array" ref="AA1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0" spans="1:27" x14ac:dyDescent="0.3">
      <c r="A20" s="1">
        <v>45766</v>
      </c>
      <c r="B20">
        <v>77</v>
      </c>
      <c r="C20">
        <v>76</v>
      </c>
      <c r="D20">
        <v>76</v>
      </c>
      <c r="E20">
        <v>76</v>
      </c>
      <c r="F20">
        <v>75</v>
      </c>
      <c r="G20">
        <v>75</v>
      </c>
      <c r="H20">
        <v>74</v>
      </c>
      <c r="I20">
        <v>74</v>
      </c>
      <c r="J20">
        <v>73</v>
      </c>
      <c r="K20">
        <v>73</v>
      </c>
      <c r="L20">
        <v>73</v>
      </c>
      <c r="M20">
        <v>73</v>
      </c>
      <c r="N20">
        <v>74</v>
      </c>
      <c r="O20">
        <v>74</v>
      </c>
      <c r="P20">
        <v>75</v>
      </c>
      <c r="Q20">
        <v>76</v>
      </c>
      <c r="R20">
        <v>80</v>
      </c>
      <c r="S20">
        <v>81</v>
      </c>
      <c r="T20">
        <v>82</v>
      </c>
      <c r="U20">
        <v>82</v>
      </c>
      <c r="V20">
        <v>82</v>
      </c>
      <c r="W20">
        <v>80</v>
      </c>
      <c r="X20">
        <v>80</v>
      </c>
      <c r="Y20">
        <v>78</v>
      </c>
      <c r="Z20" s="2">
        <f>AVERAGE(Sheet1__4[[#This Row],[00:00:00]:[23:00:00]])</f>
        <v>76.625</v>
      </c>
      <c r="AA20" t="str" cm="1">
        <f t="array" ref="AA2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1" spans="1:27" x14ac:dyDescent="0.3">
      <c r="A21" s="1">
        <v>45767</v>
      </c>
      <c r="B21">
        <v>76</v>
      </c>
      <c r="C21">
        <v>76</v>
      </c>
      <c r="D21">
        <v>77</v>
      </c>
      <c r="E21">
        <v>78</v>
      </c>
      <c r="F21">
        <v>79</v>
      </c>
      <c r="G21">
        <v>81</v>
      </c>
      <c r="H21">
        <v>82</v>
      </c>
      <c r="I21">
        <v>84</v>
      </c>
      <c r="J21">
        <v>86</v>
      </c>
      <c r="K21">
        <v>87</v>
      </c>
      <c r="L21">
        <v>89</v>
      </c>
      <c r="M21">
        <v>91</v>
      </c>
      <c r="N21">
        <v>92</v>
      </c>
      <c r="O21">
        <v>93</v>
      </c>
      <c r="P21">
        <v>94</v>
      </c>
      <c r="Q21">
        <v>95</v>
      </c>
      <c r="R21">
        <v>96</v>
      </c>
      <c r="S21">
        <v>97</v>
      </c>
      <c r="T21">
        <v>98</v>
      </c>
      <c r="U21">
        <v>100</v>
      </c>
      <c r="V21">
        <v>102</v>
      </c>
      <c r="W21">
        <v>105</v>
      </c>
      <c r="X21">
        <v>107</v>
      </c>
      <c r="Y21">
        <v>109</v>
      </c>
      <c r="Z21" s="2">
        <f>AVERAGE(Sheet1__4[[#This Row],[00:00:00]:[23:00:00]])</f>
        <v>90.583333333333329</v>
      </c>
      <c r="AA21" t="str" cm="1">
        <f t="array" ref="AA2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2" spans="1:27" x14ac:dyDescent="0.3">
      <c r="A22" s="1">
        <v>45768</v>
      </c>
      <c r="B22">
        <v>112</v>
      </c>
      <c r="C22">
        <v>114</v>
      </c>
      <c r="D22">
        <v>115</v>
      </c>
      <c r="E22">
        <v>116</v>
      </c>
      <c r="F22">
        <v>116</v>
      </c>
      <c r="G22">
        <v>115</v>
      </c>
      <c r="H22">
        <v>115</v>
      </c>
      <c r="I22">
        <v>114</v>
      </c>
      <c r="J22">
        <v>114</v>
      </c>
      <c r="K22">
        <v>114</v>
      </c>
      <c r="L22">
        <v>117</v>
      </c>
      <c r="M22">
        <v>118</v>
      </c>
      <c r="N22">
        <v>118</v>
      </c>
      <c r="O22">
        <v>117</v>
      </c>
      <c r="P22">
        <v>116</v>
      </c>
      <c r="Q22">
        <v>115</v>
      </c>
      <c r="R22">
        <v>114</v>
      </c>
      <c r="S22">
        <v>113</v>
      </c>
      <c r="T22">
        <v>112</v>
      </c>
      <c r="U22">
        <v>112</v>
      </c>
      <c r="V22">
        <v>112</v>
      </c>
      <c r="W22">
        <v>111</v>
      </c>
      <c r="X22">
        <v>110</v>
      </c>
      <c r="Y22">
        <v>108</v>
      </c>
      <c r="Z22" s="2">
        <f>AVERAGE(Sheet1__4[[#This Row],[00:00:00]:[23:00:00]])</f>
        <v>114.08333333333333</v>
      </c>
      <c r="AA22" t="str" cm="1">
        <f t="array" ref="AA22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3" spans="1:27" x14ac:dyDescent="0.3">
      <c r="A23" s="1">
        <v>45769</v>
      </c>
      <c r="B23">
        <v>107</v>
      </c>
      <c r="C23">
        <v>106</v>
      </c>
      <c r="D23">
        <v>105</v>
      </c>
      <c r="E23">
        <v>105</v>
      </c>
      <c r="F23">
        <v>106</v>
      </c>
      <c r="G23">
        <v>106</v>
      </c>
      <c r="H23">
        <v>107</v>
      </c>
      <c r="I23">
        <v>109</v>
      </c>
      <c r="J23">
        <v>110</v>
      </c>
      <c r="K23">
        <v>110</v>
      </c>
      <c r="L23">
        <v>108</v>
      </c>
      <c r="M23">
        <v>108</v>
      </c>
      <c r="N23">
        <v>109</v>
      </c>
      <c r="O23">
        <v>110</v>
      </c>
      <c r="P23">
        <v>110</v>
      </c>
      <c r="Q23">
        <v>112</v>
      </c>
      <c r="R23">
        <v>112</v>
      </c>
      <c r="S23">
        <v>113</v>
      </c>
      <c r="T23">
        <v>114</v>
      </c>
      <c r="U23">
        <v>114</v>
      </c>
      <c r="V23">
        <v>114</v>
      </c>
      <c r="W23">
        <v>114</v>
      </c>
      <c r="X23">
        <v>114</v>
      </c>
      <c r="Y23">
        <v>114</v>
      </c>
      <c r="Z23" s="2">
        <f>AVERAGE(Sheet1__4[[#This Row],[00:00:00]:[23:00:00]])</f>
        <v>109.875</v>
      </c>
      <c r="AA23" t="str" cm="1">
        <f t="array" ref="AA23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4" spans="1:27" x14ac:dyDescent="0.3">
      <c r="A24" s="1">
        <v>45770</v>
      </c>
      <c r="B24">
        <v>114</v>
      </c>
      <c r="C24">
        <v>115</v>
      </c>
      <c r="D24">
        <v>116</v>
      </c>
      <c r="G24">
        <v>117</v>
      </c>
      <c r="H24">
        <v>117</v>
      </c>
      <c r="I24">
        <v>117</v>
      </c>
      <c r="J24">
        <v>117</v>
      </c>
      <c r="K24">
        <v>118</v>
      </c>
      <c r="L24">
        <v>118</v>
      </c>
      <c r="M24">
        <v>117</v>
      </c>
      <c r="N24">
        <v>117</v>
      </c>
      <c r="O24">
        <v>117</v>
      </c>
      <c r="P24">
        <v>117</v>
      </c>
      <c r="Q24">
        <v>116</v>
      </c>
      <c r="R24">
        <v>116</v>
      </c>
      <c r="S24">
        <v>116</v>
      </c>
      <c r="T24">
        <v>116</v>
      </c>
      <c r="U24">
        <v>117</v>
      </c>
      <c r="V24">
        <v>116</v>
      </c>
      <c r="W24">
        <v>116</v>
      </c>
      <c r="X24">
        <v>116</v>
      </c>
      <c r="Y24">
        <v>115</v>
      </c>
      <c r="Z24" s="2">
        <f>AVERAGE(Sheet1__4[[#This Row],[00:00:00]:[23:00:00]])</f>
        <v>116.40909090909091</v>
      </c>
      <c r="AA24" t="str" cm="1">
        <f t="array" ref="AA24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5" spans="1:27" x14ac:dyDescent="0.3">
      <c r="A25" s="1">
        <v>45771</v>
      </c>
      <c r="B25">
        <v>115</v>
      </c>
      <c r="C25">
        <v>114</v>
      </c>
      <c r="D25">
        <v>114</v>
      </c>
      <c r="E25">
        <v>114</v>
      </c>
      <c r="F25">
        <v>114</v>
      </c>
      <c r="G25">
        <v>114</v>
      </c>
      <c r="H25">
        <v>114</v>
      </c>
      <c r="I25">
        <v>114</v>
      </c>
      <c r="J25">
        <v>113</v>
      </c>
      <c r="K25">
        <v>113</v>
      </c>
      <c r="L25">
        <v>112</v>
      </c>
      <c r="M25">
        <v>112</v>
      </c>
      <c r="N25">
        <v>111</v>
      </c>
      <c r="O25">
        <v>110</v>
      </c>
      <c r="P25">
        <v>110</v>
      </c>
      <c r="Q25">
        <v>110</v>
      </c>
      <c r="R25">
        <v>111</v>
      </c>
      <c r="S25">
        <v>111</v>
      </c>
      <c r="U25">
        <v>111</v>
      </c>
      <c r="V25">
        <v>111</v>
      </c>
      <c r="W25">
        <v>111</v>
      </c>
      <c r="X25">
        <v>111</v>
      </c>
      <c r="Y25">
        <v>110</v>
      </c>
      <c r="Z25" s="2">
        <f>AVERAGE(Sheet1__4[[#This Row],[00:00:00]:[23:00:00]])</f>
        <v>112.17391304347827</v>
      </c>
      <c r="AA25" t="str" cm="1">
        <f t="array" ref="AA25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26" spans="1:27" x14ac:dyDescent="0.3">
      <c r="A26" s="1">
        <v>45772</v>
      </c>
      <c r="B26">
        <v>108</v>
      </c>
      <c r="C26">
        <v>107</v>
      </c>
      <c r="D26">
        <v>107</v>
      </c>
      <c r="E26">
        <v>106</v>
      </c>
      <c r="F26">
        <v>104</v>
      </c>
      <c r="G26">
        <v>103</v>
      </c>
      <c r="H26">
        <v>102</v>
      </c>
      <c r="I26">
        <v>101</v>
      </c>
      <c r="J26">
        <v>100</v>
      </c>
      <c r="K26">
        <v>98</v>
      </c>
      <c r="L26">
        <v>97</v>
      </c>
      <c r="M26">
        <v>96</v>
      </c>
      <c r="N26">
        <v>95</v>
      </c>
      <c r="O26">
        <v>94</v>
      </c>
      <c r="P26">
        <v>94</v>
      </c>
      <c r="Q26">
        <v>94</v>
      </c>
      <c r="R26">
        <v>94</v>
      </c>
      <c r="S26">
        <v>95</v>
      </c>
      <c r="T26">
        <v>96</v>
      </c>
      <c r="U26">
        <v>97</v>
      </c>
      <c r="V26">
        <v>97</v>
      </c>
      <c r="W26">
        <v>97</v>
      </c>
      <c r="X26">
        <v>98</v>
      </c>
      <c r="Y26">
        <v>97</v>
      </c>
      <c r="Z26" s="2">
        <f>AVERAGE(Sheet1__4[[#This Row],[00:00:00]:[23:00:00]])</f>
        <v>99.041666666666671</v>
      </c>
      <c r="AA26" t="str" cm="1">
        <f t="array" ref="AA26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7" spans="1:27" x14ac:dyDescent="0.3">
      <c r="A27" s="1">
        <v>45773</v>
      </c>
      <c r="B27">
        <v>97</v>
      </c>
      <c r="C27">
        <v>96</v>
      </c>
      <c r="D27">
        <v>96</v>
      </c>
      <c r="E27">
        <v>96</v>
      </c>
      <c r="F27">
        <v>94</v>
      </c>
      <c r="G27">
        <v>94</v>
      </c>
      <c r="H27">
        <v>93</v>
      </c>
      <c r="I27">
        <v>93</v>
      </c>
      <c r="J27">
        <v>93</v>
      </c>
      <c r="K27">
        <v>93</v>
      </c>
      <c r="L27">
        <v>94</v>
      </c>
      <c r="M27">
        <v>94</v>
      </c>
      <c r="N27">
        <v>94</v>
      </c>
      <c r="O27">
        <v>94</v>
      </c>
      <c r="P27">
        <v>94</v>
      </c>
      <c r="Q27">
        <v>92</v>
      </c>
      <c r="R27">
        <v>90</v>
      </c>
      <c r="S27">
        <v>89</v>
      </c>
      <c r="T27">
        <v>87</v>
      </c>
      <c r="U27">
        <v>87</v>
      </c>
      <c r="V27">
        <v>86</v>
      </c>
      <c r="W27">
        <v>86</v>
      </c>
      <c r="X27">
        <v>85</v>
      </c>
      <c r="Y27">
        <v>86</v>
      </c>
      <c r="Z27" s="2">
        <f>AVERAGE(Sheet1__4[[#This Row],[00:00:00]:[23:00:00]])</f>
        <v>91.791666666666671</v>
      </c>
      <c r="AA27" t="str" cm="1">
        <f t="array" ref="AA27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8" spans="1:27" x14ac:dyDescent="0.3">
      <c r="A28" s="1">
        <v>45774</v>
      </c>
      <c r="B28">
        <v>86</v>
      </c>
      <c r="C28">
        <v>87</v>
      </c>
      <c r="D28">
        <v>88</v>
      </c>
      <c r="E28">
        <v>88</v>
      </c>
      <c r="F28">
        <v>90</v>
      </c>
      <c r="G28">
        <v>90</v>
      </c>
      <c r="H28">
        <v>91</v>
      </c>
      <c r="I28">
        <v>91</v>
      </c>
      <c r="J28">
        <v>91</v>
      </c>
      <c r="K28">
        <v>90</v>
      </c>
      <c r="L28">
        <v>90</v>
      </c>
      <c r="M28">
        <v>90</v>
      </c>
      <c r="N28">
        <v>90</v>
      </c>
      <c r="O28">
        <v>90</v>
      </c>
      <c r="P28">
        <v>90</v>
      </c>
      <c r="Q28">
        <v>89</v>
      </c>
      <c r="R28">
        <v>89</v>
      </c>
      <c r="S28">
        <v>88</v>
      </c>
      <c r="T28">
        <v>88</v>
      </c>
      <c r="U28">
        <v>88</v>
      </c>
      <c r="V28">
        <v>88</v>
      </c>
      <c r="W28">
        <v>88</v>
      </c>
      <c r="X28">
        <v>88</v>
      </c>
      <c r="Y28">
        <v>88</v>
      </c>
      <c r="Z28" s="2">
        <f>AVERAGE(Sheet1__4[[#This Row],[00:00:00]:[23:00:00]])</f>
        <v>89</v>
      </c>
      <c r="AA28" t="str" cm="1">
        <f t="array" ref="AA28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29" spans="1:27" x14ac:dyDescent="0.3">
      <c r="A29" s="1">
        <v>45775</v>
      </c>
      <c r="B29">
        <v>88</v>
      </c>
      <c r="C29">
        <v>88</v>
      </c>
      <c r="D29">
        <v>88</v>
      </c>
      <c r="E29">
        <v>88</v>
      </c>
      <c r="F29">
        <v>88</v>
      </c>
      <c r="G29">
        <v>88</v>
      </c>
      <c r="H29">
        <v>89</v>
      </c>
      <c r="I29">
        <v>90</v>
      </c>
      <c r="J29">
        <v>90</v>
      </c>
      <c r="K29">
        <v>92</v>
      </c>
      <c r="L29">
        <v>92</v>
      </c>
      <c r="M29">
        <v>93</v>
      </c>
      <c r="N29">
        <v>94</v>
      </c>
      <c r="O29">
        <v>96</v>
      </c>
      <c r="P29">
        <v>98</v>
      </c>
      <c r="Q29">
        <v>99</v>
      </c>
      <c r="R29">
        <v>101</v>
      </c>
      <c r="S29">
        <v>102</v>
      </c>
      <c r="T29">
        <v>103</v>
      </c>
      <c r="U29">
        <v>105</v>
      </c>
      <c r="V29">
        <v>105</v>
      </c>
      <c r="W29">
        <v>107</v>
      </c>
      <c r="X29">
        <v>108</v>
      </c>
      <c r="Y29">
        <v>108</v>
      </c>
      <c r="Z29" s="2">
        <f>AVERAGE(Sheet1__4[[#This Row],[00:00:00]:[23:00:00]])</f>
        <v>95.833333333333329</v>
      </c>
      <c r="AA29" t="str" cm="1">
        <f t="array" ref="AA29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0" spans="1:27" x14ac:dyDescent="0.3">
      <c r="A30" s="1">
        <v>45776</v>
      </c>
      <c r="B30">
        <v>108</v>
      </c>
      <c r="C30">
        <v>109</v>
      </c>
      <c r="D30">
        <v>109</v>
      </c>
      <c r="E30">
        <v>109</v>
      </c>
      <c r="F30">
        <v>110</v>
      </c>
      <c r="G30">
        <v>111</v>
      </c>
      <c r="H30">
        <v>112</v>
      </c>
      <c r="I30">
        <v>112</v>
      </c>
      <c r="J30">
        <v>112</v>
      </c>
      <c r="K30">
        <v>112</v>
      </c>
      <c r="L30">
        <v>112</v>
      </c>
      <c r="M30">
        <v>111</v>
      </c>
      <c r="N30">
        <v>110</v>
      </c>
      <c r="O30">
        <v>108</v>
      </c>
      <c r="P30">
        <v>108</v>
      </c>
      <c r="Q30">
        <v>108</v>
      </c>
      <c r="R30">
        <v>106</v>
      </c>
      <c r="S30">
        <v>107</v>
      </c>
      <c r="T30">
        <v>107</v>
      </c>
      <c r="U30">
        <v>107</v>
      </c>
      <c r="V30">
        <v>106</v>
      </c>
      <c r="W30">
        <v>106</v>
      </c>
      <c r="X30">
        <v>106</v>
      </c>
      <c r="Y30">
        <v>105</v>
      </c>
      <c r="Z30" s="2">
        <f>AVERAGE(Sheet1__4[[#This Row],[00:00:00]:[23:00:00]])</f>
        <v>108.79166666666667</v>
      </c>
      <c r="AA30" t="str" cm="1">
        <f t="array" ref="AA30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BAD</v>
      </c>
    </row>
    <row r="31" spans="1:27" x14ac:dyDescent="0.3">
      <c r="A31" s="1">
        <v>45777</v>
      </c>
      <c r="B31">
        <v>104</v>
      </c>
      <c r="C31">
        <v>104</v>
      </c>
      <c r="D31">
        <v>104</v>
      </c>
      <c r="E31">
        <v>104</v>
      </c>
      <c r="F31">
        <v>103</v>
      </c>
      <c r="G31">
        <v>102</v>
      </c>
      <c r="H31">
        <v>100</v>
      </c>
      <c r="I31">
        <v>99</v>
      </c>
      <c r="J31">
        <v>97</v>
      </c>
      <c r="K31">
        <v>96</v>
      </c>
      <c r="L31">
        <v>95</v>
      </c>
      <c r="M31">
        <v>94</v>
      </c>
      <c r="N31">
        <v>94</v>
      </c>
      <c r="O31">
        <v>93</v>
      </c>
      <c r="P31">
        <v>92</v>
      </c>
      <c r="Q31">
        <v>92</v>
      </c>
      <c r="R31">
        <v>91</v>
      </c>
      <c r="S31">
        <v>90</v>
      </c>
      <c r="T31">
        <v>90</v>
      </c>
      <c r="U31">
        <v>89</v>
      </c>
      <c r="V31">
        <v>88</v>
      </c>
      <c r="W31">
        <v>88</v>
      </c>
      <c r="X31">
        <v>88</v>
      </c>
      <c r="Y31">
        <v>88</v>
      </c>
      <c r="Z31" s="2">
        <f>AVERAGE(Sheet1__4[[#This Row],[00:00:00]:[23:00:00]])</f>
        <v>95.208333333333329</v>
      </c>
      <c r="AA31" t="str" cm="1">
        <f t="array" ref="AA31">_xlfn.IFS(Sheet1__4[[#This Row],[AVERAGE AQI]]&lt;50,"GOOD",Sheet1__4[[#This Row],[AVERAGE AQI]]&lt;=100,"MODERATE",Sheet1__4[[#This Row],[AVERAGE AQI]]&lt;=150,"BAD",Sheet1__4[[#This Row],[AVERAGE AQI]]&lt;=200,"VERY BAD",Sheet1__4[[#This Row],[AVERAGE AQI]]&lt;=300,"HAZARDOUS")</f>
        <v>MODERATE</v>
      </c>
    </row>
    <row r="32" spans="1:27" x14ac:dyDescent="0.3">
      <c r="Z32" s="2">
        <f>AVERAGE(Sheet1__4[AVERAGE AQI])</f>
        <v>102.4477547211243</v>
      </c>
      <c r="AA32" s="3"/>
    </row>
  </sheetData>
  <conditionalFormatting sqref="AA1:AA1048576">
    <cfRule type="containsText" dxfId="33" priority="1" operator="containsText" text="MODERATE">
      <formula>NOT(ISERROR(SEARCH("MODERATE",AA1)))</formula>
    </cfRule>
    <cfRule type="containsText" dxfId="32" priority="2" operator="containsText" text="BAD">
      <formula>NOT(ISERROR(SEARCH("BAD",AA1)))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C5DCC-7247-49B1-8EFD-65F7A9ADEE92}">
  <dimension ref="A1:AA33"/>
  <sheetViews>
    <sheetView topLeftCell="A8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45778</v>
      </c>
      <c r="B2">
        <v>88</v>
      </c>
      <c r="C2">
        <v>88</v>
      </c>
      <c r="D2">
        <v>88</v>
      </c>
      <c r="E2">
        <v>87</v>
      </c>
      <c r="F2">
        <v>87</v>
      </c>
      <c r="G2">
        <v>87</v>
      </c>
      <c r="H2">
        <v>88</v>
      </c>
      <c r="I2">
        <v>89</v>
      </c>
      <c r="J2">
        <v>90</v>
      </c>
      <c r="K2">
        <v>90</v>
      </c>
      <c r="L2">
        <v>90</v>
      </c>
      <c r="M2">
        <v>93</v>
      </c>
      <c r="N2">
        <v>92</v>
      </c>
      <c r="O2">
        <v>91</v>
      </c>
      <c r="P2">
        <v>90</v>
      </c>
      <c r="Q2">
        <v>89</v>
      </c>
      <c r="R2">
        <v>87</v>
      </c>
      <c r="S2">
        <v>86</v>
      </c>
      <c r="T2">
        <v>84</v>
      </c>
      <c r="U2">
        <v>84</v>
      </c>
      <c r="V2">
        <v>83</v>
      </c>
      <c r="W2">
        <v>82</v>
      </c>
      <c r="X2">
        <v>81</v>
      </c>
      <c r="Y2">
        <v>80</v>
      </c>
      <c r="Z2" s="2">
        <f>AVERAGE(Sheet1__5[[#This Row],[00:00:00]:[23:00:00]])</f>
        <v>87.25</v>
      </c>
      <c r="AA2" t="str" cm="1">
        <f t="array" ref="AA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" spans="1:27" x14ac:dyDescent="0.3">
      <c r="A3" s="1">
        <v>45779</v>
      </c>
      <c r="B3">
        <v>79</v>
      </c>
      <c r="C3">
        <v>78</v>
      </c>
      <c r="D3">
        <v>77</v>
      </c>
      <c r="E3">
        <v>76</v>
      </c>
      <c r="F3">
        <v>75</v>
      </c>
      <c r="G3">
        <v>74</v>
      </c>
      <c r="H3">
        <v>72</v>
      </c>
      <c r="I3">
        <v>72</v>
      </c>
      <c r="J3">
        <v>70</v>
      </c>
      <c r="K3">
        <v>70</v>
      </c>
      <c r="L3">
        <v>69</v>
      </c>
      <c r="M3">
        <v>69</v>
      </c>
      <c r="N3">
        <v>69</v>
      </c>
      <c r="O3">
        <v>70</v>
      </c>
      <c r="P3">
        <v>71</v>
      </c>
      <c r="Q3">
        <v>71</v>
      </c>
      <c r="R3">
        <v>72</v>
      </c>
      <c r="S3">
        <v>73</v>
      </c>
      <c r="T3">
        <v>75</v>
      </c>
      <c r="U3">
        <v>76</v>
      </c>
      <c r="V3">
        <v>76</v>
      </c>
      <c r="W3">
        <v>76</v>
      </c>
      <c r="X3">
        <v>76</v>
      </c>
      <c r="Y3">
        <v>76</v>
      </c>
      <c r="Z3" s="2">
        <f>AVERAGE(Sheet1__5[[#This Row],[00:00:00]:[23:00:00]])</f>
        <v>73.416666666666671</v>
      </c>
      <c r="AA3" t="str" cm="1">
        <f t="array" ref="AA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4" spans="1:27" x14ac:dyDescent="0.3">
      <c r="A4" s="1">
        <v>45780</v>
      </c>
      <c r="B4">
        <v>76</v>
      </c>
      <c r="C4">
        <v>76</v>
      </c>
      <c r="D4">
        <v>75</v>
      </c>
      <c r="E4">
        <v>75</v>
      </c>
      <c r="F4">
        <v>75</v>
      </c>
      <c r="G4">
        <v>75</v>
      </c>
      <c r="H4">
        <v>74</v>
      </c>
      <c r="I4">
        <v>74</v>
      </c>
      <c r="J4">
        <v>73</v>
      </c>
      <c r="K4">
        <v>73</v>
      </c>
      <c r="L4">
        <v>72</v>
      </c>
      <c r="M4">
        <v>72</v>
      </c>
      <c r="N4">
        <v>71</v>
      </c>
      <c r="O4">
        <v>70</v>
      </c>
      <c r="P4">
        <v>68</v>
      </c>
      <c r="Q4">
        <v>67</v>
      </c>
      <c r="R4">
        <v>66</v>
      </c>
      <c r="S4">
        <v>67</v>
      </c>
      <c r="T4">
        <v>69</v>
      </c>
      <c r="U4">
        <v>67</v>
      </c>
      <c r="V4">
        <v>66</v>
      </c>
      <c r="W4">
        <v>66</v>
      </c>
      <c r="X4">
        <v>66</v>
      </c>
      <c r="Y4">
        <v>65</v>
      </c>
      <c r="Z4" s="2">
        <f>AVERAGE(Sheet1__5[[#This Row],[00:00:00]:[23:00:00]])</f>
        <v>70.75</v>
      </c>
      <c r="AA4" t="str" cm="1">
        <f t="array" ref="AA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5" spans="1:27" x14ac:dyDescent="0.3">
      <c r="A5" s="1">
        <v>45781</v>
      </c>
      <c r="B5">
        <v>64</v>
      </c>
      <c r="C5">
        <v>64</v>
      </c>
      <c r="D5">
        <v>64</v>
      </c>
      <c r="E5">
        <v>63</v>
      </c>
      <c r="F5">
        <v>63</v>
      </c>
      <c r="G5">
        <v>64</v>
      </c>
      <c r="H5">
        <v>63</v>
      </c>
      <c r="I5">
        <v>63</v>
      </c>
      <c r="J5">
        <v>64</v>
      </c>
      <c r="K5">
        <v>64</v>
      </c>
      <c r="L5">
        <v>64</v>
      </c>
      <c r="M5">
        <v>64</v>
      </c>
      <c r="N5">
        <v>65</v>
      </c>
      <c r="O5">
        <v>66</v>
      </c>
      <c r="P5">
        <v>66</v>
      </c>
      <c r="Q5">
        <v>67</v>
      </c>
      <c r="R5">
        <v>68</v>
      </c>
      <c r="S5">
        <v>68</v>
      </c>
      <c r="T5">
        <v>68</v>
      </c>
      <c r="U5">
        <v>68</v>
      </c>
      <c r="V5">
        <v>68</v>
      </c>
      <c r="W5">
        <v>68</v>
      </c>
      <c r="X5">
        <v>69</v>
      </c>
      <c r="Y5">
        <v>70</v>
      </c>
      <c r="Z5" s="2">
        <f>AVERAGE(Sheet1__5[[#This Row],[00:00:00]:[23:00:00]])</f>
        <v>65.625</v>
      </c>
      <c r="AA5" t="str" cm="1">
        <f t="array" ref="AA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6" spans="1:27" x14ac:dyDescent="0.3">
      <c r="A6" s="1">
        <v>45782</v>
      </c>
      <c r="B6">
        <v>71</v>
      </c>
      <c r="C6">
        <v>71</v>
      </c>
      <c r="D6">
        <v>73</v>
      </c>
      <c r="E6">
        <v>73</v>
      </c>
      <c r="F6">
        <v>74</v>
      </c>
      <c r="G6">
        <v>75</v>
      </c>
      <c r="H6">
        <v>76</v>
      </c>
      <c r="I6">
        <v>77</v>
      </c>
      <c r="J6">
        <v>77</v>
      </c>
      <c r="K6">
        <v>79</v>
      </c>
      <c r="L6">
        <v>79</v>
      </c>
      <c r="M6">
        <v>79</v>
      </c>
      <c r="N6">
        <v>80</v>
      </c>
      <c r="O6">
        <v>80</v>
      </c>
      <c r="P6">
        <v>80</v>
      </c>
      <c r="Q6">
        <v>80</v>
      </c>
      <c r="R6">
        <v>80</v>
      </c>
      <c r="S6">
        <v>80</v>
      </c>
      <c r="T6">
        <v>80</v>
      </c>
      <c r="U6">
        <v>81</v>
      </c>
      <c r="V6">
        <v>81</v>
      </c>
      <c r="W6">
        <v>81</v>
      </c>
      <c r="X6">
        <v>82</v>
      </c>
      <c r="Y6">
        <v>82</v>
      </c>
      <c r="Z6" s="2">
        <f>AVERAGE(Sheet1__5[[#This Row],[00:00:00]:[23:00:00]])</f>
        <v>77.958333333333329</v>
      </c>
      <c r="AA6" t="str" cm="1">
        <f t="array" ref="AA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7" spans="1:27" x14ac:dyDescent="0.3">
      <c r="A7" s="1">
        <v>45783</v>
      </c>
      <c r="B7">
        <v>82</v>
      </c>
      <c r="C7">
        <v>82</v>
      </c>
      <c r="D7">
        <v>82</v>
      </c>
      <c r="E7">
        <v>81</v>
      </c>
      <c r="F7">
        <v>81</v>
      </c>
      <c r="G7">
        <v>81</v>
      </c>
      <c r="H7">
        <v>80</v>
      </c>
      <c r="I7">
        <v>80</v>
      </c>
      <c r="J7">
        <v>79</v>
      </c>
      <c r="K7">
        <v>79</v>
      </c>
      <c r="L7">
        <v>78</v>
      </c>
      <c r="M7">
        <v>78</v>
      </c>
      <c r="N7">
        <v>78</v>
      </c>
      <c r="O7">
        <v>77</v>
      </c>
      <c r="P7">
        <v>78</v>
      </c>
      <c r="Q7">
        <v>78</v>
      </c>
      <c r="R7">
        <v>79</v>
      </c>
      <c r="S7">
        <v>80</v>
      </c>
      <c r="T7">
        <v>81</v>
      </c>
      <c r="U7">
        <v>81</v>
      </c>
      <c r="V7">
        <v>83</v>
      </c>
      <c r="W7">
        <v>83</v>
      </c>
      <c r="X7">
        <v>83</v>
      </c>
      <c r="Y7">
        <v>85</v>
      </c>
      <c r="Z7" s="2">
        <f>AVERAGE(Sheet1__5[[#This Row],[00:00:00]:[23:00:00]])</f>
        <v>80.375</v>
      </c>
      <c r="AA7" t="str" cm="1">
        <f t="array" ref="AA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8" spans="1:27" x14ac:dyDescent="0.3">
      <c r="A8" s="1">
        <v>45784</v>
      </c>
      <c r="B8">
        <v>86</v>
      </c>
      <c r="C8">
        <v>87</v>
      </c>
      <c r="D8">
        <v>86</v>
      </c>
      <c r="E8">
        <v>85</v>
      </c>
      <c r="F8">
        <v>84</v>
      </c>
      <c r="G8">
        <v>83</v>
      </c>
      <c r="H8">
        <v>82</v>
      </c>
      <c r="I8">
        <v>104</v>
      </c>
      <c r="J8">
        <v>101</v>
      </c>
      <c r="K8">
        <v>99</v>
      </c>
      <c r="L8">
        <v>98</v>
      </c>
      <c r="M8">
        <v>98</v>
      </c>
      <c r="N8">
        <v>97</v>
      </c>
      <c r="O8">
        <v>98</v>
      </c>
      <c r="P8">
        <v>97</v>
      </c>
      <c r="Q8">
        <v>86</v>
      </c>
      <c r="R8">
        <v>84</v>
      </c>
      <c r="S8">
        <v>80</v>
      </c>
      <c r="T8">
        <v>74</v>
      </c>
      <c r="U8">
        <v>69</v>
      </c>
      <c r="V8">
        <v>60</v>
      </c>
      <c r="W8">
        <v>57</v>
      </c>
      <c r="X8">
        <v>54</v>
      </c>
      <c r="Y8">
        <v>57</v>
      </c>
      <c r="Z8" s="2">
        <f>AVERAGE(Sheet1__5[[#This Row],[00:00:00]:[23:00:00]])</f>
        <v>83.583333333333329</v>
      </c>
      <c r="AA8" t="str" cm="1">
        <f t="array" ref="AA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9" spans="1:27" x14ac:dyDescent="0.3">
      <c r="A9" s="1">
        <v>45785</v>
      </c>
      <c r="B9">
        <v>54</v>
      </c>
      <c r="C9">
        <v>53</v>
      </c>
      <c r="D9">
        <v>50</v>
      </c>
      <c r="E9">
        <v>49</v>
      </c>
      <c r="F9">
        <v>48</v>
      </c>
      <c r="G9">
        <v>48</v>
      </c>
      <c r="H9">
        <v>48</v>
      </c>
      <c r="I9">
        <v>49</v>
      </c>
      <c r="J9">
        <v>49</v>
      </c>
      <c r="K9">
        <v>48</v>
      </c>
      <c r="L9">
        <v>47</v>
      </c>
      <c r="M9">
        <v>46</v>
      </c>
      <c r="N9">
        <v>44</v>
      </c>
      <c r="O9">
        <v>44</v>
      </c>
      <c r="P9">
        <v>44</v>
      </c>
      <c r="Q9">
        <v>45</v>
      </c>
      <c r="R9">
        <v>48</v>
      </c>
      <c r="S9">
        <v>50</v>
      </c>
      <c r="T9">
        <v>51</v>
      </c>
      <c r="U9">
        <v>51</v>
      </c>
      <c r="V9">
        <v>50</v>
      </c>
      <c r="W9">
        <v>48</v>
      </c>
      <c r="X9">
        <v>46</v>
      </c>
      <c r="Y9">
        <v>44</v>
      </c>
      <c r="Z9" s="2">
        <f>AVERAGE(Sheet1__5[[#This Row],[00:00:00]:[23:00:00]])</f>
        <v>48.083333333333336</v>
      </c>
      <c r="AA9" t="str" cm="1">
        <f t="array" ref="AA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0" spans="1:27" x14ac:dyDescent="0.3">
      <c r="A10" s="1">
        <v>45786</v>
      </c>
      <c r="B10">
        <v>44</v>
      </c>
      <c r="C10">
        <v>41</v>
      </c>
      <c r="D10">
        <v>40</v>
      </c>
      <c r="E10">
        <v>40</v>
      </c>
      <c r="F10">
        <v>39</v>
      </c>
      <c r="G10">
        <v>39</v>
      </c>
      <c r="H10">
        <v>38</v>
      </c>
      <c r="I10">
        <v>38</v>
      </c>
      <c r="J10">
        <v>38</v>
      </c>
      <c r="K10">
        <v>39</v>
      </c>
      <c r="M10">
        <v>40</v>
      </c>
      <c r="N10">
        <v>40</v>
      </c>
      <c r="O10">
        <v>40</v>
      </c>
      <c r="P10">
        <v>42</v>
      </c>
      <c r="Q10">
        <v>42</v>
      </c>
      <c r="R10">
        <v>46</v>
      </c>
      <c r="S10">
        <v>47</v>
      </c>
      <c r="T10">
        <v>46</v>
      </c>
      <c r="U10">
        <v>47</v>
      </c>
      <c r="V10">
        <v>47</v>
      </c>
      <c r="W10">
        <v>52</v>
      </c>
      <c r="X10">
        <v>52</v>
      </c>
      <c r="Y10">
        <v>52</v>
      </c>
      <c r="Z10" s="2">
        <f>AVERAGE(Sheet1__5[[#This Row],[00:00:00]:[23:00:00]])</f>
        <v>43</v>
      </c>
      <c r="AA10" t="str" cm="1">
        <f t="array" ref="AA1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1" spans="1:27" x14ac:dyDescent="0.3">
      <c r="A11" s="1">
        <v>45787</v>
      </c>
      <c r="B11">
        <v>51</v>
      </c>
      <c r="C11">
        <v>50</v>
      </c>
      <c r="D11">
        <v>49</v>
      </c>
      <c r="E11">
        <v>48</v>
      </c>
      <c r="F11">
        <v>46</v>
      </c>
      <c r="G11">
        <v>45</v>
      </c>
      <c r="H11">
        <v>45</v>
      </c>
      <c r="I11">
        <v>45</v>
      </c>
      <c r="J11">
        <v>46</v>
      </c>
      <c r="K11">
        <v>46</v>
      </c>
      <c r="L11">
        <v>46</v>
      </c>
      <c r="M11">
        <v>46</v>
      </c>
      <c r="N11">
        <v>46</v>
      </c>
      <c r="O11">
        <v>47</v>
      </c>
      <c r="P11">
        <v>48</v>
      </c>
      <c r="Q11">
        <v>50</v>
      </c>
      <c r="R11">
        <v>50</v>
      </c>
      <c r="S11">
        <v>52</v>
      </c>
      <c r="T11">
        <v>54</v>
      </c>
      <c r="U11">
        <v>54</v>
      </c>
      <c r="V11">
        <v>54</v>
      </c>
      <c r="W11">
        <v>52</v>
      </c>
      <c r="X11">
        <v>47</v>
      </c>
      <c r="Y11">
        <v>46</v>
      </c>
      <c r="Z11" s="2">
        <f>AVERAGE(Sheet1__5[[#This Row],[00:00:00]:[23:00:00]])</f>
        <v>48.458333333333336</v>
      </c>
      <c r="AA11" t="str" cm="1">
        <f t="array" ref="AA1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2" spans="1:27" x14ac:dyDescent="0.3">
      <c r="A12" s="1">
        <v>45788</v>
      </c>
      <c r="B12">
        <v>46</v>
      </c>
      <c r="C12">
        <v>45</v>
      </c>
      <c r="D12">
        <v>45</v>
      </c>
      <c r="E12">
        <v>46</v>
      </c>
      <c r="F12">
        <v>46</v>
      </c>
      <c r="G12">
        <v>47</v>
      </c>
      <c r="H12">
        <v>47</v>
      </c>
      <c r="I12">
        <v>46</v>
      </c>
      <c r="J12">
        <v>45</v>
      </c>
      <c r="K12">
        <v>44</v>
      </c>
      <c r="L12">
        <v>44</v>
      </c>
      <c r="M12">
        <v>43</v>
      </c>
      <c r="N12">
        <v>43</v>
      </c>
      <c r="O12">
        <v>44</v>
      </c>
      <c r="P12">
        <v>45</v>
      </c>
      <c r="Q12">
        <v>48</v>
      </c>
      <c r="R12">
        <v>50</v>
      </c>
      <c r="S12">
        <v>51</v>
      </c>
      <c r="T12">
        <v>51</v>
      </c>
      <c r="U12">
        <v>52</v>
      </c>
      <c r="V12">
        <v>55</v>
      </c>
      <c r="W12">
        <v>56</v>
      </c>
      <c r="X12">
        <v>54</v>
      </c>
      <c r="Y12">
        <v>53</v>
      </c>
      <c r="Z12" s="2">
        <f>AVERAGE(Sheet1__5[[#This Row],[00:00:00]:[23:00:00]])</f>
        <v>47.75</v>
      </c>
      <c r="AA12" t="str" cm="1">
        <f t="array" ref="AA1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GOOD</v>
      </c>
    </row>
    <row r="13" spans="1:27" x14ac:dyDescent="0.3">
      <c r="A13" s="1">
        <v>45789</v>
      </c>
      <c r="B13">
        <v>53</v>
      </c>
      <c r="D13">
        <v>54</v>
      </c>
      <c r="E13">
        <v>56</v>
      </c>
      <c r="F13">
        <v>56</v>
      </c>
      <c r="G13">
        <v>57</v>
      </c>
      <c r="H13">
        <v>58</v>
      </c>
      <c r="I13">
        <v>60</v>
      </c>
      <c r="J13">
        <v>61</v>
      </c>
      <c r="K13">
        <v>62</v>
      </c>
      <c r="L13">
        <v>62</v>
      </c>
      <c r="M13">
        <v>63</v>
      </c>
      <c r="N13">
        <v>63</v>
      </c>
      <c r="O13">
        <v>63</v>
      </c>
      <c r="P13">
        <v>63</v>
      </c>
      <c r="Q13">
        <v>64</v>
      </c>
      <c r="R13">
        <v>64</v>
      </c>
      <c r="S13">
        <v>67</v>
      </c>
      <c r="T13">
        <v>68</v>
      </c>
      <c r="U13">
        <v>64</v>
      </c>
      <c r="V13">
        <v>63</v>
      </c>
      <c r="W13">
        <v>62</v>
      </c>
      <c r="X13">
        <v>62</v>
      </c>
      <c r="Y13">
        <v>61</v>
      </c>
      <c r="Z13" s="2">
        <f>AVERAGE(Sheet1__5[[#This Row],[00:00:00]:[23:00:00]])</f>
        <v>61.130434782608695</v>
      </c>
      <c r="AA13" t="str" cm="1">
        <f t="array" ref="AA1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4" spans="1:27" x14ac:dyDescent="0.3">
      <c r="A14" s="1">
        <v>45790</v>
      </c>
      <c r="B14">
        <v>61</v>
      </c>
      <c r="C14">
        <v>57</v>
      </c>
      <c r="D14">
        <v>54</v>
      </c>
      <c r="E14">
        <v>53</v>
      </c>
      <c r="F14">
        <v>53</v>
      </c>
      <c r="G14">
        <v>54</v>
      </c>
      <c r="H14">
        <v>54</v>
      </c>
      <c r="I14">
        <v>54</v>
      </c>
      <c r="J14">
        <v>54</v>
      </c>
      <c r="K14">
        <v>54</v>
      </c>
      <c r="L14">
        <v>54</v>
      </c>
      <c r="M14">
        <v>54</v>
      </c>
      <c r="N14">
        <v>55</v>
      </c>
      <c r="O14">
        <v>55</v>
      </c>
      <c r="P14">
        <v>56</v>
      </c>
      <c r="Q14">
        <v>56</v>
      </c>
      <c r="R14">
        <v>56</v>
      </c>
      <c r="S14">
        <v>51</v>
      </c>
      <c r="T14">
        <v>51</v>
      </c>
      <c r="U14">
        <v>50</v>
      </c>
      <c r="V14">
        <v>49</v>
      </c>
      <c r="W14">
        <v>49</v>
      </c>
      <c r="X14">
        <v>60</v>
      </c>
      <c r="Y14">
        <v>60</v>
      </c>
      <c r="Z14" s="2">
        <f>AVERAGE(Sheet1__5[[#This Row],[00:00:00]:[23:00:00]])</f>
        <v>54.333333333333336</v>
      </c>
      <c r="AA14" t="str" cm="1">
        <f t="array" ref="AA1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5" spans="1:27" x14ac:dyDescent="0.3">
      <c r="A15" s="1">
        <v>45791</v>
      </c>
      <c r="B15">
        <v>61</v>
      </c>
      <c r="C15">
        <v>60</v>
      </c>
      <c r="D15">
        <v>61</v>
      </c>
      <c r="E15">
        <v>61</v>
      </c>
      <c r="F15">
        <v>61</v>
      </c>
      <c r="G15">
        <v>61</v>
      </c>
      <c r="H15">
        <v>61</v>
      </c>
      <c r="I15">
        <v>62</v>
      </c>
      <c r="J15">
        <v>62</v>
      </c>
      <c r="K15">
        <v>63</v>
      </c>
      <c r="L15">
        <v>63</v>
      </c>
      <c r="M15">
        <v>63</v>
      </c>
      <c r="N15">
        <v>64</v>
      </c>
      <c r="O15">
        <v>64</v>
      </c>
      <c r="P15">
        <v>65</v>
      </c>
      <c r="Q15">
        <v>65</v>
      </c>
      <c r="R15">
        <v>65</v>
      </c>
      <c r="S15">
        <v>65</v>
      </c>
      <c r="T15">
        <v>66</v>
      </c>
      <c r="U15">
        <v>69</v>
      </c>
      <c r="V15">
        <v>69</v>
      </c>
      <c r="W15">
        <v>70</v>
      </c>
      <c r="X15">
        <v>71</v>
      </c>
      <c r="Y15">
        <v>71</v>
      </c>
      <c r="Z15" s="2">
        <f>AVERAGE(Sheet1__5[[#This Row],[00:00:00]:[23:00:00]])</f>
        <v>64.291666666666671</v>
      </c>
      <c r="AA15" t="str" cm="1">
        <f t="array" ref="AA1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6" spans="1:27" x14ac:dyDescent="0.3">
      <c r="A16" s="1">
        <v>45792</v>
      </c>
      <c r="B16">
        <v>71</v>
      </c>
      <c r="C16">
        <v>70</v>
      </c>
      <c r="D16">
        <v>70</v>
      </c>
      <c r="E16">
        <v>71</v>
      </c>
      <c r="F16">
        <v>72</v>
      </c>
      <c r="G16">
        <v>73</v>
      </c>
      <c r="H16">
        <v>72</v>
      </c>
      <c r="I16">
        <v>72</v>
      </c>
      <c r="J16">
        <v>73</v>
      </c>
      <c r="K16">
        <v>74</v>
      </c>
      <c r="L16">
        <v>74</v>
      </c>
      <c r="M16">
        <v>74</v>
      </c>
      <c r="N16">
        <v>74</v>
      </c>
      <c r="O16">
        <v>75</v>
      </c>
      <c r="P16">
        <v>75</v>
      </c>
      <c r="Q16">
        <v>75</v>
      </c>
      <c r="R16">
        <v>76</v>
      </c>
      <c r="S16">
        <v>76</v>
      </c>
      <c r="U16">
        <v>77</v>
      </c>
      <c r="V16">
        <v>78</v>
      </c>
      <c r="W16">
        <v>78</v>
      </c>
      <c r="X16">
        <v>71</v>
      </c>
      <c r="Y16">
        <v>72</v>
      </c>
      <c r="Z16" s="2">
        <f>AVERAGE(Sheet1__5[[#This Row],[00:00:00]:[23:00:00]])</f>
        <v>73.608695652173907</v>
      </c>
      <c r="AA16" t="str" cm="1">
        <f t="array" ref="AA1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7" spans="1:27" x14ac:dyDescent="0.3">
      <c r="A17" s="1">
        <v>45793</v>
      </c>
      <c r="B17">
        <v>72</v>
      </c>
      <c r="C17">
        <v>71</v>
      </c>
      <c r="D17">
        <v>62</v>
      </c>
      <c r="E17">
        <v>62</v>
      </c>
      <c r="F17">
        <v>62</v>
      </c>
      <c r="G17">
        <v>62</v>
      </c>
      <c r="H17">
        <v>62</v>
      </c>
      <c r="I17">
        <v>62</v>
      </c>
      <c r="J17">
        <v>61</v>
      </c>
      <c r="K17">
        <v>61</v>
      </c>
      <c r="L17">
        <v>61</v>
      </c>
      <c r="M17">
        <v>61</v>
      </c>
      <c r="N17">
        <v>62</v>
      </c>
      <c r="O17">
        <v>62</v>
      </c>
      <c r="P17">
        <v>62</v>
      </c>
      <c r="Q17">
        <v>62</v>
      </c>
      <c r="R17">
        <v>61</v>
      </c>
      <c r="S17">
        <v>62</v>
      </c>
      <c r="T17">
        <v>62</v>
      </c>
      <c r="U17">
        <v>62</v>
      </c>
      <c r="V17">
        <v>61</v>
      </c>
      <c r="W17">
        <v>61</v>
      </c>
      <c r="X17">
        <v>61</v>
      </c>
      <c r="Y17">
        <v>60</v>
      </c>
      <c r="Z17" s="2">
        <f>AVERAGE(Sheet1__5[[#This Row],[00:00:00]:[23:00:00]])</f>
        <v>62.375</v>
      </c>
      <c r="AA17" t="str" cm="1">
        <f t="array" ref="AA1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8" spans="1:27" x14ac:dyDescent="0.3">
      <c r="A18" s="1">
        <v>45794</v>
      </c>
      <c r="B18">
        <v>60</v>
      </c>
      <c r="C18">
        <v>58</v>
      </c>
      <c r="D18">
        <v>57</v>
      </c>
      <c r="E18">
        <v>67</v>
      </c>
      <c r="F18">
        <v>67</v>
      </c>
      <c r="G18">
        <v>66</v>
      </c>
      <c r="H18">
        <v>66</v>
      </c>
      <c r="I18">
        <v>65</v>
      </c>
      <c r="J18">
        <v>65</v>
      </c>
      <c r="K18">
        <v>59</v>
      </c>
      <c r="L18">
        <v>59</v>
      </c>
      <c r="M18">
        <v>58</v>
      </c>
      <c r="N18">
        <v>58</v>
      </c>
      <c r="O18">
        <v>57</v>
      </c>
      <c r="P18">
        <v>56</v>
      </c>
      <c r="Q18">
        <v>55</v>
      </c>
      <c r="R18">
        <v>54</v>
      </c>
      <c r="S18">
        <v>55</v>
      </c>
      <c r="T18">
        <v>53</v>
      </c>
      <c r="U18">
        <v>54</v>
      </c>
      <c r="V18">
        <v>53</v>
      </c>
      <c r="W18">
        <v>52</v>
      </c>
      <c r="X18">
        <v>52</v>
      </c>
      <c r="Y18">
        <v>53</v>
      </c>
      <c r="Z18" s="2">
        <f>AVERAGE(Sheet1__5[[#This Row],[00:00:00]:[23:00:00]])</f>
        <v>58.291666666666664</v>
      </c>
      <c r="AA18" t="str" cm="1">
        <f t="array" ref="AA1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19" spans="1:27" x14ac:dyDescent="0.3">
      <c r="A19" s="1">
        <v>45795</v>
      </c>
      <c r="B19">
        <v>54</v>
      </c>
      <c r="C19">
        <v>53</v>
      </c>
      <c r="D19">
        <v>54</v>
      </c>
      <c r="E19">
        <v>54</v>
      </c>
      <c r="F19">
        <v>53</v>
      </c>
      <c r="G19">
        <v>53</v>
      </c>
      <c r="H19">
        <v>53</v>
      </c>
      <c r="I19">
        <v>53</v>
      </c>
      <c r="J19">
        <v>53</v>
      </c>
      <c r="K19">
        <v>52</v>
      </c>
      <c r="L19">
        <v>52</v>
      </c>
      <c r="M19">
        <v>54</v>
      </c>
      <c r="N19">
        <v>54</v>
      </c>
      <c r="O19">
        <v>54</v>
      </c>
      <c r="P19">
        <v>54</v>
      </c>
      <c r="Q19">
        <v>54</v>
      </c>
      <c r="R19">
        <v>54</v>
      </c>
      <c r="S19">
        <v>54</v>
      </c>
      <c r="T19">
        <v>54</v>
      </c>
      <c r="U19">
        <v>54</v>
      </c>
      <c r="V19">
        <v>55</v>
      </c>
      <c r="W19">
        <v>56</v>
      </c>
      <c r="X19">
        <v>55</v>
      </c>
      <c r="Y19">
        <v>56</v>
      </c>
      <c r="Z19" s="2">
        <f>AVERAGE(Sheet1__5[[#This Row],[00:00:00]:[23:00:00]])</f>
        <v>53.833333333333336</v>
      </c>
      <c r="AA19" t="str" cm="1">
        <f t="array" ref="AA1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0" spans="1:27" x14ac:dyDescent="0.3">
      <c r="A20" s="1">
        <v>45796</v>
      </c>
      <c r="B20">
        <v>56</v>
      </c>
      <c r="C20">
        <v>55</v>
      </c>
      <c r="D20">
        <v>55</v>
      </c>
      <c r="E20">
        <v>55</v>
      </c>
      <c r="F20">
        <v>56</v>
      </c>
      <c r="G20">
        <v>56</v>
      </c>
      <c r="H20">
        <v>56</v>
      </c>
      <c r="I20">
        <v>56</v>
      </c>
      <c r="J20">
        <v>57</v>
      </c>
      <c r="K20">
        <v>58</v>
      </c>
      <c r="L20">
        <v>58</v>
      </c>
      <c r="M20">
        <v>59</v>
      </c>
      <c r="N20">
        <v>60</v>
      </c>
      <c r="O20">
        <v>60</v>
      </c>
      <c r="P20">
        <v>62</v>
      </c>
      <c r="Q20">
        <v>62</v>
      </c>
      <c r="R20">
        <v>63</v>
      </c>
      <c r="S20">
        <v>64</v>
      </c>
      <c r="T20">
        <v>64</v>
      </c>
      <c r="U20">
        <v>65</v>
      </c>
      <c r="V20">
        <v>66</v>
      </c>
      <c r="W20">
        <v>65</v>
      </c>
      <c r="X20">
        <v>65</v>
      </c>
      <c r="Y20">
        <v>66</v>
      </c>
      <c r="Z20" s="2">
        <f>AVERAGE(Sheet1__5[[#This Row],[00:00:00]:[23:00:00]])</f>
        <v>59.958333333333336</v>
      </c>
      <c r="AA20" t="str" cm="1">
        <f t="array" ref="AA2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1" spans="1:27" x14ac:dyDescent="0.3">
      <c r="A21" s="1">
        <v>45797</v>
      </c>
      <c r="B21">
        <v>66</v>
      </c>
      <c r="C21">
        <v>67</v>
      </c>
      <c r="D21">
        <v>68</v>
      </c>
      <c r="E21">
        <v>68</v>
      </c>
      <c r="F21">
        <v>69</v>
      </c>
      <c r="G21">
        <v>70</v>
      </c>
      <c r="H21">
        <v>71</v>
      </c>
      <c r="I21">
        <v>72</v>
      </c>
      <c r="J21">
        <v>72</v>
      </c>
      <c r="K21">
        <v>73</v>
      </c>
      <c r="L21">
        <v>73</v>
      </c>
      <c r="M21">
        <v>73</v>
      </c>
      <c r="N21">
        <v>73</v>
      </c>
      <c r="O21">
        <v>73</v>
      </c>
      <c r="P21">
        <v>72</v>
      </c>
      <c r="Q21">
        <v>72</v>
      </c>
      <c r="R21">
        <v>72</v>
      </c>
      <c r="S21">
        <v>72</v>
      </c>
      <c r="T21">
        <v>72</v>
      </c>
      <c r="U21">
        <v>72</v>
      </c>
      <c r="V21">
        <v>72</v>
      </c>
      <c r="W21">
        <v>72</v>
      </c>
      <c r="X21">
        <v>72</v>
      </c>
      <c r="Y21">
        <v>72</v>
      </c>
      <c r="Z21" s="2">
        <f>AVERAGE(Sheet1__5[[#This Row],[00:00:00]:[23:00:00]])</f>
        <v>71.166666666666671</v>
      </c>
      <c r="AA21" t="str" cm="1">
        <f t="array" ref="AA2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2" spans="1:27" x14ac:dyDescent="0.3">
      <c r="A22" s="1">
        <v>45798</v>
      </c>
      <c r="B22">
        <v>72</v>
      </c>
      <c r="C22">
        <v>72</v>
      </c>
      <c r="D22">
        <v>72</v>
      </c>
      <c r="E22">
        <v>71</v>
      </c>
      <c r="F22">
        <v>70</v>
      </c>
      <c r="G22">
        <v>68</v>
      </c>
      <c r="H22">
        <v>67</v>
      </c>
      <c r="I22">
        <v>66</v>
      </c>
      <c r="J22">
        <v>64</v>
      </c>
      <c r="K22">
        <v>62</v>
      </c>
      <c r="L22">
        <v>61</v>
      </c>
      <c r="M22">
        <v>61</v>
      </c>
      <c r="N22">
        <v>61</v>
      </c>
      <c r="O22">
        <v>62</v>
      </c>
      <c r="P22">
        <v>63</v>
      </c>
      <c r="Q22">
        <v>63</v>
      </c>
      <c r="R22">
        <v>63</v>
      </c>
      <c r="S22">
        <v>64</v>
      </c>
      <c r="T22">
        <v>64</v>
      </c>
      <c r="U22">
        <v>64</v>
      </c>
      <c r="V22">
        <v>64</v>
      </c>
      <c r="W22">
        <v>64</v>
      </c>
      <c r="X22">
        <v>63</v>
      </c>
      <c r="Y22">
        <v>64</v>
      </c>
      <c r="Z22" s="2">
        <f>AVERAGE(Sheet1__5[[#This Row],[00:00:00]:[23:00:00]])</f>
        <v>65.208333333333329</v>
      </c>
      <c r="AA22" t="str" cm="1">
        <f t="array" ref="AA2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3" spans="1:27" x14ac:dyDescent="0.3">
      <c r="A23" s="1">
        <v>45799</v>
      </c>
      <c r="B23">
        <v>65</v>
      </c>
      <c r="C23">
        <v>66</v>
      </c>
      <c r="D23">
        <v>66</v>
      </c>
      <c r="E23">
        <v>67</v>
      </c>
      <c r="F23">
        <v>68</v>
      </c>
      <c r="G23">
        <v>68</v>
      </c>
      <c r="H23">
        <v>68</v>
      </c>
      <c r="I23">
        <v>68</v>
      </c>
      <c r="J23">
        <v>68</v>
      </c>
      <c r="K23">
        <v>69</v>
      </c>
      <c r="L23">
        <v>69</v>
      </c>
      <c r="M23">
        <v>66</v>
      </c>
      <c r="N23">
        <v>65</v>
      </c>
      <c r="O23">
        <v>63</v>
      </c>
      <c r="P23">
        <v>62</v>
      </c>
      <c r="Q23">
        <v>63</v>
      </c>
      <c r="R23">
        <v>61</v>
      </c>
      <c r="S23">
        <v>59</v>
      </c>
      <c r="T23">
        <v>58</v>
      </c>
      <c r="U23">
        <v>58</v>
      </c>
      <c r="V23">
        <v>59</v>
      </c>
      <c r="W23">
        <v>59</v>
      </c>
      <c r="X23">
        <v>60</v>
      </c>
      <c r="Y23">
        <v>59</v>
      </c>
      <c r="Z23" s="2">
        <f>AVERAGE(Sheet1__5[[#This Row],[00:00:00]:[23:00:00]])</f>
        <v>63.916666666666664</v>
      </c>
      <c r="AA23" t="str" cm="1">
        <f t="array" ref="AA23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4" spans="1:27" x14ac:dyDescent="0.3">
      <c r="A24" s="1">
        <v>45800</v>
      </c>
      <c r="B24">
        <v>58</v>
      </c>
      <c r="C24">
        <v>56</v>
      </c>
      <c r="D24">
        <v>55</v>
      </c>
      <c r="E24">
        <v>52</v>
      </c>
      <c r="F24">
        <v>53</v>
      </c>
      <c r="G24">
        <v>53</v>
      </c>
      <c r="H24">
        <v>54</v>
      </c>
      <c r="I24">
        <v>55</v>
      </c>
      <c r="J24">
        <v>56</v>
      </c>
      <c r="K24">
        <v>57</v>
      </c>
      <c r="L24">
        <v>58</v>
      </c>
      <c r="M24">
        <v>60</v>
      </c>
      <c r="N24">
        <v>61</v>
      </c>
      <c r="O24">
        <v>62</v>
      </c>
      <c r="P24">
        <v>63</v>
      </c>
      <c r="Q24">
        <v>64</v>
      </c>
      <c r="R24">
        <v>66</v>
      </c>
      <c r="S24">
        <v>66</v>
      </c>
      <c r="T24">
        <v>66</v>
      </c>
      <c r="U24">
        <v>65</v>
      </c>
      <c r="V24">
        <v>65</v>
      </c>
      <c r="W24">
        <v>64</v>
      </c>
      <c r="X24">
        <v>64</v>
      </c>
      <c r="Y24">
        <v>63</v>
      </c>
      <c r="Z24" s="2">
        <f>AVERAGE(Sheet1__5[[#This Row],[00:00:00]:[23:00:00]])</f>
        <v>59.833333333333336</v>
      </c>
      <c r="AA24" t="str" cm="1">
        <f t="array" ref="AA24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5" spans="1:27" x14ac:dyDescent="0.3">
      <c r="A25" s="1">
        <v>45801</v>
      </c>
      <c r="B25">
        <v>63</v>
      </c>
      <c r="C25">
        <v>63</v>
      </c>
      <c r="D25">
        <v>63</v>
      </c>
      <c r="F25">
        <v>63</v>
      </c>
      <c r="G25">
        <v>63</v>
      </c>
      <c r="H25">
        <v>62</v>
      </c>
      <c r="I25">
        <v>62</v>
      </c>
      <c r="J25">
        <v>62</v>
      </c>
      <c r="K25">
        <v>61</v>
      </c>
      <c r="L25">
        <v>60</v>
      </c>
      <c r="M25">
        <v>59</v>
      </c>
      <c r="N25">
        <v>59</v>
      </c>
      <c r="O25">
        <v>57</v>
      </c>
      <c r="P25">
        <v>56</v>
      </c>
      <c r="Q25">
        <v>54</v>
      </c>
      <c r="R25">
        <v>54</v>
      </c>
      <c r="S25">
        <v>53</v>
      </c>
      <c r="T25">
        <v>53</v>
      </c>
      <c r="U25">
        <v>52</v>
      </c>
      <c r="V25">
        <v>52</v>
      </c>
      <c r="W25">
        <v>53</v>
      </c>
      <c r="X25">
        <v>55</v>
      </c>
      <c r="Y25">
        <v>56</v>
      </c>
      <c r="Z25" s="2">
        <f>AVERAGE(Sheet1__5[[#This Row],[00:00:00]:[23:00:00]])</f>
        <v>58.043478260869563</v>
      </c>
      <c r="AA25" t="str" cm="1">
        <f t="array" ref="AA25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6" spans="1:27" x14ac:dyDescent="0.3">
      <c r="A26" s="1">
        <v>45802</v>
      </c>
      <c r="B26">
        <v>57</v>
      </c>
      <c r="C26">
        <v>58</v>
      </c>
      <c r="D26">
        <v>59</v>
      </c>
      <c r="E26">
        <v>60</v>
      </c>
      <c r="F26">
        <v>60</v>
      </c>
      <c r="G26">
        <v>60</v>
      </c>
      <c r="H26">
        <v>62</v>
      </c>
      <c r="I26">
        <v>62</v>
      </c>
      <c r="J26">
        <v>63</v>
      </c>
      <c r="K26">
        <v>64</v>
      </c>
      <c r="L26">
        <v>65</v>
      </c>
      <c r="M26">
        <v>65</v>
      </c>
      <c r="N26">
        <v>66</v>
      </c>
      <c r="O26">
        <v>66</v>
      </c>
      <c r="P26">
        <v>67</v>
      </c>
      <c r="Q26">
        <v>68</v>
      </c>
      <c r="R26">
        <v>70</v>
      </c>
      <c r="S26">
        <v>70</v>
      </c>
      <c r="T26">
        <v>71</v>
      </c>
      <c r="U26">
        <v>73</v>
      </c>
      <c r="V26">
        <v>74</v>
      </c>
      <c r="Z26" s="2">
        <f>AVERAGE(Sheet1__5[[#This Row],[00:00:00]:[23:00:00]])</f>
        <v>64.761904761904759</v>
      </c>
      <c r="AA26" t="str" cm="1">
        <f t="array" ref="AA26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7" spans="1:27" x14ac:dyDescent="0.3">
      <c r="A27" s="1">
        <v>45803</v>
      </c>
      <c r="D27">
        <v>73</v>
      </c>
      <c r="E27">
        <v>73</v>
      </c>
      <c r="F27">
        <v>74</v>
      </c>
      <c r="G27">
        <v>72</v>
      </c>
      <c r="H27">
        <v>71</v>
      </c>
      <c r="I27">
        <v>72</v>
      </c>
      <c r="J27">
        <v>72</v>
      </c>
      <c r="K27">
        <v>73</v>
      </c>
      <c r="L27">
        <v>74</v>
      </c>
      <c r="M27">
        <v>74</v>
      </c>
      <c r="N27">
        <v>76</v>
      </c>
      <c r="O27">
        <v>77</v>
      </c>
      <c r="P27">
        <v>78</v>
      </c>
      <c r="Q27">
        <v>80</v>
      </c>
      <c r="R27">
        <v>81</v>
      </c>
      <c r="S27">
        <v>82</v>
      </c>
      <c r="T27">
        <v>83</v>
      </c>
      <c r="U27">
        <v>84</v>
      </c>
      <c r="V27">
        <v>85</v>
      </c>
      <c r="W27">
        <v>85</v>
      </c>
      <c r="X27">
        <v>84</v>
      </c>
      <c r="Y27">
        <v>84</v>
      </c>
      <c r="Z27" s="2">
        <f>AVERAGE(Sheet1__5[[#This Row],[00:00:00]:[23:00:00]])</f>
        <v>77.590909090909093</v>
      </c>
      <c r="AA27" t="str" cm="1">
        <f t="array" ref="AA27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8" spans="1:27" x14ac:dyDescent="0.3">
      <c r="A28" s="1">
        <v>45804</v>
      </c>
      <c r="B28">
        <v>82</v>
      </c>
      <c r="C28">
        <v>81</v>
      </c>
      <c r="D28">
        <v>78</v>
      </c>
      <c r="E28">
        <v>77</v>
      </c>
      <c r="F28">
        <v>78</v>
      </c>
      <c r="G28">
        <v>78</v>
      </c>
      <c r="H28">
        <v>78</v>
      </c>
      <c r="I28">
        <v>78</v>
      </c>
      <c r="J28">
        <v>77</v>
      </c>
      <c r="K28">
        <v>76</v>
      </c>
      <c r="L28">
        <v>75</v>
      </c>
      <c r="M28">
        <v>74</v>
      </c>
      <c r="N28">
        <v>72</v>
      </c>
      <c r="O28">
        <v>70</v>
      </c>
      <c r="P28">
        <v>74</v>
      </c>
      <c r="Q28">
        <v>73</v>
      </c>
      <c r="R28">
        <v>72</v>
      </c>
      <c r="S28">
        <v>70</v>
      </c>
      <c r="T28">
        <v>68</v>
      </c>
      <c r="U28">
        <v>66</v>
      </c>
      <c r="V28">
        <v>65</v>
      </c>
      <c r="W28">
        <v>63</v>
      </c>
      <c r="X28">
        <v>62</v>
      </c>
      <c r="Y28">
        <v>58</v>
      </c>
      <c r="Z28" s="2">
        <f>AVERAGE(Sheet1__5[[#This Row],[00:00:00]:[23:00:00]])</f>
        <v>72.708333333333329</v>
      </c>
      <c r="AA28" t="str" cm="1">
        <f t="array" ref="AA28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29" spans="1:27" x14ac:dyDescent="0.3">
      <c r="A29" s="1">
        <v>45805</v>
      </c>
      <c r="B29">
        <v>58</v>
      </c>
      <c r="C29">
        <v>58</v>
      </c>
      <c r="D29">
        <v>58</v>
      </c>
      <c r="E29">
        <v>58</v>
      </c>
      <c r="F29">
        <v>57</v>
      </c>
      <c r="G29">
        <v>56</v>
      </c>
      <c r="H29">
        <v>56</v>
      </c>
      <c r="I29">
        <v>56</v>
      </c>
      <c r="J29">
        <v>56</v>
      </c>
      <c r="K29">
        <v>56</v>
      </c>
      <c r="L29">
        <v>58</v>
      </c>
      <c r="M29">
        <v>59</v>
      </c>
      <c r="N29">
        <v>60</v>
      </c>
      <c r="O29">
        <v>61</v>
      </c>
      <c r="P29">
        <v>61</v>
      </c>
      <c r="Q29">
        <v>61</v>
      </c>
      <c r="R29">
        <v>60</v>
      </c>
      <c r="S29">
        <v>59</v>
      </c>
      <c r="T29">
        <v>58</v>
      </c>
      <c r="U29">
        <v>58</v>
      </c>
      <c r="V29">
        <v>58</v>
      </c>
      <c r="W29">
        <v>58</v>
      </c>
      <c r="X29">
        <v>58</v>
      </c>
      <c r="Y29">
        <v>58</v>
      </c>
      <c r="Z29" s="2">
        <f>AVERAGE(Sheet1__5[[#This Row],[00:00:00]:[23:00:00]])</f>
        <v>58.166666666666664</v>
      </c>
      <c r="AA29" t="str" cm="1">
        <f t="array" ref="AA29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0" spans="1:27" x14ac:dyDescent="0.3">
      <c r="A30" s="1">
        <v>45806</v>
      </c>
      <c r="B30">
        <v>59</v>
      </c>
      <c r="C30">
        <v>60</v>
      </c>
      <c r="D30">
        <v>60</v>
      </c>
      <c r="E30">
        <v>60</v>
      </c>
      <c r="F30">
        <v>61</v>
      </c>
      <c r="G30">
        <v>62</v>
      </c>
      <c r="H30">
        <v>62</v>
      </c>
      <c r="I30">
        <v>62</v>
      </c>
      <c r="J30">
        <v>63</v>
      </c>
      <c r="K30">
        <v>64</v>
      </c>
      <c r="L30">
        <v>64</v>
      </c>
      <c r="M30">
        <v>64</v>
      </c>
      <c r="N30">
        <v>63</v>
      </c>
      <c r="O30">
        <v>64</v>
      </c>
      <c r="P30">
        <v>66</v>
      </c>
      <c r="Q30">
        <v>67</v>
      </c>
      <c r="R30">
        <v>70</v>
      </c>
      <c r="S30">
        <v>72</v>
      </c>
      <c r="T30">
        <v>75</v>
      </c>
      <c r="U30">
        <v>77</v>
      </c>
      <c r="V30">
        <v>79</v>
      </c>
      <c r="W30">
        <v>80</v>
      </c>
      <c r="X30">
        <v>82</v>
      </c>
      <c r="Y30">
        <v>84</v>
      </c>
      <c r="Z30" s="2">
        <f>AVERAGE(Sheet1__5[[#This Row],[00:00:00]:[23:00:00]])</f>
        <v>67.5</v>
      </c>
      <c r="AA30" t="str" cm="1">
        <f t="array" ref="AA30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1" spans="1:27" x14ac:dyDescent="0.3">
      <c r="A31" s="1">
        <v>45807</v>
      </c>
      <c r="B31">
        <v>86</v>
      </c>
      <c r="C31">
        <v>87</v>
      </c>
      <c r="D31">
        <v>88</v>
      </c>
      <c r="E31">
        <v>89</v>
      </c>
      <c r="F31">
        <v>90</v>
      </c>
      <c r="G31">
        <v>91</v>
      </c>
      <c r="H31">
        <v>92</v>
      </c>
      <c r="I31">
        <v>94</v>
      </c>
      <c r="J31">
        <v>94</v>
      </c>
      <c r="K31">
        <v>95</v>
      </c>
      <c r="L31">
        <v>96</v>
      </c>
      <c r="M31">
        <v>96</v>
      </c>
      <c r="N31">
        <v>98</v>
      </c>
      <c r="O31">
        <v>99</v>
      </c>
      <c r="P31">
        <v>100</v>
      </c>
      <c r="Q31">
        <v>100</v>
      </c>
      <c r="R31">
        <v>100</v>
      </c>
      <c r="S31">
        <v>100</v>
      </c>
      <c r="T31">
        <v>101</v>
      </c>
      <c r="U31">
        <v>101</v>
      </c>
      <c r="V31">
        <v>101</v>
      </c>
      <c r="W31">
        <v>100</v>
      </c>
      <c r="X31">
        <v>100</v>
      </c>
      <c r="Y31">
        <v>100</v>
      </c>
      <c r="Z31" s="2">
        <f>AVERAGE(Sheet1__5[[#This Row],[00:00:00]:[23:00:00]])</f>
        <v>95.75</v>
      </c>
      <c r="AA31" t="str" cm="1">
        <f t="array" ref="AA31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2" spans="1:27" x14ac:dyDescent="0.3">
      <c r="A32" s="1">
        <v>45808</v>
      </c>
      <c r="B32">
        <v>99</v>
      </c>
      <c r="C32">
        <v>99</v>
      </c>
      <c r="D32">
        <v>98</v>
      </c>
      <c r="E32">
        <v>98</v>
      </c>
      <c r="F32">
        <v>98</v>
      </c>
      <c r="G32">
        <v>98</v>
      </c>
      <c r="H32">
        <v>97</v>
      </c>
      <c r="I32">
        <v>97</v>
      </c>
      <c r="J32">
        <v>96</v>
      </c>
      <c r="K32">
        <v>96</v>
      </c>
      <c r="L32">
        <v>96</v>
      </c>
      <c r="M32">
        <v>95</v>
      </c>
      <c r="N32">
        <v>94</v>
      </c>
      <c r="O32">
        <v>92</v>
      </c>
      <c r="P32">
        <v>92</v>
      </c>
      <c r="Q32">
        <v>91</v>
      </c>
      <c r="R32">
        <v>90</v>
      </c>
      <c r="S32">
        <v>89</v>
      </c>
      <c r="T32">
        <v>88</v>
      </c>
      <c r="U32">
        <v>88</v>
      </c>
      <c r="V32">
        <v>87</v>
      </c>
      <c r="W32">
        <v>87</v>
      </c>
      <c r="X32">
        <v>86</v>
      </c>
      <c r="Y32">
        <v>86</v>
      </c>
      <c r="Z32" s="2">
        <f>AVERAGE(Sheet1__5[[#This Row],[00:00:00]:[23:00:00]])</f>
        <v>93.208333333333329</v>
      </c>
      <c r="AA32" t="str" cm="1">
        <f t="array" ref="AA32">_xlfn.IFS(Sheet1__5[[#This Row],[AVERAGE AQI]]&lt;50,"GOOD",Sheet1__5[[#This Row],[AVERAGE AQI]]&lt;=100,"MODERATE",Sheet1__5[[#This Row],[AVERAGE AQI]]&lt;=150,"BAD",Sheet1__5[[#This Row],[AVERAGE AQI]]&lt;=200,"VERY BAD",Sheet1__5[[#This Row],[AVERAGE AQI]]&lt;=300,"HAZARDOUS")</f>
        <v>MODERATE</v>
      </c>
    </row>
    <row r="33" spans="26:27" x14ac:dyDescent="0.3">
      <c r="Z33" s="2">
        <f>AVERAGE(Sheet1__5[AVERAGE AQI])</f>
        <v>66.513777071455891</v>
      </c>
      <c r="AA33" s="3"/>
    </row>
  </sheetData>
  <conditionalFormatting sqref="AA1:AA1048576">
    <cfRule type="containsText" dxfId="31" priority="1" operator="containsText" text="GOOD">
      <formula>NOT(ISERROR(SEARCH("GOOD",AA1)))</formula>
    </cfRule>
    <cfRule type="containsText" dxfId="30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5151-7610-4E31-89AC-E967ED4F54CB}">
  <dimension ref="A1:AA32"/>
  <sheetViews>
    <sheetView topLeftCell="K6" workbookViewId="0">
      <selection activeCell="AC14" sqref="AC14"/>
    </sheetView>
  </sheetViews>
  <sheetFormatPr defaultRowHeight="14.4" x14ac:dyDescent="0.3"/>
  <cols>
    <col min="1" max="25" width="10.3320312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45809</v>
      </c>
      <c r="B2">
        <v>85</v>
      </c>
      <c r="C2">
        <v>84</v>
      </c>
      <c r="D2">
        <v>83</v>
      </c>
      <c r="E2">
        <v>83</v>
      </c>
      <c r="F2">
        <v>83</v>
      </c>
      <c r="G2">
        <v>82</v>
      </c>
      <c r="H2">
        <v>81</v>
      </c>
      <c r="I2">
        <v>80</v>
      </c>
      <c r="J2">
        <v>79</v>
      </c>
      <c r="K2">
        <v>78</v>
      </c>
      <c r="L2">
        <v>78</v>
      </c>
      <c r="M2">
        <v>77</v>
      </c>
      <c r="N2">
        <v>77</v>
      </c>
      <c r="O2">
        <v>76</v>
      </c>
      <c r="P2">
        <v>75</v>
      </c>
      <c r="Q2">
        <v>75</v>
      </c>
      <c r="R2">
        <v>74</v>
      </c>
      <c r="S2">
        <v>74</v>
      </c>
      <c r="T2">
        <v>73</v>
      </c>
      <c r="U2">
        <v>72</v>
      </c>
      <c r="V2">
        <v>71</v>
      </c>
      <c r="W2">
        <v>70</v>
      </c>
      <c r="X2">
        <v>70</v>
      </c>
      <c r="Y2">
        <v>69</v>
      </c>
      <c r="Z2" s="2">
        <f>AVERAGE(Sheet1__6[[#This Row],[00:00:00]:[23:00:00]])</f>
        <v>77.041666666666671</v>
      </c>
      <c r="AA2" t="str" cm="1">
        <f t="array" ref="AA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" spans="1:27" x14ac:dyDescent="0.3">
      <c r="A3" s="1">
        <v>45810</v>
      </c>
      <c r="B3">
        <v>69</v>
      </c>
      <c r="C3">
        <v>68</v>
      </c>
      <c r="D3">
        <v>68</v>
      </c>
      <c r="E3">
        <v>68</v>
      </c>
      <c r="F3">
        <v>67</v>
      </c>
      <c r="G3">
        <v>67</v>
      </c>
      <c r="H3">
        <v>67</v>
      </c>
      <c r="I3">
        <v>67</v>
      </c>
      <c r="J3">
        <v>66</v>
      </c>
      <c r="K3">
        <v>66</v>
      </c>
      <c r="L3">
        <v>66</v>
      </c>
      <c r="M3">
        <v>66</v>
      </c>
      <c r="N3">
        <v>66</v>
      </c>
      <c r="O3">
        <v>66</v>
      </c>
      <c r="P3">
        <v>66</v>
      </c>
      <c r="Q3">
        <v>68</v>
      </c>
      <c r="R3">
        <v>68</v>
      </c>
      <c r="S3">
        <v>69</v>
      </c>
      <c r="T3">
        <v>70</v>
      </c>
      <c r="U3">
        <v>71</v>
      </c>
      <c r="V3">
        <v>72</v>
      </c>
      <c r="W3">
        <v>74</v>
      </c>
      <c r="X3">
        <v>75</v>
      </c>
      <c r="Y3">
        <v>76</v>
      </c>
      <c r="Z3" s="2">
        <f>AVERAGE(Sheet1__6[[#This Row],[00:00:00]:[23:00:00]])</f>
        <v>68.583333333333329</v>
      </c>
      <c r="AA3" t="str" cm="1">
        <f t="array" ref="AA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4" spans="1:27" x14ac:dyDescent="0.3">
      <c r="A4" s="1">
        <v>45811</v>
      </c>
      <c r="B4">
        <v>77</v>
      </c>
      <c r="C4">
        <v>78</v>
      </c>
      <c r="D4">
        <v>78</v>
      </c>
      <c r="E4">
        <v>78</v>
      </c>
      <c r="F4">
        <v>79</v>
      </c>
      <c r="G4">
        <v>79</v>
      </c>
      <c r="H4">
        <v>80</v>
      </c>
      <c r="I4">
        <v>80</v>
      </c>
      <c r="J4">
        <v>81</v>
      </c>
      <c r="K4">
        <v>81</v>
      </c>
      <c r="L4">
        <v>81</v>
      </c>
      <c r="M4">
        <v>81</v>
      </c>
      <c r="N4">
        <v>81</v>
      </c>
      <c r="O4">
        <v>81</v>
      </c>
      <c r="P4">
        <v>81</v>
      </c>
      <c r="Q4">
        <v>80</v>
      </c>
      <c r="R4">
        <v>80</v>
      </c>
      <c r="S4">
        <v>79</v>
      </c>
      <c r="W4">
        <v>76</v>
      </c>
      <c r="X4">
        <v>75</v>
      </c>
      <c r="Y4">
        <v>74</v>
      </c>
      <c r="Z4" s="2">
        <f>AVERAGE(Sheet1__6[[#This Row],[00:00:00]:[23:00:00]])</f>
        <v>79.047619047619051</v>
      </c>
      <c r="AA4" t="str" cm="1">
        <f t="array" ref="AA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5" spans="1:27" x14ac:dyDescent="0.3">
      <c r="A5" s="1">
        <v>45812</v>
      </c>
      <c r="B5">
        <v>74</v>
      </c>
      <c r="C5">
        <v>74</v>
      </c>
      <c r="D5">
        <v>74</v>
      </c>
      <c r="E5">
        <v>74</v>
      </c>
      <c r="F5">
        <v>73</v>
      </c>
      <c r="G5">
        <v>66</v>
      </c>
      <c r="H5">
        <v>66</v>
      </c>
      <c r="I5">
        <v>65</v>
      </c>
      <c r="J5">
        <v>65</v>
      </c>
      <c r="K5">
        <v>64</v>
      </c>
      <c r="L5">
        <v>63</v>
      </c>
      <c r="M5">
        <v>61</v>
      </c>
      <c r="N5">
        <v>61</v>
      </c>
      <c r="O5">
        <v>60</v>
      </c>
      <c r="P5">
        <v>59</v>
      </c>
      <c r="Q5">
        <v>58</v>
      </c>
      <c r="R5">
        <v>56</v>
      </c>
      <c r="S5">
        <v>56</v>
      </c>
      <c r="T5">
        <v>56</v>
      </c>
      <c r="U5">
        <v>57</v>
      </c>
      <c r="V5">
        <v>57</v>
      </c>
      <c r="W5">
        <v>57</v>
      </c>
      <c r="X5">
        <v>57</v>
      </c>
      <c r="Y5">
        <v>57</v>
      </c>
      <c r="Z5" s="2">
        <f>AVERAGE(Sheet1__6[[#This Row],[00:00:00]:[23:00:00]])</f>
        <v>62.916666666666664</v>
      </c>
      <c r="AA5" t="str" cm="1">
        <f t="array" ref="AA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6" spans="1:27" x14ac:dyDescent="0.3">
      <c r="A6" s="1">
        <v>45813</v>
      </c>
      <c r="B6">
        <v>58</v>
      </c>
      <c r="C6">
        <v>60</v>
      </c>
      <c r="D6">
        <v>61</v>
      </c>
      <c r="E6">
        <v>62</v>
      </c>
      <c r="G6">
        <v>65</v>
      </c>
      <c r="H6">
        <v>67</v>
      </c>
      <c r="I6">
        <v>68</v>
      </c>
      <c r="J6">
        <v>69</v>
      </c>
      <c r="K6">
        <v>72</v>
      </c>
      <c r="L6">
        <v>73</v>
      </c>
      <c r="M6">
        <v>76</v>
      </c>
      <c r="N6">
        <v>78</v>
      </c>
      <c r="O6">
        <v>80</v>
      </c>
      <c r="Q6">
        <v>83</v>
      </c>
      <c r="R6">
        <v>85</v>
      </c>
      <c r="S6">
        <v>86</v>
      </c>
      <c r="T6">
        <v>86</v>
      </c>
      <c r="U6">
        <v>87</v>
      </c>
      <c r="V6">
        <v>86</v>
      </c>
      <c r="W6">
        <v>85</v>
      </c>
      <c r="X6">
        <v>84</v>
      </c>
      <c r="Y6">
        <v>82</v>
      </c>
      <c r="Z6" s="2">
        <f>AVERAGE(Sheet1__6[[#This Row],[00:00:00]:[23:00:00]])</f>
        <v>75.13636363636364</v>
      </c>
      <c r="AA6" t="str" cm="1">
        <f t="array" ref="AA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7" spans="1:27" x14ac:dyDescent="0.3">
      <c r="A7" s="1">
        <v>45814</v>
      </c>
      <c r="B7">
        <v>79</v>
      </c>
      <c r="C7">
        <v>77</v>
      </c>
      <c r="D7">
        <v>74</v>
      </c>
      <c r="E7">
        <v>72</v>
      </c>
      <c r="F7">
        <v>70</v>
      </c>
      <c r="G7">
        <v>68</v>
      </c>
      <c r="H7">
        <v>66</v>
      </c>
      <c r="I7">
        <v>64</v>
      </c>
      <c r="J7">
        <v>63</v>
      </c>
      <c r="K7">
        <v>61</v>
      </c>
      <c r="L7">
        <v>60</v>
      </c>
      <c r="M7">
        <v>58</v>
      </c>
      <c r="N7">
        <v>56</v>
      </c>
      <c r="O7">
        <v>55</v>
      </c>
      <c r="P7">
        <v>54</v>
      </c>
      <c r="Q7">
        <v>53</v>
      </c>
      <c r="R7">
        <v>53</v>
      </c>
      <c r="S7">
        <v>53</v>
      </c>
      <c r="T7">
        <v>53</v>
      </c>
      <c r="U7">
        <v>53</v>
      </c>
      <c r="V7">
        <v>54</v>
      </c>
      <c r="W7">
        <v>55</v>
      </c>
      <c r="X7">
        <v>55</v>
      </c>
      <c r="Y7">
        <v>55</v>
      </c>
      <c r="Z7" s="2">
        <f>AVERAGE(Sheet1__6[[#This Row],[00:00:00]:[23:00:00]])</f>
        <v>60.875</v>
      </c>
      <c r="AA7" t="str" cm="1">
        <f t="array" ref="AA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8" spans="1:27" x14ac:dyDescent="0.3">
      <c r="A8" s="1">
        <v>45815</v>
      </c>
      <c r="B8">
        <v>55</v>
      </c>
      <c r="C8">
        <v>55</v>
      </c>
      <c r="D8">
        <v>55</v>
      </c>
      <c r="E8">
        <v>55</v>
      </c>
      <c r="F8">
        <v>55</v>
      </c>
      <c r="G8">
        <v>56</v>
      </c>
      <c r="H8">
        <v>56</v>
      </c>
      <c r="I8">
        <v>57</v>
      </c>
      <c r="J8">
        <v>57</v>
      </c>
      <c r="K8">
        <v>57</v>
      </c>
      <c r="L8">
        <v>57</v>
      </c>
      <c r="M8">
        <v>57</v>
      </c>
      <c r="N8">
        <v>57</v>
      </c>
      <c r="O8">
        <v>57</v>
      </c>
      <c r="P8">
        <v>55</v>
      </c>
      <c r="Q8">
        <v>54</v>
      </c>
      <c r="R8">
        <v>52</v>
      </c>
      <c r="S8">
        <v>51</v>
      </c>
      <c r="T8">
        <v>52</v>
      </c>
      <c r="U8">
        <v>53</v>
      </c>
      <c r="V8">
        <v>53</v>
      </c>
      <c r="W8">
        <v>54</v>
      </c>
      <c r="X8">
        <v>55</v>
      </c>
      <c r="Y8">
        <v>56</v>
      </c>
      <c r="Z8" s="2">
        <f>AVERAGE(Sheet1__6[[#This Row],[00:00:00]:[23:00:00]])</f>
        <v>55.041666666666664</v>
      </c>
      <c r="AA8" t="str" cm="1">
        <f t="array" ref="AA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9" spans="1:27" x14ac:dyDescent="0.3">
      <c r="A9" s="1">
        <v>45816</v>
      </c>
      <c r="B9">
        <v>58</v>
      </c>
      <c r="C9">
        <v>59</v>
      </c>
      <c r="D9">
        <v>60</v>
      </c>
      <c r="E9">
        <v>60</v>
      </c>
      <c r="F9">
        <v>61</v>
      </c>
      <c r="G9">
        <v>60</v>
      </c>
      <c r="H9">
        <v>60</v>
      </c>
      <c r="I9">
        <v>59</v>
      </c>
      <c r="J9">
        <v>58</v>
      </c>
      <c r="K9">
        <v>58</v>
      </c>
      <c r="L9">
        <v>58</v>
      </c>
      <c r="M9">
        <v>58</v>
      </c>
      <c r="N9">
        <v>61</v>
      </c>
      <c r="O9">
        <v>62</v>
      </c>
      <c r="P9">
        <v>62</v>
      </c>
      <c r="Q9">
        <v>62</v>
      </c>
      <c r="R9">
        <v>63</v>
      </c>
      <c r="S9">
        <v>63</v>
      </c>
      <c r="U9">
        <v>64</v>
      </c>
      <c r="V9">
        <v>65</v>
      </c>
      <c r="W9">
        <v>66</v>
      </c>
      <c r="X9">
        <v>66</v>
      </c>
      <c r="Y9">
        <v>68</v>
      </c>
      <c r="Z9" s="2">
        <f>AVERAGE(Sheet1__6[[#This Row],[00:00:00]:[23:00:00]])</f>
        <v>61.347826086956523</v>
      </c>
      <c r="AA9" t="str" cm="1">
        <f t="array" ref="AA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0" spans="1:27" x14ac:dyDescent="0.3">
      <c r="A10" s="1">
        <v>45817</v>
      </c>
      <c r="B10">
        <v>68</v>
      </c>
      <c r="C10">
        <v>68</v>
      </c>
      <c r="D10">
        <v>69</v>
      </c>
      <c r="E10">
        <v>69</v>
      </c>
      <c r="F10">
        <v>70</v>
      </c>
      <c r="G10">
        <v>70</v>
      </c>
      <c r="H10">
        <v>71</v>
      </c>
      <c r="I10">
        <v>72</v>
      </c>
      <c r="J10">
        <v>72</v>
      </c>
      <c r="K10">
        <v>73</v>
      </c>
      <c r="L10">
        <v>74</v>
      </c>
      <c r="M10">
        <v>74</v>
      </c>
      <c r="N10">
        <v>74</v>
      </c>
      <c r="O10">
        <v>74</v>
      </c>
      <c r="P10">
        <v>75</v>
      </c>
      <c r="Q10">
        <v>75</v>
      </c>
      <c r="R10">
        <v>75</v>
      </c>
      <c r="S10">
        <v>76</v>
      </c>
      <c r="T10">
        <v>75</v>
      </c>
      <c r="U10">
        <v>75</v>
      </c>
      <c r="V10">
        <v>75</v>
      </c>
      <c r="W10">
        <v>74</v>
      </c>
      <c r="X10">
        <v>74</v>
      </c>
      <c r="Y10">
        <v>74</v>
      </c>
      <c r="Z10" s="2">
        <f>AVERAGE(Sheet1__6[[#This Row],[00:00:00]:[23:00:00]])</f>
        <v>72.75</v>
      </c>
      <c r="AA10" t="str" cm="1">
        <f t="array" ref="AA1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1" spans="1:27" x14ac:dyDescent="0.3">
      <c r="A11" s="1">
        <v>45818</v>
      </c>
      <c r="B11">
        <v>74</v>
      </c>
      <c r="C11">
        <v>74</v>
      </c>
      <c r="D11">
        <v>74</v>
      </c>
      <c r="E11">
        <v>74</v>
      </c>
      <c r="F11">
        <v>75</v>
      </c>
      <c r="G11">
        <v>74</v>
      </c>
      <c r="H11">
        <v>74</v>
      </c>
      <c r="I11">
        <v>74</v>
      </c>
      <c r="J11">
        <v>74</v>
      </c>
      <c r="K11">
        <v>73</v>
      </c>
      <c r="L11">
        <v>72</v>
      </c>
      <c r="M11">
        <v>72</v>
      </c>
      <c r="N11">
        <v>72</v>
      </c>
      <c r="O11">
        <v>71</v>
      </c>
      <c r="P11">
        <v>70</v>
      </c>
      <c r="Q11">
        <v>70</v>
      </c>
      <c r="R11">
        <v>69</v>
      </c>
      <c r="S11">
        <v>68</v>
      </c>
      <c r="T11">
        <v>69</v>
      </c>
      <c r="U11">
        <v>68</v>
      </c>
      <c r="V11">
        <v>68</v>
      </c>
      <c r="W11">
        <v>66</v>
      </c>
      <c r="X11">
        <v>64</v>
      </c>
      <c r="Y11">
        <v>63</v>
      </c>
      <c r="Z11" s="2">
        <f>AVERAGE(Sheet1__6[[#This Row],[00:00:00]:[23:00:00]])</f>
        <v>70.916666666666671</v>
      </c>
      <c r="AA11" t="str" cm="1">
        <f t="array" ref="AA1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2" spans="1:27" x14ac:dyDescent="0.3">
      <c r="A12" s="1">
        <v>45819</v>
      </c>
      <c r="B12">
        <v>62</v>
      </c>
      <c r="C12">
        <v>60</v>
      </c>
      <c r="D12">
        <v>58</v>
      </c>
      <c r="E12">
        <v>57</v>
      </c>
      <c r="F12">
        <v>56</v>
      </c>
      <c r="G12">
        <v>55</v>
      </c>
      <c r="H12">
        <v>54</v>
      </c>
      <c r="I12">
        <v>53</v>
      </c>
      <c r="J12">
        <v>52</v>
      </c>
      <c r="K12">
        <v>51</v>
      </c>
      <c r="L12">
        <v>51</v>
      </c>
      <c r="M12">
        <v>51</v>
      </c>
      <c r="N12">
        <v>51</v>
      </c>
      <c r="O12">
        <v>51</v>
      </c>
      <c r="P12">
        <v>51</v>
      </c>
      <c r="Q12">
        <v>51</v>
      </c>
      <c r="R12">
        <v>52</v>
      </c>
      <c r="S12">
        <v>52</v>
      </c>
      <c r="T12">
        <v>54</v>
      </c>
      <c r="U12">
        <v>55</v>
      </c>
      <c r="V12">
        <v>57</v>
      </c>
      <c r="W12">
        <v>57</v>
      </c>
      <c r="X12">
        <v>58</v>
      </c>
      <c r="Y12">
        <v>61</v>
      </c>
      <c r="Z12" s="2">
        <f>AVERAGE(Sheet1__6[[#This Row],[00:00:00]:[23:00:00]])</f>
        <v>54.583333333333336</v>
      </c>
      <c r="AA12" t="str" cm="1">
        <f t="array" ref="AA1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3" spans="1:27" x14ac:dyDescent="0.3">
      <c r="A13" s="1">
        <v>45820</v>
      </c>
      <c r="B13">
        <v>66</v>
      </c>
      <c r="C13">
        <v>69</v>
      </c>
      <c r="D13">
        <v>72</v>
      </c>
      <c r="E13">
        <v>73</v>
      </c>
      <c r="F13">
        <v>74</v>
      </c>
      <c r="G13">
        <v>75</v>
      </c>
      <c r="H13">
        <v>76</v>
      </c>
      <c r="I13">
        <v>77</v>
      </c>
      <c r="J13">
        <v>79</v>
      </c>
      <c r="K13">
        <v>79</v>
      </c>
      <c r="L13">
        <v>80</v>
      </c>
      <c r="M13">
        <v>82</v>
      </c>
      <c r="N13">
        <v>82</v>
      </c>
      <c r="O13">
        <v>82</v>
      </c>
      <c r="P13">
        <v>82</v>
      </c>
      <c r="Q13">
        <v>82</v>
      </c>
      <c r="R13">
        <v>84</v>
      </c>
      <c r="S13">
        <v>84</v>
      </c>
      <c r="T13">
        <v>84</v>
      </c>
      <c r="U13">
        <v>83</v>
      </c>
      <c r="V13">
        <v>83</v>
      </c>
      <c r="W13">
        <v>84</v>
      </c>
      <c r="X13">
        <v>84</v>
      </c>
      <c r="Y13">
        <v>81</v>
      </c>
      <c r="Z13" s="2">
        <f>AVERAGE(Sheet1__6[[#This Row],[00:00:00]:[23:00:00]])</f>
        <v>79.041666666666671</v>
      </c>
      <c r="AA13" t="str" cm="1">
        <f t="array" ref="AA1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4" spans="1:27" x14ac:dyDescent="0.3">
      <c r="A14" s="1">
        <v>45821</v>
      </c>
      <c r="B14">
        <v>76</v>
      </c>
      <c r="C14">
        <v>72</v>
      </c>
      <c r="D14">
        <v>70</v>
      </c>
      <c r="E14">
        <v>69</v>
      </c>
      <c r="F14">
        <v>67</v>
      </c>
      <c r="G14">
        <v>66</v>
      </c>
      <c r="H14">
        <v>66</v>
      </c>
      <c r="I14">
        <v>65</v>
      </c>
      <c r="J14">
        <v>64</v>
      </c>
      <c r="K14">
        <v>64</v>
      </c>
      <c r="L14">
        <v>64</v>
      </c>
      <c r="M14">
        <v>64</v>
      </c>
      <c r="N14">
        <v>64</v>
      </c>
      <c r="O14">
        <v>63</v>
      </c>
      <c r="P14">
        <v>63</v>
      </c>
      <c r="Q14">
        <v>62</v>
      </c>
      <c r="R14">
        <v>62</v>
      </c>
      <c r="S14">
        <v>61</v>
      </c>
      <c r="T14">
        <v>60</v>
      </c>
      <c r="U14">
        <v>60</v>
      </c>
      <c r="V14">
        <v>59</v>
      </c>
      <c r="W14">
        <v>59</v>
      </c>
      <c r="X14">
        <v>58</v>
      </c>
      <c r="Y14">
        <v>58</v>
      </c>
      <c r="Z14" s="2">
        <f>AVERAGE(Sheet1__6[[#This Row],[00:00:00]:[23:00:00]])</f>
        <v>64</v>
      </c>
      <c r="AA14" t="str" cm="1">
        <f t="array" ref="AA1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5" spans="1:27" x14ac:dyDescent="0.3">
      <c r="A15" s="1">
        <v>45822</v>
      </c>
      <c r="B15">
        <v>57</v>
      </c>
      <c r="C15">
        <v>57</v>
      </c>
      <c r="D15">
        <v>57</v>
      </c>
      <c r="E15">
        <v>58</v>
      </c>
      <c r="F15">
        <v>58</v>
      </c>
      <c r="G15">
        <v>58</v>
      </c>
      <c r="H15">
        <v>58</v>
      </c>
      <c r="I15">
        <v>59</v>
      </c>
      <c r="J15">
        <v>60</v>
      </c>
      <c r="K15">
        <v>60</v>
      </c>
      <c r="L15">
        <v>61</v>
      </c>
      <c r="M15">
        <v>61</v>
      </c>
      <c r="N15">
        <v>61</v>
      </c>
      <c r="O15">
        <v>62</v>
      </c>
      <c r="P15">
        <v>62</v>
      </c>
      <c r="Q15">
        <v>64</v>
      </c>
      <c r="R15">
        <v>64</v>
      </c>
      <c r="S15">
        <v>60</v>
      </c>
      <c r="T15">
        <v>68</v>
      </c>
      <c r="U15">
        <v>69</v>
      </c>
      <c r="V15">
        <v>70</v>
      </c>
      <c r="W15">
        <v>69</v>
      </c>
      <c r="X15">
        <v>67</v>
      </c>
      <c r="Y15">
        <v>66</v>
      </c>
      <c r="Z15" s="2">
        <f>AVERAGE(Sheet1__6[[#This Row],[00:00:00]:[23:00:00]])</f>
        <v>61.916666666666664</v>
      </c>
      <c r="AA15" t="str" cm="1">
        <f t="array" ref="AA1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6" spans="1:27" x14ac:dyDescent="0.3">
      <c r="A16" s="1">
        <v>45823</v>
      </c>
      <c r="B16">
        <v>66</v>
      </c>
      <c r="C16">
        <v>66</v>
      </c>
      <c r="D16">
        <v>67</v>
      </c>
      <c r="E16">
        <v>66</v>
      </c>
      <c r="F16">
        <v>66</v>
      </c>
      <c r="G16">
        <v>67</v>
      </c>
      <c r="H16">
        <v>67</v>
      </c>
      <c r="I16">
        <v>68</v>
      </c>
      <c r="J16">
        <v>68</v>
      </c>
      <c r="K16">
        <v>68</v>
      </c>
      <c r="L16">
        <v>67</v>
      </c>
      <c r="M16">
        <v>67</v>
      </c>
      <c r="N16">
        <v>66</v>
      </c>
      <c r="O16">
        <v>66</v>
      </c>
      <c r="P16">
        <v>65</v>
      </c>
      <c r="Q16">
        <v>64</v>
      </c>
      <c r="R16">
        <v>62</v>
      </c>
      <c r="S16">
        <v>61</v>
      </c>
      <c r="T16">
        <v>60</v>
      </c>
      <c r="U16">
        <v>56</v>
      </c>
      <c r="V16">
        <v>55</v>
      </c>
      <c r="W16">
        <v>54</v>
      </c>
      <c r="X16">
        <v>53</v>
      </c>
      <c r="Y16">
        <v>51</v>
      </c>
      <c r="Z16" s="2">
        <f>AVERAGE(Sheet1__6[[#This Row],[00:00:00]:[23:00:00]])</f>
        <v>63.166666666666664</v>
      </c>
      <c r="AA16" t="str" cm="1">
        <f t="array" ref="AA1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17" spans="1:27" x14ac:dyDescent="0.3">
      <c r="A17" s="1">
        <v>45824</v>
      </c>
      <c r="B17">
        <v>50</v>
      </c>
      <c r="C17">
        <v>49</v>
      </c>
      <c r="D17">
        <v>48</v>
      </c>
      <c r="E17">
        <v>48</v>
      </c>
      <c r="F17">
        <v>49</v>
      </c>
      <c r="G17">
        <v>48</v>
      </c>
      <c r="H17">
        <v>47</v>
      </c>
      <c r="I17">
        <v>46</v>
      </c>
      <c r="J17">
        <v>46</v>
      </c>
      <c r="K17">
        <v>48</v>
      </c>
      <c r="L17">
        <v>48</v>
      </c>
      <c r="M17">
        <v>48</v>
      </c>
      <c r="N17">
        <v>48</v>
      </c>
      <c r="O17">
        <v>48</v>
      </c>
      <c r="P17">
        <v>47</v>
      </c>
      <c r="Q17">
        <v>47</v>
      </c>
      <c r="R17">
        <v>46</v>
      </c>
      <c r="S17">
        <v>46</v>
      </c>
      <c r="T17">
        <v>47</v>
      </c>
      <c r="U17">
        <v>46</v>
      </c>
      <c r="V17">
        <v>45</v>
      </c>
      <c r="W17">
        <v>44</v>
      </c>
      <c r="X17">
        <v>44</v>
      </c>
      <c r="Y17">
        <v>44</v>
      </c>
      <c r="Z17" s="2">
        <f>AVERAGE(Sheet1__6[[#This Row],[00:00:00]:[23:00:00]])</f>
        <v>46.958333333333336</v>
      </c>
      <c r="AA17" t="str" cm="1">
        <f t="array" ref="AA1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8" spans="1:27" x14ac:dyDescent="0.3">
      <c r="A18" s="1">
        <v>45825</v>
      </c>
      <c r="B18">
        <v>44</v>
      </c>
      <c r="C18">
        <v>43</v>
      </c>
      <c r="D18">
        <v>43</v>
      </c>
      <c r="E18">
        <v>42</v>
      </c>
      <c r="F18">
        <v>43</v>
      </c>
      <c r="G18">
        <v>42</v>
      </c>
      <c r="H18">
        <v>42</v>
      </c>
      <c r="I18">
        <v>42</v>
      </c>
      <c r="J18">
        <v>41</v>
      </c>
      <c r="K18">
        <v>40</v>
      </c>
      <c r="L18">
        <v>40</v>
      </c>
      <c r="M18">
        <v>40</v>
      </c>
      <c r="N18">
        <v>42</v>
      </c>
      <c r="O18">
        <v>44</v>
      </c>
      <c r="P18">
        <v>46</v>
      </c>
      <c r="Q18">
        <v>49</v>
      </c>
      <c r="R18">
        <v>51</v>
      </c>
      <c r="S18">
        <v>54</v>
      </c>
      <c r="T18">
        <v>56</v>
      </c>
      <c r="U18">
        <v>59</v>
      </c>
      <c r="V18">
        <v>62</v>
      </c>
      <c r="W18">
        <v>65</v>
      </c>
      <c r="X18">
        <v>67</v>
      </c>
      <c r="Y18">
        <v>69</v>
      </c>
      <c r="Z18" s="2">
        <f>AVERAGE(Sheet1__6[[#This Row],[00:00:00]:[23:00:00]])</f>
        <v>48.583333333333336</v>
      </c>
      <c r="AA18" t="str" cm="1">
        <f t="array" ref="AA1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19" spans="1:27" x14ac:dyDescent="0.3">
      <c r="A19" s="1">
        <v>45826</v>
      </c>
      <c r="B19">
        <v>71</v>
      </c>
      <c r="C19">
        <v>73</v>
      </c>
      <c r="D19">
        <v>74</v>
      </c>
      <c r="E19">
        <v>76</v>
      </c>
      <c r="F19">
        <v>76</v>
      </c>
      <c r="G19">
        <v>77</v>
      </c>
      <c r="H19">
        <v>76</v>
      </c>
      <c r="I19">
        <v>74</v>
      </c>
      <c r="J19">
        <v>74</v>
      </c>
      <c r="K19">
        <v>72</v>
      </c>
      <c r="L19">
        <v>70</v>
      </c>
      <c r="M19">
        <v>69</v>
      </c>
      <c r="N19">
        <v>67</v>
      </c>
      <c r="O19">
        <v>64</v>
      </c>
      <c r="P19">
        <v>62</v>
      </c>
      <c r="Q19">
        <v>59</v>
      </c>
      <c r="R19">
        <v>57</v>
      </c>
      <c r="S19">
        <v>56</v>
      </c>
      <c r="T19">
        <v>55</v>
      </c>
      <c r="U19">
        <v>53</v>
      </c>
      <c r="V19">
        <v>51</v>
      </c>
      <c r="W19">
        <v>48</v>
      </c>
      <c r="X19">
        <v>47</v>
      </c>
      <c r="Y19">
        <v>45</v>
      </c>
      <c r="Z19" s="2">
        <f>AVERAGE(Sheet1__6[[#This Row],[00:00:00]:[23:00:00]])</f>
        <v>64.416666666666671</v>
      </c>
      <c r="AA19" t="str" cm="1">
        <f t="array" ref="AA1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0" spans="1:27" x14ac:dyDescent="0.3">
      <c r="A20" s="1">
        <v>45827</v>
      </c>
      <c r="B20">
        <v>43</v>
      </c>
      <c r="C20">
        <v>41</v>
      </c>
      <c r="D20">
        <v>40</v>
      </c>
      <c r="E20">
        <v>38</v>
      </c>
      <c r="F20">
        <v>38</v>
      </c>
      <c r="G20">
        <v>38</v>
      </c>
      <c r="H20">
        <v>38</v>
      </c>
      <c r="I20">
        <v>39</v>
      </c>
      <c r="J20">
        <v>38</v>
      </c>
      <c r="K20">
        <v>38</v>
      </c>
      <c r="L20">
        <v>39</v>
      </c>
      <c r="M20">
        <v>44</v>
      </c>
      <c r="N20">
        <v>44</v>
      </c>
      <c r="O20">
        <v>42</v>
      </c>
      <c r="P20">
        <v>43</v>
      </c>
      <c r="Q20">
        <v>44</v>
      </c>
      <c r="R20">
        <v>42</v>
      </c>
      <c r="S20">
        <v>43</v>
      </c>
      <c r="T20">
        <v>43</v>
      </c>
      <c r="U20">
        <v>42</v>
      </c>
      <c r="V20">
        <v>41</v>
      </c>
      <c r="W20">
        <v>42</v>
      </c>
      <c r="X20">
        <v>42</v>
      </c>
      <c r="Y20">
        <v>43</v>
      </c>
      <c r="Z20" s="2">
        <f>AVERAGE(Sheet1__6[[#This Row],[00:00:00]:[23:00:00]])</f>
        <v>41.041666666666664</v>
      </c>
      <c r="AA20" t="str" cm="1">
        <f t="array" ref="AA2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1" spans="1:27" x14ac:dyDescent="0.3">
      <c r="A21" s="1">
        <v>45828</v>
      </c>
      <c r="B21">
        <v>44</v>
      </c>
      <c r="C21">
        <v>44</v>
      </c>
      <c r="D21">
        <v>44</v>
      </c>
      <c r="E21">
        <v>45</v>
      </c>
      <c r="F21">
        <v>46</v>
      </c>
      <c r="G21">
        <v>47</v>
      </c>
      <c r="H21">
        <v>48</v>
      </c>
      <c r="I21">
        <v>47</v>
      </c>
      <c r="J21">
        <v>48</v>
      </c>
      <c r="K21">
        <v>49</v>
      </c>
      <c r="L21">
        <v>50</v>
      </c>
      <c r="M21">
        <v>51</v>
      </c>
      <c r="N21">
        <v>51</v>
      </c>
      <c r="O21">
        <v>50</v>
      </c>
      <c r="P21">
        <v>51</v>
      </c>
      <c r="Q21">
        <v>52</v>
      </c>
      <c r="R21">
        <v>52</v>
      </c>
      <c r="S21">
        <v>53</v>
      </c>
      <c r="T21">
        <v>54</v>
      </c>
      <c r="U21">
        <v>55</v>
      </c>
      <c r="V21">
        <v>56</v>
      </c>
      <c r="W21">
        <v>57</v>
      </c>
      <c r="X21">
        <v>57</v>
      </c>
      <c r="Y21">
        <v>58</v>
      </c>
      <c r="Z21" s="2">
        <f>AVERAGE(Sheet1__6[[#This Row],[00:00:00]:[23:00:00]])</f>
        <v>50.375</v>
      </c>
      <c r="AA21" t="str" cm="1">
        <f t="array" ref="AA2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2" spans="1:27" x14ac:dyDescent="0.3">
      <c r="A22" s="1">
        <v>45829</v>
      </c>
      <c r="B22">
        <v>58</v>
      </c>
      <c r="C22">
        <v>59</v>
      </c>
      <c r="D22">
        <v>58</v>
      </c>
      <c r="E22">
        <v>58</v>
      </c>
      <c r="F22">
        <v>58</v>
      </c>
      <c r="G22">
        <v>58</v>
      </c>
      <c r="H22">
        <v>57</v>
      </c>
      <c r="I22">
        <v>56</v>
      </c>
      <c r="J22">
        <v>56</v>
      </c>
      <c r="K22">
        <v>56</v>
      </c>
      <c r="L22">
        <v>55</v>
      </c>
      <c r="P22">
        <v>54</v>
      </c>
      <c r="Q22">
        <v>53</v>
      </c>
      <c r="R22">
        <v>53</v>
      </c>
      <c r="S22">
        <v>53</v>
      </c>
      <c r="T22">
        <v>52</v>
      </c>
      <c r="U22">
        <v>52</v>
      </c>
      <c r="V22">
        <v>51</v>
      </c>
      <c r="W22">
        <v>50</v>
      </c>
      <c r="X22">
        <v>49</v>
      </c>
      <c r="Y22">
        <v>48</v>
      </c>
      <c r="Z22" s="2">
        <f>AVERAGE(Sheet1__6[[#This Row],[00:00:00]:[23:00:00]])</f>
        <v>54.476190476190474</v>
      </c>
      <c r="AA22" t="str" cm="1">
        <f t="array" ref="AA22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3" spans="1:27" x14ac:dyDescent="0.3">
      <c r="A23" s="1">
        <v>45830</v>
      </c>
      <c r="B23">
        <v>48</v>
      </c>
      <c r="C23">
        <v>48</v>
      </c>
      <c r="D23">
        <v>48</v>
      </c>
      <c r="E23">
        <v>48</v>
      </c>
      <c r="F23">
        <v>48</v>
      </c>
      <c r="G23">
        <v>49</v>
      </c>
      <c r="H23">
        <v>50</v>
      </c>
      <c r="I23">
        <v>51</v>
      </c>
      <c r="J23">
        <v>52</v>
      </c>
      <c r="K23">
        <v>53</v>
      </c>
      <c r="L23">
        <v>53</v>
      </c>
      <c r="M23">
        <v>54</v>
      </c>
      <c r="N23">
        <v>54</v>
      </c>
      <c r="O23">
        <v>55</v>
      </c>
      <c r="P23">
        <v>54</v>
      </c>
      <c r="Q23">
        <v>55</v>
      </c>
      <c r="R23">
        <v>54</v>
      </c>
      <c r="S23">
        <v>54</v>
      </c>
      <c r="T23">
        <v>54</v>
      </c>
      <c r="U23">
        <v>54</v>
      </c>
      <c r="V23">
        <v>54</v>
      </c>
      <c r="W23">
        <v>54</v>
      </c>
      <c r="X23">
        <v>54</v>
      </c>
      <c r="Y23">
        <v>53</v>
      </c>
      <c r="Z23" s="2">
        <f>AVERAGE(Sheet1__6[[#This Row],[00:00:00]:[23:00:00]])</f>
        <v>52.125</v>
      </c>
      <c r="AA23" t="str" cm="1">
        <f t="array" ref="AA23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4" spans="1:27" x14ac:dyDescent="0.3">
      <c r="A24" s="1">
        <v>45831</v>
      </c>
      <c r="B24">
        <v>54</v>
      </c>
      <c r="C24">
        <v>54</v>
      </c>
      <c r="D24">
        <v>54</v>
      </c>
      <c r="E24">
        <v>54</v>
      </c>
      <c r="F24">
        <v>54</v>
      </c>
      <c r="G24">
        <v>54</v>
      </c>
      <c r="H24">
        <v>52</v>
      </c>
      <c r="I24">
        <v>52</v>
      </c>
      <c r="J24">
        <v>51</v>
      </c>
      <c r="K24">
        <v>50</v>
      </c>
      <c r="L24">
        <v>49</v>
      </c>
      <c r="M24">
        <v>48</v>
      </c>
      <c r="N24">
        <v>47</v>
      </c>
      <c r="O24">
        <v>46</v>
      </c>
      <c r="P24">
        <v>45</v>
      </c>
      <c r="Q24">
        <v>45</v>
      </c>
      <c r="R24">
        <v>45</v>
      </c>
      <c r="S24">
        <v>45</v>
      </c>
      <c r="T24">
        <v>45</v>
      </c>
      <c r="U24">
        <v>45</v>
      </c>
      <c r="V24">
        <v>45</v>
      </c>
      <c r="W24">
        <v>46</v>
      </c>
      <c r="X24">
        <v>46</v>
      </c>
      <c r="Y24">
        <v>46</v>
      </c>
      <c r="Z24" s="2">
        <f>AVERAGE(Sheet1__6[[#This Row],[00:00:00]:[23:00:00]])</f>
        <v>48.833333333333336</v>
      </c>
      <c r="AA24" t="str" cm="1">
        <f t="array" ref="AA24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5" spans="1:27" x14ac:dyDescent="0.3">
      <c r="A25" s="1">
        <v>45832</v>
      </c>
      <c r="B25">
        <v>44</v>
      </c>
      <c r="C25">
        <v>44</v>
      </c>
      <c r="D25">
        <v>43</v>
      </c>
      <c r="E25">
        <v>43</v>
      </c>
      <c r="F25">
        <v>42</v>
      </c>
      <c r="G25">
        <v>42</v>
      </c>
      <c r="H25">
        <v>42</v>
      </c>
      <c r="I25">
        <v>42</v>
      </c>
      <c r="J25">
        <v>42</v>
      </c>
      <c r="K25">
        <v>43</v>
      </c>
      <c r="L25">
        <v>43</v>
      </c>
      <c r="M25">
        <v>44</v>
      </c>
      <c r="N25">
        <v>44</v>
      </c>
      <c r="O25">
        <v>44</v>
      </c>
      <c r="P25">
        <v>45</v>
      </c>
      <c r="Q25">
        <v>46</v>
      </c>
      <c r="R25">
        <v>47</v>
      </c>
      <c r="S25">
        <v>48</v>
      </c>
      <c r="T25">
        <v>49</v>
      </c>
      <c r="U25">
        <v>50</v>
      </c>
      <c r="V25">
        <v>51</v>
      </c>
      <c r="W25">
        <v>52</v>
      </c>
      <c r="X25">
        <v>52</v>
      </c>
      <c r="Y25">
        <v>54</v>
      </c>
      <c r="Z25" s="2">
        <f>AVERAGE(Sheet1__6[[#This Row],[00:00:00]:[23:00:00]])</f>
        <v>45.666666666666664</v>
      </c>
      <c r="AA25" t="str" cm="1">
        <f t="array" ref="AA25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GOOD</v>
      </c>
    </row>
    <row r="26" spans="1:27" x14ac:dyDescent="0.3">
      <c r="A26" s="1">
        <v>45833</v>
      </c>
      <c r="B26">
        <v>56</v>
      </c>
      <c r="C26">
        <v>58</v>
      </c>
      <c r="D26">
        <v>59</v>
      </c>
      <c r="E26">
        <v>61</v>
      </c>
      <c r="F26">
        <v>62</v>
      </c>
      <c r="G26">
        <v>64</v>
      </c>
      <c r="H26">
        <v>65</v>
      </c>
      <c r="I26">
        <v>66</v>
      </c>
      <c r="J26">
        <v>67</v>
      </c>
      <c r="K26">
        <v>68</v>
      </c>
      <c r="L26">
        <v>69</v>
      </c>
      <c r="M26">
        <v>70</v>
      </c>
      <c r="N26">
        <v>70</v>
      </c>
      <c r="O26">
        <v>72</v>
      </c>
      <c r="P26">
        <v>72</v>
      </c>
      <c r="Q26">
        <v>72</v>
      </c>
      <c r="R26">
        <v>72</v>
      </c>
      <c r="S26">
        <v>71</v>
      </c>
      <c r="T26">
        <v>71</v>
      </c>
      <c r="U26">
        <v>71</v>
      </c>
      <c r="V26">
        <v>71</v>
      </c>
      <c r="W26">
        <v>70</v>
      </c>
      <c r="X26">
        <v>70</v>
      </c>
      <c r="Y26">
        <v>70</v>
      </c>
      <c r="Z26" s="2">
        <f>AVERAGE(Sheet1__6[[#This Row],[00:00:00]:[23:00:00]])</f>
        <v>67.375</v>
      </c>
      <c r="AA26" t="str" cm="1">
        <f t="array" ref="AA26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7" spans="1:27" x14ac:dyDescent="0.3">
      <c r="A27" s="1">
        <v>45834</v>
      </c>
      <c r="B27">
        <v>70</v>
      </c>
      <c r="C27">
        <v>70</v>
      </c>
      <c r="D27">
        <v>70</v>
      </c>
      <c r="E27">
        <v>69</v>
      </c>
      <c r="F27">
        <v>68</v>
      </c>
      <c r="G27">
        <v>68</v>
      </c>
      <c r="H27">
        <v>67</v>
      </c>
      <c r="I27">
        <v>67</v>
      </c>
      <c r="J27">
        <v>67</v>
      </c>
      <c r="K27">
        <v>67</v>
      </c>
      <c r="L27">
        <v>66</v>
      </c>
      <c r="M27">
        <v>66</v>
      </c>
      <c r="N27">
        <v>67</v>
      </c>
      <c r="O27">
        <v>67</v>
      </c>
      <c r="P27">
        <v>68</v>
      </c>
      <c r="Q27">
        <v>67</v>
      </c>
      <c r="R27">
        <v>67</v>
      </c>
      <c r="S27">
        <v>67</v>
      </c>
      <c r="U27">
        <v>66</v>
      </c>
      <c r="V27">
        <v>66</v>
      </c>
      <c r="W27">
        <v>65</v>
      </c>
      <c r="X27">
        <v>64</v>
      </c>
      <c r="Y27">
        <v>63</v>
      </c>
      <c r="Z27" s="2">
        <f>AVERAGE(Sheet1__6[[#This Row],[00:00:00]:[23:00:00]])</f>
        <v>67.043478260869563</v>
      </c>
      <c r="AA27" t="str" cm="1">
        <f t="array" ref="AA27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8" spans="1:27" x14ac:dyDescent="0.3">
      <c r="A28" s="1">
        <v>45835</v>
      </c>
      <c r="B28">
        <v>63</v>
      </c>
      <c r="C28">
        <v>62</v>
      </c>
      <c r="D28">
        <v>62</v>
      </c>
      <c r="E28">
        <v>63</v>
      </c>
      <c r="F28">
        <v>63</v>
      </c>
      <c r="G28">
        <v>63</v>
      </c>
      <c r="H28">
        <v>63</v>
      </c>
      <c r="I28">
        <v>62</v>
      </c>
      <c r="J28">
        <v>62</v>
      </c>
      <c r="K28">
        <v>62</v>
      </c>
      <c r="L28">
        <v>62</v>
      </c>
      <c r="M28">
        <v>62</v>
      </c>
      <c r="N28">
        <v>61</v>
      </c>
      <c r="O28">
        <v>61</v>
      </c>
      <c r="P28">
        <v>61</v>
      </c>
      <c r="Q28">
        <v>61</v>
      </c>
      <c r="R28">
        <v>61</v>
      </c>
      <c r="S28">
        <v>60</v>
      </c>
      <c r="T28">
        <v>60</v>
      </c>
      <c r="U28">
        <v>60</v>
      </c>
      <c r="V28">
        <v>60</v>
      </c>
      <c r="W28">
        <v>60</v>
      </c>
      <c r="X28">
        <v>59</v>
      </c>
      <c r="Y28">
        <v>59</v>
      </c>
      <c r="Z28" s="2">
        <f>AVERAGE(Sheet1__6[[#This Row],[00:00:00]:[23:00:00]])</f>
        <v>61.333333333333336</v>
      </c>
      <c r="AA28" t="str" cm="1">
        <f t="array" ref="AA28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29" spans="1:27" x14ac:dyDescent="0.3">
      <c r="A29" s="1">
        <v>45836</v>
      </c>
      <c r="B29">
        <v>59</v>
      </c>
      <c r="C29">
        <v>59</v>
      </c>
      <c r="D29">
        <v>58</v>
      </c>
      <c r="E29">
        <v>58</v>
      </c>
      <c r="F29">
        <v>58</v>
      </c>
      <c r="G29">
        <v>59</v>
      </c>
      <c r="H29">
        <v>60</v>
      </c>
      <c r="I29">
        <v>61</v>
      </c>
      <c r="J29">
        <v>62</v>
      </c>
      <c r="K29">
        <v>63</v>
      </c>
      <c r="L29">
        <v>64</v>
      </c>
      <c r="M29">
        <v>65</v>
      </c>
      <c r="N29">
        <v>65</v>
      </c>
      <c r="O29">
        <v>66</v>
      </c>
      <c r="P29">
        <v>66</v>
      </c>
      <c r="Q29">
        <v>67</v>
      </c>
      <c r="R29">
        <v>67</v>
      </c>
      <c r="S29">
        <v>68</v>
      </c>
      <c r="T29">
        <v>70</v>
      </c>
      <c r="U29">
        <v>70</v>
      </c>
      <c r="V29">
        <v>72</v>
      </c>
      <c r="W29">
        <v>72</v>
      </c>
      <c r="X29">
        <v>73</v>
      </c>
      <c r="Y29">
        <v>68</v>
      </c>
      <c r="Z29" s="2">
        <f>AVERAGE(Sheet1__6[[#This Row],[00:00:00]:[23:00:00]])</f>
        <v>64.583333333333329</v>
      </c>
      <c r="AA29" t="str" cm="1">
        <f t="array" ref="AA29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0" spans="1:27" x14ac:dyDescent="0.3">
      <c r="A30" s="1">
        <v>45837</v>
      </c>
      <c r="B30">
        <v>68</v>
      </c>
      <c r="C30">
        <v>68</v>
      </c>
      <c r="D30">
        <v>67</v>
      </c>
      <c r="E30">
        <v>65</v>
      </c>
      <c r="F30">
        <v>64</v>
      </c>
      <c r="G30">
        <v>62</v>
      </c>
      <c r="H30">
        <v>61</v>
      </c>
      <c r="I30">
        <v>59</v>
      </c>
      <c r="J30">
        <v>58</v>
      </c>
      <c r="K30">
        <v>57</v>
      </c>
      <c r="L30">
        <v>56</v>
      </c>
      <c r="M30">
        <v>56</v>
      </c>
      <c r="N30">
        <v>55</v>
      </c>
      <c r="O30">
        <v>54</v>
      </c>
      <c r="P30">
        <v>53</v>
      </c>
      <c r="Q30">
        <v>53</v>
      </c>
      <c r="R30">
        <v>51</v>
      </c>
      <c r="S30">
        <v>56</v>
      </c>
      <c r="T30">
        <v>54</v>
      </c>
      <c r="U30">
        <v>53</v>
      </c>
      <c r="V30">
        <v>52</v>
      </c>
      <c r="W30">
        <v>52</v>
      </c>
      <c r="X30">
        <v>51</v>
      </c>
      <c r="Y30">
        <v>50</v>
      </c>
      <c r="Z30" s="2">
        <f>AVERAGE(Sheet1__6[[#This Row],[00:00:00]:[23:00:00]])</f>
        <v>57.291666666666664</v>
      </c>
      <c r="AA30" t="str" cm="1">
        <f t="array" ref="AA30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1" spans="1:27" x14ac:dyDescent="0.3">
      <c r="A31" s="1">
        <v>45838</v>
      </c>
      <c r="B31">
        <v>50</v>
      </c>
      <c r="C31">
        <v>50</v>
      </c>
      <c r="D31">
        <v>50</v>
      </c>
      <c r="E31">
        <v>50</v>
      </c>
      <c r="F31">
        <v>52</v>
      </c>
      <c r="G31">
        <v>52</v>
      </c>
      <c r="H31">
        <v>53</v>
      </c>
      <c r="I31">
        <v>54</v>
      </c>
      <c r="J31">
        <v>54</v>
      </c>
      <c r="K31">
        <v>54</v>
      </c>
      <c r="L31">
        <v>54</v>
      </c>
      <c r="M31">
        <v>54</v>
      </c>
      <c r="N31">
        <v>55</v>
      </c>
      <c r="O31">
        <v>54</v>
      </c>
      <c r="P31">
        <v>54</v>
      </c>
      <c r="Q31">
        <v>53</v>
      </c>
      <c r="R31">
        <v>53</v>
      </c>
      <c r="S31">
        <v>52</v>
      </c>
      <c r="T31">
        <v>53</v>
      </c>
      <c r="U31">
        <v>52</v>
      </c>
      <c r="V31">
        <v>52</v>
      </c>
      <c r="W31">
        <v>52</v>
      </c>
      <c r="X31">
        <v>53</v>
      </c>
      <c r="Y31">
        <v>52</v>
      </c>
      <c r="Z31" s="2">
        <f>AVERAGE(Sheet1__6[[#This Row],[00:00:00]:[23:00:00]])</f>
        <v>52.583333333333336</v>
      </c>
      <c r="AA31" t="str" cm="1">
        <f t="array" ref="AA31">_xlfn.IFS(Sheet1__6[[#This Row],[AVERAGE AQI]]&lt;50,"GOOD",Sheet1__6[[#This Row],[AVERAGE AQI]]&lt;=100,"MODERATE",Sheet1__6[[#This Row],[AVERAGE AQI]]&lt;=150,"BAD",Sheet1__6[[#This Row],[AVERAGE AQI]]&lt;=200,"VERY BAD",Sheet1__6[[#This Row],[AVERAGE AQI]]&lt;=300,"HAZARDOUS")</f>
        <v>MODERATE</v>
      </c>
    </row>
    <row r="32" spans="1:27" x14ac:dyDescent="0.3">
      <c r="Z32" s="2">
        <f>AVERAGE(Sheet1__6[AVERAGE AQI])</f>
        <v>60.968382583599961</v>
      </c>
      <c r="AA32" s="3"/>
    </row>
  </sheetData>
  <conditionalFormatting sqref="AA1:AA1048576">
    <cfRule type="containsText" dxfId="29" priority="1" operator="containsText" text="GOOD">
      <formula>NOT(ISERROR(SEARCH("GOOD",AA1)))</formula>
    </cfRule>
    <cfRule type="containsText" dxfId="28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5353-BE82-49EE-818B-5C26FD1C9FB0}">
  <dimension ref="A1:AA33"/>
  <sheetViews>
    <sheetView topLeftCell="I12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45839</v>
      </c>
      <c r="B2">
        <v>51</v>
      </c>
      <c r="C2">
        <v>50</v>
      </c>
      <c r="D2">
        <v>49</v>
      </c>
      <c r="E2">
        <v>48</v>
      </c>
      <c r="F2">
        <v>48</v>
      </c>
      <c r="G2">
        <v>46</v>
      </c>
      <c r="H2">
        <v>46</v>
      </c>
      <c r="I2">
        <v>45</v>
      </c>
      <c r="J2">
        <v>44</v>
      </c>
      <c r="K2">
        <v>43</v>
      </c>
      <c r="L2">
        <v>42</v>
      </c>
      <c r="M2">
        <v>41</v>
      </c>
      <c r="O2">
        <v>40</v>
      </c>
      <c r="P2">
        <v>40</v>
      </c>
      <c r="Q2">
        <v>40</v>
      </c>
      <c r="R2">
        <v>39</v>
      </c>
      <c r="S2">
        <v>40</v>
      </c>
      <c r="T2">
        <v>39</v>
      </c>
      <c r="U2">
        <v>38</v>
      </c>
      <c r="V2">
        <v>38</v>
      </c>
      <c r="W2">
        <v>36</v>
      </c>
      <c r="X2">
        <v>36</v>
      </c>
      <c r="Y2">
        <v>36</v>
      </c>
      <c r="Z2" s="2">
        <f>AVERAGE(Sheet1__7[[#This Row],[00:00:00]:[23:00:00]])</f>
        <v>42.391304347826086</v>
      </c>
      <c r="AA2" t="str" cm="1">
        <f t="array" ref="AA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" spans="1:27" x14ac:dyDescent="0.3">
      <c r="A3" s="1">
        <v>45840</v>
      </c>
      <c r="B3">
        <v>36</v>
      </c>
      <c r="C3">
        <v>35</v>
      </c>
      <c r="D3">
        <v>35</v>
      </c>
      <c r="E3">
        <v>35</v>
      </c>
      <c r="F3">
        <v>34</v>
      </c>
      <c r="G3">
        <v>34</v>
      </c>
      <c r="H3">
        <v>34</v>
      </c>
      <c r="I3">
        <v>33</v>
      </c>
      <c r="J3">
        <v>33</v>
      </c>
      <c r="K3">
        <v>33</v>
      </c>
      <c r="L3">
        <v>32</v>
      </c>
      <c r="M3">
        <v>32</v>
      </c>
      <c r="N3">
        <v>32</v>
      </c>
      <c r="O3">
        <v>32</v>
      </c>
      <c r="P3">
        <v>32</v>
      </c>
      <c r="Q3">
        <v>32</v>
      </c>
      <c r="R3">
        <v>32</v>
      </c>
      <c r="S3">
        <v>32</v>
      </c>
      <c r="T3">
        <v>32</v>
      </c>
      <c r="U3">
        <v>33</v>
      </c>
      <c r="V3">
        <v>34</v>
      </c>
      <c r="W3">
        <v>34</v>
      </c>
      <c r="X3">
        <v>34</v>
      </c>
      <c r="Y3">
        <v>34</v>
      </c>
      <c r="Z3" s="2">
        <f>AVERAGE(Sheet1__7[[#This Row],[00:00:00]:[23:00:00]])</f>
        <v>33.291666666666664</v>
      </c>
      <c r="AA3" t="str" cm="1">
        <f t="array" ref="AA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4" spans="1:27" x14ac:dyDescent="0.3">
      <c r="A4" s="1">
        <v>45841</v>
      </c>
      <c r="B4">
        <v>34</v>
      </c>
      <c r="C4">
        <v>34</v>
      </c>
      <c r="D4">
        <v>33</v>
      </c>
      <c r="E4">
        <v>34</v>
      </c>
      <c r="F4">
        <v>34</v>
      </c>
      <c r="G4">
        <v>35</v>
      </c>
      <c r="H4">
        <v>35</v>
      </c>
      <c r="I4">
        <v>35</v>
      </c>
      <c r="J4">
        <v>35</v>
      </c>
      <c r="K4">
        <v>35</v>
      </c>
      <c r="L4">
        <v>35</v>
      </c>
      <c r="M4">
        <v>35</v>
      </c>
      <c r="N4">
        <v>34</v>
      </c>
      <c r="O4">
        <v>34</v>
      </c>
      <c r="P4">
        <v>34</v>
      </c>
      <c r="Q4">
        <v>34</v>
      </c>
      <c r="R4">
        <v>33</v>
      </c>
      <c r="S4">
        <v>33</v>
      </c>
      <c r="T4">
        <v>33</v>
      </c>
      <c r="U4">
        <v>33</v>
      </c>
      <c r="V4">
        <v>33</v>
      </c>
      <c r="W4">
        <v>33</v>
      </c>
      <c r="X4">
        <v>33</v>
      </c>
      <c r="Y4">
        <v>32</v>
      </c>
      <c r="Z4" s="2">
        <f>AVERAGE(Sheet1__7[[#This Row],[00:00:00]:[23:00:00]])</f>
        <v>33.875</v>
      </c>
      <c r="AA4" t="str" cm="1">
        <f t="array" ref="AA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5" spans="1:27" x14ac:dyDescent="0.3">
      <c r="A5" s="1">
        <v>45842</v>
      </c>
      <c r="B5">
        <v>32</v>
      </c>
      <c r="C5">
        <v>31</v>
      </c>
      <c r="D5">
        <v>31</v>
      </c>
      <c r="E5">
        <v>31</v>
      </c>
      <c r="F5">
        <v>31</v>
      </c>
      <c r="G5">
        <v>31</v>
      </c>
      <c r="H5">
        <v>31</v>
      </c>
      <c r="I5">
        <v>31</v>
      </c>
      <c r="J5">
        <v>30</v>
      </c>
      <c r="K5">
        <v>30</v>
      </c>
      <c r="L5">
        <v>30</v>
      </c>
      <c r="M5">
        <v>30</v>
      </c>
      <c r="N5">
        <v>30</v>
      </c>
      <c r="O5">
        <v>30</v>
      </c>
      <c r="P5">
        <v>30</v>
      </c>
      <c r="Q5">
        <v>30</v>
      </c>
      <c r="R5">
        <v>31</v>
      </c>
      <c r="S5">
        <v>31</v>
      </c>
      <c r="T5">
        <v>32</v>
      </c>
      <c r="U5">
        <v>33</v>
      </c>
      <c r="V5">
        <v>34</v>
      </c>
      <c r="W5">
        <v>34</v>
      </c>
      <c r="X5">
        <v>35</v>
      </c>
      <c r="Y5">
        <v>36</v>
      </c>
      <c r="Z5" s="2">
        <f>AVERAGE(Sheet1__7[[#This Row],[00:00:00]:[23:00:00]])</f>
        <v>31.458333333333332</v>
      </c>
      <c r="AA5" t="str" cm="1">
        <f t="array" ref="AA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6" spans="1:27" x14ac:dyDescent="0.3">
      <c r="A6" s="1">
        <v>45843</v>
      </c>
      <c r="B6">
        <v>36</v>
      </c>
      <c r="C6">
        <v>37</v>
      </c>
      <c r="D6">
        <v>37</v>
      </c>
      <c r="E6">
        <v>38</v>
      </c>
      <c r="F6">
        <v>38</v>
      </c>
      <c r="G6">
        <v>39</v>
      </c>
      <c r="H6">
        <v>40</v>
      </c>
      <c r="I6">
        <v>40</v>
      </c>
      <c r="J6">
        <v>40</v>
      </c>
      <c r="K6">
        <v>40</v>
      </c>
      <c r="L6">
        <v>40</v>
      </c>
      <c r="M6">
        <v>40</v>
      </c>
      <c r="N6">
        <v>40</v>
      </c>
      <c r="O6">
        <v>41</v>
      </c>
      <c r="P6">
        <v>41</v>
      </c>
      <c r="Q6">
        <v>41</v>
      </c>
      <c r="R6">
        <v>40</v>
      </c>
      <c r="S6">
        <v>40</v>
      </c>
      <c r="T6">
        <v>38</v>
      </c>
      <c r="U6">
        <v>37</v>
      </c>
      <c r="V6">
        <v>35</v>
      </c>
      <c r="W6">
        <v>27</v>
      </c>
      <c r="X6">
        <v>26</v>
      </c>
      <c r="Y6">
        <v>26</v>
      </c>
      <c r="Z6" s="2">
        <f>AVERAGE(Sheet1__7[[#This Row],[00:00:00]:[23:00:00]])</f>
        <v>37.375</v>
      </c>
      <c r="AA6" t="str" cm="1">
        <f t="array" ref="AA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7" spans="1:27" x14ac:dyDescent="0.3">
      <c r="A7" s="1">
        <v>45844</v>
      </c>
      <c r="B7">
        <v>26</v>
      </c>
      <c r="C7">
        <v>26</v>
      </c>
      <c r="D7">
        <v>25</v>
      </c>
      <c r="E7">
        <v>25</v>
      </c>
      <c r="F7">
        <v>26</v>
      </c>
      <c r="G7">
        <v>25</v>
      </c>
      <c r="H7">
        <v>25</v>
      </c>
      <c r="I7">
        <v>24</v>
      </c>
      <c r="J7">
        <v>24</v>
      </c>
      <c r="K7">
        <v>25</v>
      </c>
      <c r="L7">
        <v>26</v>
      </c>
      <c r="M7">
        <v>26</v>
      </c>
      <c r="N7">
        <v>26</v>
      </c>
      <c r="O7">
        <v>26</v>
      </c>
      <c r="P7">
        <v>26</v>
      </c>
      <c r="Q7">
        <v>25</v>
      </c>
      <c r="R7">
        <v>25</v>
      </c>
      <c r="S7">
        <v>25</v>
      </c>
      <c r="T7">
        <v>24</v>
      </c>
      <c r="U7">
        <v>24</v>
      </c>
      <c r="V7">
        <v>24</v>
      </c>
      <c r="W7">
        <v>24</v>
      </c>
      <c r="X7">
        <v>24</v>
      </c>
      <c r="Y7">
        <v>23</v>
      </c>
      <c r="Z7" s="2">
        <f>AVERAGE(Sheet1__7[[#This Row],[00:00:00]:[23:00:00]])</f>
        <v>24.958333333333332</v>
      </c>
      <c r="AA7" t="str" cm="1">
        <f t="array" ref="AA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8" spans="1:27" x14ac:dyDescent="0.3">
      <c r="A8" s="1">
        <v>45845</v>
      </c>
      <c r="B8">
        <v>23</v>
      </c>
      <c r="C8">
        <v>24</v>
      </c>
      <c r="D8">
        <v>23</v>
      </c>
      <c r="E8">
        <v>23</v>
      </c>
      <c r="F8">
        <v>24</v>
      </c>
      <c r="G8">
        <v>24</v>
      </c>
      <c r="H8">
        <v>24</v>
      </c>
      <c r="I8">
        <v>24</v>
      </c>
      <c r="J8">
        <v>24</v>
      </c>
      <c r="K8">
        <v>24</v>
      </c>
      <c r="L8">
        <v>24</v>
      </c>
      <c r="M8">
        <v>24</v>
      </c>
      <c r="N8">
        <v>25</v>
      </c>
      <c r="O8">
        <v>26</v>
      </c>
      <c r="P8">
        <v>26</v>
      </c>
      <c r="Q8">
        <v>26</v>
      </c>
      <c r="R8">
        <v>27</v>
      </c>
      <c r="S8">
        <v>28</v>
      </c>
      <c r="T8">
        <v>29</v>
      </c>
      <c r="U8">
        <v>29</v>
      </c>
      <c r="V8">
        <v>29</v>
      </c>
      <c r="W8">
        <v>30</v>
      </c>
      <c r="X8">
        <v>32</v>
      </c>
      <c r="Y8">
        <v>33</v>
      </c>
      <c r="Z8" s="2">
        <f>AVERAGE(Sheet1__7[[#This Row],[00:00:00]:[23:00:00]])</f>
        <v>26.041666666666668</v>
      </c>
      <c r="AA8" t="str" cm="1">
        <f t="array" ref="AA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9" spans="1:27" x14ac:dyDescent="0.3">
      <c r="A9" s="1">
        <v>45846</v>
      </c>
      <c r="B9">
        <v>34</v>
      </c>
      <c r="C9">
        <v>34</v>
      </c>
      <c r="D9">
        <v>35</v>
      </c>
      <c r="E9">
        <v>35</v>
      </c>
      <c r="F9">
        <v>36</v>
      </c>
      <c r="G9">
        <v>37</v>
      </c>
      <c r="H9">
        <v>37</v>
      </c>
      <c r="I9">
        <v>38</v>
      </c>
      <c r="J9">
        <v>38</v>
      </c>
      <c r="K9">
        <v>39</v>
      </c>
      <c r="L9">
        <v>40</v>
      </c>
      <c r="M9">
        <v>41</v>
      </c>
      <c r="N9">
        <v>41</v>
      </c>
      <c r="O9">
        <v>42</v>
      </c>
      <c r="P9">
        <v>43</v>
      </c>
      <c r="Q9">
        <v>44</v>
      </c>
      <c r="R9">
        <v>45</v>
      </c>
      <c r="S9">
        <v>45</v>
      </c>
      <c r="T9">
        <v>46</v>
      </c>
      <c r="U9">
        <v>47</v>
      </c>
      <c r="V9">
        <v>48</v>
      </c>
      <c r="W9">
        <v>49</v>
      </c>
      <c r="X9">
        <v>49</v>
      </c>
      <c r="Y9">
        <v>49</v>
      </c>
      <c r="Z9" s="2">
        <f>AVERAGE(Sheet1__7[[#This Row],[00:00:00]:[23:00:00]])</f>
        <v>41.333333333333336</v>
      </c>
      <c r="AA9" t="str" cm="1">
        <f t="array" ref="AA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0" spans="1:27" x14ac:dyDescent="0.3">
      <c r="A10" s="1">
        <v>45847</v>
      </c>
      <c r="B10">
        <v>49</v>
      </c>
      <c r="C10">
        <v>49</v>
      </c>
      <c r="D10">
        <v>49</v>
      </c>
      <c r="E10">
        <v>49</v>
      </c>
      <c r="F10">
        <v>50</v>
      </c>
      <c r="G10">
        <v>50</v>
      </c>
      <c r="H10">
        <v>51</v>
      </c>
      <c r="I10">
        <v>52</v>
      </c>
      <c r="J10">
        <v>61</v>
      </c>
      <c r="K10">
        <v>61</v>
      </c>
      <c r="L10">
        <v>60</v>
      </c>
      <c r="M10">
        <v>59</v>
      </c>
      <c r="N10">
        <v>58</v>
      </c>
      <c r="O10">
        <v>58</v>
      </c>
      <c r="P10">
        <v>58</v>
      </c>
      <c r="Q10">
        <v>58</v>
      </c>
      <c r="R10">
        <v>59</v>
      </c>
      <c r="S10">
        <v>60</v>
      </c>
      <c r="T10">
        <v>60</v>
      </c>
      <c r="U10">
        <v>61</v>
      </c>
      <c r="V10">
        <v>62</v>
      </c>
      <c r="W10">
        <v>62</v>
      </c>
      <c r="X10">
        <v>63</v>
      </c>
      <c r="Y10">
        <v>63</v>
      </c>
      <c r="Z10" s="2">
        <f>AVERAGE(Sheet1__7[[#This Row],[00:00:00]:[23:00:00]])</f>
        <v>56.75</v>
      </c>
      <c r="AA10" t="str" cm="1">
        <f t="array" ref="AA1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1" spans="1:27" x14ac:dyDescent="0.3">
      <c r="A11" s="1">
        <v>45848</v>
      </c>
      <c r="B11">
        <v>64</v>
      </c>
      <c r="C11">
        <v>64</v>
      </c>
      <c r="D11">
        <v>65</v>
      </c>
      <c r="E11">
        <v>65</v>
      </c>
      <c r="F11">
        <v>65</v>
      </c>
      <c r="G11">
        <v>66</v>
      </c>
      <c r="H11">
        <v>66</v>
      </c>
      <c r="I11">
        <v>66</v>
      </c>
      <c r="J11">
        <v>67</v>
      </c>
      <c r="K11">
        <v>68</v>
      </c>
      <c r="L11">
        <v>68</v>
      </c>
      <c r="M11">
        <v>70</v>
      </c>
      <c r="N11">
        <v>70</v>
      </c>
      <c r="O11">
        <v>70</v>
      </c>
      <c r="P11">
        <v>70</v>
      </c>
      <c r="Q11">
        <v>71</v>
      </c>
      <c r="R11">
        <v>71</v>
      </c>
      <c r="S11">
        <v>71</v>
      </c>
      <c r="T11">
        <v>72</v>
      </c>
      <c r="U11">
        <v>71</v>
      </c>
      <c r="V11">
        <v>72</v>
      </c>
      <c r="W11">
        <v>72</v>
      </c>
      <c r="X11">
        <v>72</v>
      </c>
      <c r="Y11">
        <v>72</v>
      </c>
      <c r="Z11" s="2">
        <f>AVERAGE(Sheet1__7[[#This Row],[00:00:00]:[23:00:00]])</f>
        <v>68.666666666666671</v>
      </c>
      <c r="AA11" t="str" cm="1">
        <f t="array" ref="AA1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2" spans="1:27" x14ac:dyDescent="0.3">
      <c r="A12" s="1">
        <v>45849</v>
      </c>
      <c r="B12">
        <v>72</v>
      </c>
      <c r="C12">
        <v>72</v>
      </c>
      <c r="D12">
        <v>72</v>
      </c>
      <c r="E12">
        <v>72</v>
      </c>
      <c r="F12">
        <v>71</v>
      </c>
      <c r="G12">
        <v>71</v>
      </c>
      <c r="H12">
        <v>70</v>
      </c>
      <c r="I12">
        <v>70</v>
      </c>
      <c r="J12">
        <v>69</v>
      </c>
      <c r="K12">
        <v>69</v>
      </c>
      <c r="L12">
        <v>68</v>
      </c>
      <c r="M12">
        <v>68</v>
      </c>
      <c r="N12">
        <v>68</v>
      </c>
      <c r="O12">
        <v>67</v>
      </c>
      <c r="P12">
        <v>67</v>
      </c>
      <c r="Q12">
        <v>67</v>
      </c>
      <c r="R12">
        <v>66</v>
      </c>
      <c r="S12">
        <v>66</v>
      </c>
      <c r="T12">
        <v>65</v>
      </c>
      <c r="U12">
        <v>64</v>
      </c>
      <c r="V12">
        <v>63</v>
      </c>
      <c r="W12">
        <v>63</v>
      </c>
      <c r="X12">
        <v>62</v>
      </c>
      <c r="Y12">
        <v>62</v>
      </c>
      <c r="Z12" s="2">
        <f>AVERAGE(Sheet1__7[[#This Row],[00:00:00]:[23:00:00]])</f>
        <v>67.666666666666671</v>
      </c>
      <c r="AA12" t="str" cm="1">
        <f t="array" ref="AA1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3" spans="1:27" x14ac:dyDescent="0.3">
      <c r="A13" s="1">
        <v>45850</v>
      </c>
      <c r="B13">
        <v>61</v>
      </c>
      <c r="C13">
        <v>61</v>
      </c>
      <c r="D13">
        <v>61</v>
      </c>
      <c r="E13">
        <v>61</v>
      </c>
      <c r="F13">
        <v>61</v>
      </c>
      <c r="G13">
        <v>61</v>
      </c>
      <c r="H13">
        <v>60</v>
      </c>
      <c r="I13">
        <v>61</v>
      </c>
      <c r="J13">
        <v>60</v>
      </c>
      <c r="K13">
        <v>60</v>
      </c>
      <c r="L13">
        <v>58</v>
      </c>
      <c r="M13">
        <v>58</v>
      </c>
      <c r="N13">
        <v>57</v>
      </c>
      <c r="O13">
        <v>57</v>
      </c>
      <c r="P13">
        <v>57</v>
      </c>
      <c r="Q13">
        <v>56</v>
      </c>
      <c r="R13">
        <v>56</v>
      </c>
      <c r="S13">
        <v>55</v>
      </c>
      <c r="T13">
        <v>54</v>
      </c>
      <c r="U13">
        <v>59</v>
      </c>
      <c r="V13">
        <v>63</v>
      </c>
      <c r="W13">
        <v>64</v>
      </c>
      <c r="X13">
        <v>64</v>
      </c>
      <c r="Y13">
        <v>62</v>
      </c>
      <c r="Z13" s="2">
        <f>AVERAGE(Sheet1__7[[#This Row],[00:00:00]:[23:00:00]])</f>
        <v>59.458333333333336</v>
      </c>
      <c r="AA13" t="str" cm="1">
        <f t="array" ref="AA1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4" spans="1:27" x14ac:dyDescent="0.3">
      <c r="A14" s="1">
        <v>45851</v>
      </c>
      <c r="B14">
        <v>61</v>
      </c>
      <c r="C14">
        <v>60</v>
      </c>
      <c r="D14">
        <v>59</v>
      </c>
      <c r="E14">
        <v>58</v>
      </c>
      <c r="F14">
        <v>56</v>
      </c>
      <c r="G14">
        <v>55</v>
      </c>
      <c r="H14">
        <v>54</v>
      </c>
      <c r="I14">
        <v>54</v>
      </c>
      <c r="J14">
        <v>54</v>
      </c>
      <c r="K14">
        <v>54</v>
      </c>
      <c r="L14">
        <v>54</v>
      </c>
      <c r="M14">
        <v>54</v>
      </c>
      <c r="N14">
        <v>54</v>
      </c>
      <c r="O14">
        <v>54</v>
      </c>
      <c r="P14">
        <v>54</v>
      </c>
      <c r="Q14">
        <v>60</v>
      </c>
      <c r="R14">
        <v>59</v>
      </c>
      <c r="S14">
        <v>58</v>
      </c>
      <c r="T14">
        <v>58</v>
      </c>
      <c r="U14">
        <v>52</v>
      </c>
      <c r="V14">
        <v>47</v>
      </c>
      <c r="W14">
        <v>45</v>
      </c>
      <c r="X14">
        <v>44</v>
      </c>
      <c r="Y14">
        <v>44</v>
      </c>
      <c r="Z14" s="2">
        <f>AVERAGE(Sheet1__7[[#This Row],[00:00:00]:[23:00:00]])</f>
        <v>54.25</v>
      </c>
      <c r="AA14" t="str" cm="1">
        <f t="array" ref="AA1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5" spans="1:27" x14ac:dyDescent="0.3">
      <c r="A15" s="1">
        <v>45852</v>
      </c>
      <c r="B15">
        <v>44</v>
      </c>
      <c r="C15">
        <v>43</v>
      </c>
      <c r="D15">
        <v>42</v>
      </c>
      <c r="E15">
        <v>41</v>
      </c>
      <c r="F15">
        <v>40</v>
      </c>
      <c r="G15">
        <v>40</v>
      </c>
      <c r="H15">
        <v>39</v>
      </c>
      <c r="I15">
        <v>38</v>
      </c>
      <c r="J15">
        <v>38</v>
      </c>
      <c r="K15">
        <v>38</v>
      </c>
      <c r="L15">
        <v>37</v>
      </c>
      <c r="M15">
        <v>37</v>
      </c>
      <c r="N15">
        <v>36</v>
      </c>
      <c r="O15">
        <v>36</v>
      </c>
      <c r="P15">
        <v>36</v>
      </c>
      <c r="Q15">
        <v>35</v>
      </c>
      <c r="R15">
        <v>35</v>
      </c>
      <c r="S15">
        <v>34</v>
      </c>
      <c r="T15">
        <v>34</v>
      </c>
      <c r="U15">
        <v>33</v>
      </c>
      <c r="V15">
        <v>32</v>
      </c>
      <c r="W15">
        <v>31</v>
      </c>
      <c r="X15">
        <v>30</v>
      </c>
      <c r="Y15">
        <v>30</v>
      </c>
      <c r="Z15" s="2">
        <f>AVERAGE(Sheet1__7[[#This Row],[00:00:00]:[23:00:00]])</f>
        <v>36.625</v>
      </c>
      <c r="AA15" t="str" cm="1">
        <f t="array" ref="AA1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6" spans="1:27" x14ac:dyDescent="0.3">
      <c r="A16" s="1">
        <v>45853</v>
      </c>
      <c r="B16">
        <v>29</v>
      </c>
      <c r="C16">
        <v>29</v>
      </c>
      <c r="D16">
        <v>28</v>
      </c>
      <c r="E16">
        <v>29</v>
      </c>
      <c r="F16">
        <v>29</v>
      </c>
      <c r="G16">
        <v>25</v>
      </c>
      <c r="H16">
        <v>25</v>
      </c>
      <c r="I16">
        <v>25</v>
      </c>
      <c r="J16">
        <v>26</v>
      </c>
      <c r="K16">
        <v>26</v>
      </c>
      <c r="L16">
        <v>26</v>
      </c>
      <c r="M16">
        <v>26</v>
      </c>
      <c r="N16">
        <v>26</v>
      </c>
      <c r="O16">
        <v>26</v>
      </c>
      <c r="P16">
        <v>27</v>
      </c>
      <c r="Q16">
        <v>27</v>
      </c>
      <c r="R16">
        <v>28</v>
      </c>
      <c r="S16">
        <v>28</v>
      </c>
      <c r="T16">
        <v>30</v>
      </c>
      <c r="U16">
        <v>30</v>
      </c>
      <c r="V16">
        <v>32</v>
      </c>
      <c r="W16">
        <v>33</v>
      </c>
      <c r="X16">
        <v>34</v>
      </c>
      <c r="Y16">
        <v>36</v>
      </c>
      <c r="Z16" s="2">
        <f>AVERAGE(Sheet1__7[[#This Row],[00:00:00]:[23:00:00]])</f>
        <v>28.333333333333332</v>
      </c>
      <c r="AA16" t="str" cm="1">
        <f t="array" ref="AA1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17" spans="1:27" x14ac:dyDescent="0.3">
      <c r="A17" s="1">
        <v>45854</v>
      </c>
      <c r="B17">
        <v>38</v>
      </c>
      <c r="C17">
        <v>37</v>
      </c>
      <c r="D17">
        <v>39</v>
      </c>
      <c r="E17">
        <v>40</v>
      </c>
      <c r="F17">
        <v>42</v>
      </c>
      <c r="G17">
        <v>44</v>
      </c>
      <c r="H17">
        <v>45</v>
      </c>
      <c r="I17">
        <v>45</v>
      </c>
      <c r="J17">
        <v>46</v>
      </c>
      <c r="K17">
        <v>47</v>
      </c>
      <c r="L17">
        <v>47</v>
      </c>
      <c r="M17">
        <v>48</v>
      </c>
      <c r="N17">
        <v>50</v>
      </c>
      <c r="O17">
        <v>51</v>
      </c>
      <c r="P17">
        <v>53</v>
      </c>
      <c r="Q17">
        <v>54</v>
      </c>
      <c r="R17">
        <v>55</v>
      </c>
      <c r="S17">
        <v>57</v>
      </c>
      <c r="T17">
        <v>59</v>
      </c>
      <c r="U17">
        <v>60</v>
      </c>
      <c r="V17">
        <v>61</v>
      </c>
      <c r="W17">
        <v>62</v>
      </c>
      <c r="X17">
        <v>63</v>
      </c>
      <c r="Y17">
        <v>63</v>
      </c>
      <c r="Z17" s="2">
        <f>AVERAGE(Sheet1__7[[#This Row],[00:00:00]:[23:00:00]])</f>
        <v>50.25</v>
      </c>
      <c r="AA17" t="str" cm="1">
        <f t="array" ref="AA1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8" spans="1:27" x14ac:dyDescent="0.3">
      <c r="A18" s="1">
        <v>45855</v>
      </c>
      <c r="B18">
        <v>64</v>
      </c>
      <c r="C18">
        <v>64</v>
      </c>
      <c r="D18">
        <v>65</v>
      </c>
      <c r="E18">
        <v>65</v>
      </c>
      <c r="F18">
        <v>65</v>
      </c>
      <c r="G18">
        <v>76</v>
      </c>
      <c r="H18">
        <v>77</v>
      </c>
      <c r="I18">
        <v>77</v>
      </c>
      <c r="J18">
        <v>78</v>
      </c>
      <c r="K18">
        <v>78</v>
      </c>
      <c r="L18">
        <v>79</v>
      </c>
      <c r="M18">
        <v>79</v>
      </c>
      <c r="N18">
        <v>80</v>
      </c>
      <c r="O18">
        <v>80</v>
      </c>
      <c r="P18">
        <v>81</v>
      </c>
      <c r="Q18">
        <v>82</v>
      </c>
      <c r="R18">
        <v>82</v>
      </c>
      <c r="S18">
        <v>84</v>
      </c>
      <c r="T18">
        <v>85</v>
      </c>
      <c r="U18">
        <v>86</v>
      </c>
      <c r="V18">
        <v>86</v>
      </c>
      <c r="W18">
        <v>81</v>
      </c>
      <c r="X18">
        <v>81</v>
      </c>
      <c r="Y18">
        <v>82</v>
      </c>
      <c r="Z18" s="2">
        <f>AVERAGE(Sheet1__7[[#This Row],[00:00:00]:[23:00:00]])</f>
        <v>77.375</v>
      </c>
      <c r="AA18" t="str" cm="1">
        <f t="array" ref="AA1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19" spans="1:27" x14ac:dyDescent="0.3">
      <c r="A19" s="1">
        <v>45856</v>
      </c>
      <c r="B19">
        <v>82</v>
      </c>
      <c r="C19">
        <v>83</v>
      </c>
      <c r="D19">
        <v>83</v>
      </c>
      <c r="E19">
        <v>83</v>
      </c>
      <c r="F19">
        <v>83</v>
      </c>
      <c r="G19">
        <v>83</v>
      </c>
      <c r="H19">
        <v>82</v>
      </c>
      <c r="I19">
        <v>82</v>
      </c>
      <c r="J19">
        <v>82</v>
      </c>
      <c r="K19">
        <v>81</v>
      </c>
      <c r="L19">
        <v>81</v>
      </c>
      <c r="M19">
        <v>82</v>
      </c>
      <c r="N19">
        <v>82</v>
      </c>
      <c r="O19">
        <v>82</v>
      </c>
      <c r="P19">
        <v>82</v>
      </c>
      <c r="Q19">
        <v>82</v>
      </c>
      <c r="R19">
        <v>82</v>
      </c>
      <c r="S19">
        <v>79</v>
      </c>
      <c r="T19">
        <v>77</v>
      </c>
      <c r="U19">
        <v>76</v>
      </c>
      <c r="V19">
        <v>76</v>
      </c>
      <c r="W19">
        <v>74</v>
      </c>
      <c r="X19">
        <v>74</v>
      </c>
      <c r="Y19">
        <v>74</v>
      </c>
      <c r="Z19" s="2">
        <f>AVERAGE(Sheet1__7[[#This Row],[00:00:00]:[23:00:00]])</f>
        <v>80.291666666666671</v>
      </c>
      <c r="AA19" t="str" cm="1">
        <f t="array" ref="AA1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0" spans="1:27" x14ac:dyDescent="0.3">
      <c r="A20" s="1">
        <v>45857</v>
      </c>
      <c r="B20">
        <v>73</v>
      </c>
      <c r="C20">
        <v>73</v>
      </c>
      <c r="D20">
        <v>73</v>
      </c>
      <c r="E20">
        <v>73</v>
      </c>
      <c r="F20">
        <v>73</v>
      </c>
      <c r="G20">
        <v>73</v>
      </c>
      <c r="H20">
        <v>73</v>
      </c>
      <c r="I20">
        <v>74</v>
      </c>
      <c r="J20">
        <v>74</v>
      </c>
      <c r="K20">
        <v>74</v>
      </c>
      <c r="L20">
        <v>74</v>
      </c>
      <c r="M20">
        <v>73</v>
      </c>
      <c r="N20">
        <v>72</v>
      </c>
      <c r="O20">
        <v>71</v>
      </c>
      <c r="P20">
        <v>71</v>
      </c>
      <c r="Q20">
        <v>70</v>
      </c>
      <c r="R20">
        <v>69</v>
      </c>
      <c r="S20">
        <v>68</v>
      </c>
      <c r="T20">
        <v>67</v>
      </c>
      <c r="U20">
        <v>66</v>
      </c>
      <c r="V20">
        <v>65</v>
      </c>
      <c r="W20">
        <v>64</v>
      </c>
      <c r="X20">
        <v>64</v>
      </c>
      <c r="Y20">
        <v>63</v>
      </c>
      <c r="Z20" s="2">
        <f>AVERAGE(Sheet1__7[[#This Row],[00:00:00]:[23:00:00]])</f>
        <v>70.416666666666671</v>
      </c>
      <c r="AA20" t="str" cm="1">
        <f t="array" ref="AA2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1" spans="1:27" x14ac:dyDescent="0.3">
      <c r="A21" s="1">
        <v>45858</v>
      </c>
      <c r="B21">
        <v>62</v>
      </c>
      <c r="C21">
        <v>61</v>
      </c>
      <c r="D21">
        <v>60</v>
      </c>
      <c r="E21">
        <v>59</v>
      </c>
      <c r="F21">
        <v>59</v>
      </c>
      <c r="G21">
        <v>58</v>
      </c>
      <c r="H21">
        <v>61</v>
      </c>
      <c r="I21">
        <v>60</v>
      </c>
      <c r="J21">
        <v>61</v>
      </c>
      <c r="K21">
        <v>61</v>
      </c>
      <c r="L21">
        <v>62</v>
      </c>
      <c r="M21">
        <v>61</v>
      </c>
      <c r="N21">
        <v>60</v>
      </c>
      <c r="O21">
        <v>61</v>
      </c>
      <c r="P21">
        <v>60</v>
      </c>
      <c r="Q21">
        <v>60</v>
      </c>
      <c r="R21">
        <v>60</v>
      </c>
      <c r="S21">
        <v>60</v>
      </c>
      <c r="T21">
        <v>60</v>
      </c>
      <c r="U21">
        <v>58</v>
      </c>
      <c r="V21">
        <v>58</v>
      </c>
      <c r="W21">
        <v>62</v>
      </c>
      <c r="X21">
        <v>64</v>
      </c>
      <c r="Y21">
        <v>64</v>
      </c>
      <c r="Z21" s="2">
        <f>AVERAGE(Sheet1__7[[#This Row],[00:00:00]:[23:00:00]])</f>
        <v>60.5</v>
      </c>
      <c r="AA21" t="str" cm="1">
        <f t="array" ref="AA2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2" spans="1:27" x14ac:dyDescent="0.3">
      <c r="A22" s="1">
        <v>45859</v>
      </c>
      <c r="B22">
        <v>63</v>
      </c>
      <c r="C22">
        <v>62</v>
      </c>
      <c r="D22">
        <v>61</v>
      </c>
      <c r="E22">
        <v>60</v>
      </c>
      <c r="F22">
        <v>58</v>
      </c>
      <c r="G22">
        <v>58</v>
      </c>
      <c r="H22">
        <v>57</v>
      </c>
      <c r="I22">
        <v>58</v>
      </c>
      <c r="J22">
        <v>57</v>
      </c>
      <c r="K22">
        <v>56</v>
      </c>
      <c r="L22">
        <v>57</v>
      </c>
      <c r="M22">
        <v>57</v>
      </c>
      <c r="N22">
        <v>57</v>
      </c>
      <c r="O22">
        <v>56</v>
      </c>
      <c r="P22">
        <v>55</v>
      </c>
      <c r="Q22">
        <v>53</v>
      </c>
      <c r="R22">
        <v>52</v>
      </c>
      <c r="S22">
        <v>51</v>
      </c>
      <c r="T22">
        <v>50</v>
      </c>
      <c r="U22">
        <v>50</v>
      </c>
      <c r="V22">
        <v>49</v>
      </c>
      <c r="W22">
        <v>47</v>
      </c>
      <c r="X22">
        <v>46</v>
      </c>
      <c r="Y22">
        <v>45</v>
      </c>
      <c r="Z22" s="2">
        <f>AVERAGE(Sheet1__7[[#This Row],[00:00:00]:[23:00:00]])</f>
        <v>54.791666666666664</v>
      </c>
      <c r="AA22" t="str" cm="1">
        <f t="array" ref="AA2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MODERATE</v>
      </c>
    </row>
    <row r="23" spans="1:27" x14ac:dyDescent="0.3">
      <c r="A23" s="1">
        <v>45860</v>
      </c>
      <c r="B23">
        <v>44</v>
      </c>
      <c r="C23">
        <v>44</v>
      </c>
      <c r="D23">
        <v>44</v>
      </c>
      <c r="E23">
        <v>44</v>
      </c>
      <c r="F23">
        <v>44</v>
      </c>
      <c r="G23">
        <v>44</v>
      </c>
      <c r="H23">
        <v>44</v>
      </c>
      <c r="I23">
        <v>43</v>
      </c>
      <c r="J23">
        <v>42</v>
      </c>
      <c r="K23">
        <v>42</v>
      </c>
      <c r="L23">
        <v>42</v>
      </c>
      <c r="M23">
        <v>42</v>
      </c>
      <c r="N23">
        <v>42</v>
      </c>
      <c r="O23">
        <v>42</v>
      </c>
      <c r="P23">
        <v>42</v>
      </c>
      <c r="Q23">
        <v>43</v>
      </c>
      <c r="R23">
        <v>43</v>
      </c>
      <c r="S23">
        <v>42</v>
      </c>
      <c r="T23">
        <v>42</v>
      </c>
      <c r="U23">
        <v>42</v>
      </c>
      <c r="V23">
        <v>42</v>
      </c>
      <c r="W23">
        <v>42</v>
      </c>
      <c r="X23">
        <v>42</v>
      </c>
      <c r="Y23">
        <v>42</v>
      </c>
      <c r="Z23" s="2">
        <f>AVERAGE(Sheet1__7[[#This Row],[00:00:00]:[23:00:00]])</f>
        <v>42.708333333333336</v>
      </c>
      <c r="AA23" t="str" cm="1">
        <f t="array" ref="AA23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4" spans="1:27" x14ac:dyDescent="0.3">
      <c r="A24" s="1">
        <v>45861</v>
      </c>
      <c r="B24">
        <v>42</v>
      </c>
      <c r="C24">
        <v>43</v>
      </c>
      <c r="D24">
        <v>44</v>
      </c>
      <c r="E24">
        <v>44</v>
      </c>
      <c r="F24">
        <v>45</v>
      </c>
      <c r="G24">
        <v>45</v>
      </c>
      <c r="H24">
        <v>45</v>
      </c>
      <c r="J24">
        <v>45</v>
      </c>
      <c r="K24">
        <v>43</v>
      </c>
      <c r="L24">
        <v>42</v>
      </c>
      <c r="M24">
        <v>41</v>
      </c>
      <c r="N24">
        <v>40</v>
      </c>
      <c r="O24">
        <v>40</v>
      </c>
      <c r="P24">
        <v>38</v>
      </c>
      <c r="Q24">
        <v>38</v>
      </c>
      <c r="R24">
        <v>38</v>
      </c>
      <c r="S24">
        <v>38</v>
      </c>
      <c r="T24">
        <v>38</v>
      </c>
      <c r="U24">
        <v>38</v>
      </c>
      <c r="V24">
        <v>38</v>
      </c>
      <c r="W24">
        <v>38</v>
      </c>
      <c r="X24">
        <v>37</v>
      </c>
      <c r="Y24">
        <v>37</v>
      </c>
      <c r="Z24" s="2">
        <f>AVERAGE(Sheet1__7[[#This Row],[00:00:00]:[23:00:00]])</f>
        <v>40.739130434782609</v>
      </c>
      <c r="AA24" t="str" cm="1">
        <f t="array" ref="AA24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5" spans="1:27" x14ac:dyDescent="0.3">
      <c r="A25" s="1">
        <v>45862</v>
      </c>
      <c r="B25">
        <v>37</v>
      </c>
      <c r="C25">
        <v>37</v>
      </c>
      <c r="D25">
        <v>37</v>
      </c>
      <c r="E25">
        <v>37</v>
      </c>
      <c r="F25">
        <v>37</v>
      </c>
      <c r="G25">
        <v>37</v>
      </c>
      <c r="H25">
        <v>37</v>
      </c>
      <c r="I25">
        <v>38</v>
      </c>
      <c r="J25">
        <v>38</v>
      </c>
      <c r="K25">
        <v>38</v>
      </c>
      <c r="L25">
        <v>39</v>
      </c>
      <c r="M25">
        <v>40</v>
      </c>
      <c r="N25">
        <v>40</v>
      </c>
      <c r="O25">
        <v>40</v>
      </c>
      <c r="P25">
        <v>40</v>
      </c>
      <c r="Q25">
        <v>39</v>
      </c>
      <c r="R25">
        <v>39</v>
      </c>
      <c r="S25">
        <v>39</v>
      </c>
      <c r="T25">
        <v>39</v>
      </c>
      <c r="U25">
        <v>39</v>
      </c>
      <c r="V25">
        <v>39</v>
      </c>
      <c r="W25">
        <v>39</v>
      </c>
      <c r="X25">
        <v>39</v>
      </c>
      <c r="Y25">
        <v>39</v>
      </c>
      <c r="Z25" s="2">
        <f>AVERAGE(Sheet1__7[[#This Row],[00:00:00]:[23:00:00]])</f>
        <v>38.458333333333336</v>
      </c>
      <c r="AA25" t="str" cm="1">
        <f t="array" ref="AA25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6" spans="1:27" x14ac:dyDescent="0.3">
      <c r="A26" s="1">
        <v>45863</v>
      </c>
      <c r="B26">
        <v>38</v>
      </c>
      <c r="C26">
        <v>38</v>
      </c>
      <c r="D26">
        <v>38</v>
      </c>
      <c r="E26">
        <v>38</v>
      </c>
      <c r="F26">
        <v>37</v>
      </c>
      <c r="G26">
        <v>36</v>
      </c>
      <c r="H26">
        <v>36</v>
      </c>
      <c r="I26">
        <v>36</v>
      </c>
      <c r="J26">
        <v>35</v>
      </c>
      <c r="K26">
        <v>34</v>
      </c>
      <c r="L26">
        <v>34</v>
      </c>
      <c r="M26">
        <v>33</v>
      </c>
      <c r="N26">
        <v>32</v>
      </c>
      <c r="O26">
        <v>32</v>
      </c>
      <c r="P26">
        <v>31</v>
      </c>
      <c r="Q26">
        <v>30</v>
      </c>
      <c r="R26">
        <v>30</v>
      </c>
      <c r="S26">
        <v>28</v>
      </c>
      <c r="T26">
        <v>27</v>
      </c>
      <c r="U26">
        <v>26</v>
      </c>
      <c r="V26">
        <v>26</v>
      </c>
      <c r="W26">
        <v>26</v>
      </c>
      <c r="X26">
        <v>26</v>
      </c>
      <c r="Y26">
        <v>25</v>
      </c>
      <c r="Z26" s="2">
        <f>AVERAGE(Sheet1__7[[#This Row],[00:00:00]:[23:00:00]])</f>
        <v>32.166666666666664</v>
      </c>
      <c r="AA26" t="str" cm="1">
        <f t="array" ref="AA26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7" spans="1:27" x14ac:dyDescent="0.3">
      <c r="A27" s="1">
        <v>45864</v>
      </c>
      <c r="B27">
        <v>25</v>
      </c>
      <c r="C27">
        <v>24</v>
      </c>
      <c r="D27">
        <v>24</v>
      </c>
      <c r="E27">
        <v>24</v>
      </c>
      <c r="F27">
        <v>23</v>
      </c>
      <c r="G27">
        <v>22</v>
      </c>
      <c r="H27">
        <v>22</v>
      </c>
      <c r="I27">
        <v>22</v>
      </c>
      <c r="J27">
        <v>22</v>
      </c>
      <c r="K27">
        <v>22</v>
      </c>
      <c r="L27">
        <v>22</v>
      </c>
      <c r="M27">
        <v>22</v>
      </c>
      <c r="N27">
        <v>22</v>
      </c>
      <c r="O27">
        <v>22</v>
      </c>
      <c r="P27">
        <v>22</v>
      </c>
      <c r="Q27">
        <v>22</v>
      </c>
      <c r="R27">
        <v>22</v>
      </c>
      <c r="S27">
        <v>22</v>
      </c>
      <c r="T27">
        <v>22</v>
      </c>
      <c r="U27">
        <v>22</v>
      </c>
      <c r="V27">
        <v>22</v>
      </c>
      <c r="W27">
        <v>22</v>
      </c>
      <c r="X27">
        <v>22</v>
      </c>
      <c r="Y27">
        <v>23</v>
      </c>
      <c r="Z27" s="2">
        <f>AVERAGE(Sheet1__7[[#This Row],[00:00:00]:[23:00:00]])</f>
        <v>22.458333333333332</v>
      </c>
      <c r="AA27" t="str" cm="1">
        <f t="array" ref="AA27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8" spans="1:27" x14ac:dyDescent="0.3">
      <c r="A28" s="1">
        <v>45865</v>
      </c>
      <c r="B28">
        <v>23</v>
      </c>
      <c r="C28">
        <v>24</v>
      </c>
      <c r="D28">
        <v>25</v>
      </c>
      <c r="E28">
        <v>26</v>
      </c>
      <c r="F28">
        <v>26</v>
      </c>
      <c r="G28">
        <v>26</v>
      </c>
      <c r="H28">
        <v>26</v>
      </c>
      <c r="I28">
        <v>26</v>
      </c>
      <c r="J28">
        <v>26</v>
      </c>
      <c r="K28">
        <v>26</v>
      </c>
      <c r="L28">
        <v>27</v>
      </c>
      <c r="M28">
        <v>28</v>
      </c>
      <c r="N28">
        <v>28</v>
      </c>
      <c r="O28">
        <v>29</v>
      </c>
      <c r="P28">
        <v>30</v>
      </c>
      <c r="Q28">
        <v>32</v>
      </c>
      <c r="R28">
        <v>32</v>
      </c>
      <c r="S28">
        <v>34</v>
      </c>
      <c r="T28">
        <v>34</v>
      </c>
      <c r="U28">
        <v>35</v>
      </c>
      <c r="V28">
        <v>36</v>
      </c>
      <c r="X28">
        <v>37</v>
      </c>
      <c r="Y28">
        <v>37</v>
      </c>
      <c r="Z28" s="2">
        <f>AVERAGE(Sheet1__7[[#This Row],[00:00:00]:[23:00:00]])</f>
        <v>29.260869565217391</v>
      </c>
      <c r="AA28" t="str" cm="1">
        <f t="array" ref="AA28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29" spans="1:27" x14ac:dyDescent="0.3">
      <c r="A29" s="1">
        <v>45866</v>
      </c>
      <c r="B29">
        <v>38</v>
      </c>
      <c r="C29">
        <v>37</v>
      </c>
      <c r="D29">
        <v>37</v>
      </c>
      <c r="E29">
        <v>37</v>
      </c>
      <c r="F29">
        <v>37</v>
      </c>
      <c r="G29">
        <v>37</v>
      </c>
      <c r="H29">
        <v>37</v>
      </c>
      <c r="I29">
        <v>38</v>
      </c>
      <c r="J29">
        <v>38</v>
      </c>
      <c r="K29">
        <v>38</v>
      </c>
      <c r="L29">
        <v>38</v>
      </c>
      <c r="M29">
        <v>38</v>
      </c>
      <c r="N29">
        <v>38</v>
      </c>
      <c r="O29">
        <v>37</v>
      </c>
      <c r="P29">
        <v>36</v>
      </c>
      <c r="Q29">
        <v>35</v>
      </c>
      <c r="R29">
        <v>34</v>
      </c>
      <c r="S29">
        <v>33</v>
      </c>
      <c r="T29">
        <v>32</v>
      </c>
      <c r="U29">
        <v>32</v>
      </c>
      <c r="V29">
        <v>30</v>
      </c>
      <c r="W29">
        <v>30</v>
      </c>
      <c r="X29">
        <v>29</v>
      </c>
      <c r="Y29">
        <v>29</v>
      </c>
      <c r="Z29" s="2">
        <f>AVERAGE(Sheet1__7[[#This Row],[00:00:00]:[23:00:00]])</f>
        <v>35.208333333333336</v>
      </c>
      <c r="AA29" t="str" cm="1">
        <f t="array" ref="AA29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0" spans="1:27" x14ac:dyDescent="0.3">
      <c r="A30" s="1">
        <v>45867</v>
      </c>
      <c r="B30">
        <v>28</v>
      </c>
      <c r="C30">
        <v>28</v>
      </c>
      <c r="D30">
        <v>28</v>
      </c>
      <c r="E30">
        <v>28</v>
      </c>
      <c r="F30">
        <v>28</v>
      </c>
      <c r="G30">
        <v>28</v>
      </c>
      <c r="H30">
        <v>28</v>
      </c>
      <c r="I30">
        <v>29</v>
      </c>
      <c r="J30">
        <v>29</v>
      </c>
      <c r="K30">
        <v>29</v>
      </c>
      <c r="L30">
        <v>29</v>
      </c>
      <c r="M30">
        <v>29</v>
      </c>
      <c r="N30">
        <v>29</v>
      </c>
      <c r="O30">
        <v>29</v>
      </c>
      <c r="P30">
        <v>30</v>
      </c>
      <c r="Q30">
        <v>31</v>
      </c>
      <c r="R30">
        <v>32</v>
      </c>
      <c r="S30">
        <v>33</v>
      </c>
      <c r="T30">
        <v>34</v>
      </c>
      <c r="U30">
        <v>34</v>
      </c>
      <c r="V30">
        <v>34</v>
      </c>
      <c r="W30">
        <v>34</v>
      </c>
      <c r="X30">
        <v>34</v>
      </c>
      <c r="Y30">
        <v>34</v>
      </c>
      <c r="Z30" s="2">
        <f>AVERAGE(Sheet1__7[[#This Row],[00:00:00]:[23:00:00]])</f>
        <v>30.375</v>
      </c>
      <c r="AA30" t="str" cm="1">
        <f t="array" ref="AA30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1" spans="1:27" x14ac:dyDescent="0.3">
      <c r="A31" s="1">
        <v>45868</v>
      </c>
      <c r="B31">
        <v>34</v>
      </c>
      <c r="C31">
        <v>34</v>
      </c>
      <c r="D31">
        <v>34</v>
      </c>
      <c r="E31">
        <v>34</v>
      </c>
      <c r="F31">
        <v>34</v>
      </c>
      <c r="G31">
        <v>35</v>
      </c>
      <c r="H31">
        <v>35</v>
      </c>
      <c r="I31">
        <v>36</v>
      </c>
      <c r="J31">
        <v>36</v>
      </c>
      <c r="K31">
        <v>37</v>
      </c>
      <c r="L31">
        <v>37</v>
      </c>
      <c r="M31">
        <v>38</v>
      </c>
      <c r="N31">
        <v>39</v>
      </c>
      <c r="O31">
        <v>40</v>
      </c>
      <c r="P31">
        <v>40</v>
      </c>
      <c r="Q31">
        <v>40</v>
      </c>
      <c r="R31">
        <v>40</v>
      </c>
      <c r="S31">
        <v>40</v>
      </c>
      <c r="T31">
        <v>42</v>
      </c>
      <c r="U31">
        <v>42</v>
      </c>
      <c r="V31">
        <v>42</v>
      </c>
      <c r="W31">
        <v>41</v>
      </c>
      <c r="X31">
        <v>42</v>
      </c>
      <c r="Y31">
        <v>42</v>
      </c>
      <c r="Z31" s="2">
        <f>AVERAGE(Sheet1__7[[#This Row],[00:00:00]:[23:00:00]])</f>
        <v>38.083333333333336</v>
      </c>
      <c r="AA31" t="str" cm="1">
        <f t="array" ref="AA31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2" spans="1:27" x14ac:dyDescent="0.3">
      <c r="A32" s="1">
        <v>45869</v>
      </c>
      <c r="B32">
        <v>42</v>
      </c>
      <c r="C32">
        <v>42</v>
      </c>
      <c r="D32">
        <v>43</v>
      </c>
      <c r="E32">
        <v>44</v>
      </c>
      <c r="F32">
        <v>44</v>
      </c>
      <c r="G32">
        <v>44</v>
      </c>
      <c r="H32">
        <v>44</v>
      </c>
      <c r="I32">
        <v>44</v>
      </c>
      <c r="J32">
        <v>45</v>
      </c>
      <c r="K32">
        <v>46</v>
      </c>
      <c r="L32">
        <v>46</v>
      </c>
      <c r="M32">
        <v>47</v>
      </c>
      <c r="N32">
        <v>48</v>
      </c>
      <c r="O32">
        <v>48</v>
      </c>
      <c r="P32">
        <v>49</v>
      </c>
      <c r="Q32">
        <v>50</v>
      </c>
      <c r="R32">
        <v>51</v>
      </c>
      <c r="S32">
        <v>52</v>
      </c>
      <c r="T32">
        <v>53</v>
      </c>
      <c r="U32">
        <v>54</v>
      </c>
      <c r="V32">
        <v>56</v>
      </c>
      <c r="W32">
        <v>57</v>
      </c>
      <c r="X32">
        <v>59</v>
      </c>
      <c r="Y32">
        <v>60</v>
      </c>
      <c r="Z32" s="2">
        <f>AVERAGE(Sheet1__7[[#This Row],[00:00:00]:[23:00:00]])</f>
        <v>48.666666666666664</v>
      </c>
      <c r="AA32" t="str" cm="1">
        <f t="array" ref="AA32">_xlfn.IFS(Sheet1__7[[#This Row],[AVERAGE AQI]]&lt;50,"GOOD",Sheet1__7[[#This Row],[AVERAGE AQI]]&lt;=100,"MODERATE",Sheet1__7[[#This Row],[AVERAGE AQI]]&lt;=150,"BAD",Sheet1__7[[#This Row],[AVERAGE AQI]]&lt;=200,"VERY BAD",Sheet1__7[[#This Row],[AVERAGE AQI]]&lt;=300,"HAZARDOUS")</f>
        <v>GOOD</v>
      </c>
    </row>
    <row r="33" spans="26:27" x14ac:dyDescent="0.3">
      <c r="Z33" s="2">
        <f>AVERAGE(Sheet1__7[AVERAGE AQI])</f>
        <v>44.974988312295459</v>
      </c>
      <c r="AA33" s="3"/>
    </row>
  </sheetData>
  <conditionalFormatting sqref="AA1:AA1048576">
    <cfRule type="containsText" dxfId="27" priority="1" operator="containsText" text="MODERATE">
      <formula>NOT(ISERROR(SEARCH("MODERATE",AA1)))</formula>
    </cfRule>
    <cfRule type="containsText" dxfId="26" priority="2" operator="containsText" text="GOOD">
      <formula>NOT(ISERROR(SEARCH("GOOD",AA1)))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D190-BA2E-461F-922C-6B362243BC11}">
  <dimension ref="A1:AA33"/>
  <sheetViews>
    <sheetView topLeftCell="J8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45870</v>
      </c>
      <c r="B2">
        <v>61</v>
      </c>
      <c r="C2">
        <v>62</v>
      </c>
      <c r="D2">
        <v>63</v>
      </c>
      <c r="E2">
        <v>64</v>
      </c>
      <c r="F2">
        <v>65</v>
      </c>
      <c r="G2">
        <v>66</v>
      </c>
      <c r="H2">
        <v>66</v>
      </c>
      <c r="I2">
        <v>66</v>
      </c>
      <c r="J2">
        <v>66</v>
      </c>
      <c r="K2">
        <v>66</v>
      </c>
      <c r="L2">
        <v>65</v>
      </c>
      <c r="M2">
        <v>64</v>
      </c>
      <c r="N2">
        <v>63</v>
      </c>
      <c r="O2">
        <v>62</v>
      </c>
      <c r="P2">
        <v>61</v>
      </c>
      <c r="Q2">
        <v>61</v>
      </c>
      <c r="R2">
        <v>60</v>
      </c>
      <c r="S2">
        <v>60</v>
      </c>
      <c r="T2">
        <v>60</v>
      </c>
      <c r="U2">
        <v>60</v>
      </c>
      <c r="V2">
        <v>60</v>
      </c>
      <c r="W2">
        <v>60</v>
      </c>
      <c r="X2">
        <v>58</v>
      </c>
      <c r="Y2">
        <v>60</v>
      </c>
      <c r="Z2" s="2">
        <f>AVERAGE(Sheet1__8[[#This Row],[00:00:00]:[23:00:00]])</f>
        <v>62.458333333333336</v>
      </c>
      <c r="AA2" t="str" cm="1">
        <f t="array" ref="AA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3" spans="1:27" x14ac:dyDescent="0.3">
      <c r="A3" s="1">
        <v>45871</v>
      </c>
      <c r="B3">
        <v>60</v>
      </c>
      <c r="C3">
        <v>60</v>
      </c>
      <c r="D3">
        <v>61</v>
      </c>
      <c r="E3">
        <v>61</v>
      </c>
      <c r="F3">
        <v>60</v>
      </c>
      <c r="G3">
        <v>60</v>
      </c>
      <c r="H3">
        <v>60</v>
      </c>
      <c r="I3">
        <v>61</v>
      </c>
      <c r="J3">
        <v>60</v>
      </c>
      <c r="K3">
        <v>61</v>
      </c>
      <c r="L3">
        <v>62</v>
      </c>
      <c r="M3">
        <v>62</v>
      </c>
      <c r="N3">
        <v>62</v>
      </c>
      <c r="O3">
        <v>62</v>
      </c>
      <c r="P3">
        <v>62</v>
      </c>
      <c r="Q3">
        <v>61</v>
      </c>
      <c r="R3">
        <v>60</v>
      </c>
      <c r="S3">
        <v>59</v>
      </c>
      <c r="T3">
        <v>58</v>
      </c>
      <c r="U3">
        <v>62</v>
      </c>
      <c r="V3">
        <v>60</v>
      </c>
      <c r="W3">
        <v>59</v>
      </c>
      <c r="X3">
        <v>58</v>
      </c>
      <c r="Y3">
        <v>56</v>
      </c>
      <c r="Z3" s="2">
        <f>AVERAGE(Sheet1__8[[#This Row],[00:00:00]:[23:00:00]])</f>
        <v>60.291666666666664</v>
      </c>
      <c r="AA3" t="str" cm="1">
        <f t="array" ref="AA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4" spans="1:27" x14ac:dyDescent="0.3">
      <c r="A4" s="1">
        <v>45872</v>
      </c>
      <c r="B4">
        <v>55</v>
      </c>
      <c r="C4">
        <v>53</v>
      </c>
      <c r="D4">
        <v>52</v>
      </c>
      <c r="E4">
        <v>51</v>
      </c>
      <c r="F4">
        <v>50</v>
      </c>
      <c r="G4">
        <v>50</v>
      </c>
      <c r="H4">
        <v>50</v>
      </c>
      <c r="I4">
        <v>50</v>
      </c>
      <c r="J4">
        <v>49</v>
      </c>
      <c r="K4">
        <v>49</v>
      </c>
      <c r="L4">
        <v>49</v>
      </c>
      <c r="M4">
        <v>49</v>
      </c>
      <c r="N4">
        <v>49</v>
      </c>
      <c r="O4">
        <v>50</v>
      </c>
      <c r="P4">
        <v>51</v>
      </c>
      <c r="Q4">
        <v>52</v>
      </c>
      <c r="R4">
        <v>54</v>
      </c>
      <c r="S4">
        <v>46</v>
      </c>
      <c r="T4">
        <v>47</v>
      </c>
      <c r="U4">
        <v>48</v>
      </c>
      <c r="V4">
        <v>49</v>
      </c>
      <c r="W4">
        <v>50</v>
      </c>
      <c r="X4">
        <v>50</v>
      </c>
      <c r="Y4">
        <v>51</v>
      </c>
      <c r="Z4" s="2">
        <f>AVERAGE(Sheet1__8[[#This Row],[00:00:00]:[23:00:00]])</f>
        <v>50.166666666666664</v>
      </c>
      <c r="AA4" t="str" cm="1">
        <f t="array" ref="AA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5" spans="1:27" x14ac:dyDescent="0.3">
      <c r="A5" s="1">
        <v>45873</v>
      </c>
      <c r="B5">
        <v>52</v>
      </c>
      <c r="C5">
        <v>54</v>
      </c>
      <c r="D5">
        <v>54</v>
      </c>
      <c r="E5">
        <v>55</v>
      </c>
      <c r="F5">
        <v>55</v>
      </c>
      <c r="G5">
        <v>56</v>
      </c>
      <c r="H5">
        <v>56</v>
      </c>
      <c r="I5">
        <v>56</v>
      </c>
      <c r="J5">
        <v>56</v>
      </c>
      <c r="K5">
        <v>57</v>
      </c>
      <c r="L5">
        <v>58</v>
      </c>
      <c r="M5">
        <v>58</v>
      </c>
      <c r="N5">
        <v>60</v>
      </c>
      <c r="O5">
        <v>62</v>
      </c>
      <c r="P5">
        <v>62</v>
      </c>
      <c r="Q5">
        <v>64</v>
      </c>
      <c r="R5">
        <v>66</v>
      </c>
      <c r="S5">
        <v>66</v>
      </c>
      <c r="T5">
        <v>68</v>
      </c>
      <c r="U5">
        <v>68</v>
      </c>
      <c r="V5">
        <v>69</v>
      </c>
      <c r="W5">
        <v>70</v>
      </c>
      <c r="X5">
        <v>70</v>
      </c>
      <c r="Y5">
        <v>70</v>
      </c>
      <c r="Z5" s="2">
        <f>AVERAGE(Sheet1__8[[#This Row],[00:00:00]:[23:00:00]])</f>
        <v>60.916666666666664</v>
      </c>
      <c r="AA5" t="str" cm="1">
        <f t="array" ref="AA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6" spans="1:27" x14ac:dyDescent="0.3">
      <c r="A6" s="1">
        <v>45874</v>
      </c>
      <c r="B6">
        <v>70</v>
      </c>
      <c r="C6">
        <v>70</v>
      </c>
      <c r="D6">
        <v>70</v>
      </c>
      <c r="E6">
        <v>69</v>
      </c>
      <c r="F6">
        <v>70</v>
      </c>
      <c r="G6">
        <v>70</v>
      </c>
      <c r="H6">
        <v>70</v>
      </c>
      <c r="I6">
        <v>70</v>
      </c>
      <c r="J6">
        <v>70</v>
      </c>
      <c r="K6">
        <v>70</v>
      </c>
      <c r="L6">
        <v>69</v>
      </c>
      <c r="M6">
        <v>68</v>
      </c>
      <c r="N6">
        <v>68</v>
      </c>
      <c r="O6">
        <v>66</v>
      </c>
      <c r="P6">
        <v>66</v>
      </c>
      <c r="Q6">
        <v>65</v>
      </c>
      <c r="R6">
        <v>64</v>
      </c>
      <c r="S6">
        <v>64</v>
      </c>
      <c r="T6">
        <v>63</v>
      </c>
      <c r="U6">
        <v>63</v>
      </c>
      <c r="V6">
        <v>63</v>
      </c>
      <c r="W6">
        <v>63</v>
      </c>
      <c r="X6">
        <v>63</v>
      </c>
      <c r="Y6">
        <v>63</v>
      </c>
      <c r="Z6" s="2">
        <f>AVERAGE(Sheet1__8[[#This Row],[00:00:00]:[23:00:00]])</f>
        <v>66.958333333333329</v>
      </c>
      <c r="AA6" t="str" cm="1">
        <f t="array" ref="AA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7" spans="1:27" x14ac:dyDescent="0.3">
      <c r="A7" s="1">
        <v>45875</v>
      </c>
      <c r="B7">
        <v>64</v>
      </c>
      <c r="C7">
        <v>64</v>
      </c>
      <c r="D7">
        <v>64</v>
      </c>
      <c r="E7">
        <v>64</v>
      </c>
      <c r="F7">
        <v>64</v>
      </c>
      <c r="G7">
        <v>64</v>
      </c>
      <c r="H7">
        <v>64</v>
      </c>
      <c r="I7">
        <v>65</v>
      </c>
      <c r="J7">
        <v>65</v>
      </c>
      <c r="K7">
        <v>65</v>
      </c>
      <c r="L7">
        <v>66</v>
      </c>
      <c r="M7">
        <v>67</v>
      </c>
      <c r="N7">
        <v>67</v>
      </c>
      <c r="O7">
        <v>68</v>
      </c>
      <c r="P7">
        <v>68</v>
      </c>
      <c r="Q7">
        <v>68</v>
      </c>
      <c r="R7">
        <v>68</v>
      </c>
      <c r="S7">
        <v>68</v>
      </c>
      <c r="T7">
        <v>68</v>
      </c>
      <c r="U7">
        <v>68</v>
      </c>
      <c r="V7">
        <v>69</v>
      </c>
      <c r="W7">
        <v>69</v>
      </c>
      <c r="X7">
        <v>69</v>
      </c>
      <c r="Y7">
        <v>70</v>
      </c>
      <c r="Z7" s="2">
        <f>AVERAGE(Sheet1__8[[#This Row],[00:00:00]:[23:00:00]])</f>
        <v>66.5</v>
      </c>
      <c r="AA7" t="str" cm="1">
        <f t="array" ref="AA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8" spans="1:27" x14ac:dyDescent="0.3">
      <c r="A8" s="1">
        <v>45876</v>
      </c>
      <c r="B8">
        <v>69</v>
      </c>
      <c r="C8">
        <v>70</v>
      </c>
      <c r="D8">
        <v>70</v>
      </c>
      <c r="F8">
        <v>70</v>
      </c>
      <c r="G8">
        <v>70</v>
      </c>
      <c r="H8">
        <v>70</v>
      </c>
      <c r="I8">
        <v>70</v>
      </c>
      <c r="J8">
        <v>70</v>
      </c>
      <c r="K8">
        <v>71</v>
      </c>
      <c r="L8">
        <v>70</v>
      </c>
      <c r="M8">
        <v>71</v>
      </c>
      <c r="N8">
        <v>70</v>
      </c>
      <c r="P8">
        <v>69</v>
      </c>
      <c r="Q8">
        <v>68</v>
      </c>
      <c r="R8">
        <v>68</v>
      </c>
      <c r="S8">
        <v>68</v>
      </c>
      <c r="T8">
        <v>67</v>
      </c>
      <c r="U8">
        <v>66</v>
      </c>
      <c r="V8">
        <v>66</v>
      </c>
      <c r="W8">
        <v>66</v>
      </c>
      <c r="X8">
        <v>66</v>
      </c>
      <c r="Y8">
        <v>66</v>
      </c>
      <c r="Z8" s="2">
        <f>AVERAGE(Sheet1__8[[#This Row],[00:00:00]:[23:00:00]])</f>
        <v>68.681818181818187</v>
      </c>
      <c r="AA8" t="str" cm="1">
        <f t="array" ref="AA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9" spans="1:27" x14ac:dyDescent="0.3">
      <c r="A9" s="1">
        <v>45877</v>
      </c>
      <c r="B9">
        <v>66</v>
      </c>
      <c r="C9">
        <v>67</v>
      </c>
      <c r="D9">
        <v>67</v>
      </c>
      <c r="E9">
        <v>67</v>
      </c>
      <c r="F9">
        <v>68</v>
      </c>
      <c r="G9">
        <v>68</v>
      </c>
      <c r="H9">
        <v>68</v>
      </c>
      <c r="I9">
        <v>68</v>
      </c>
      <c r="J9">
        <v>68</v>
      </c>
      <c r="K9">
        <v>68</v>
      </c>
      <c r="L9">
        <v>68</v>
      </c>
      <c r="M9">
        <v>68</v>
      </c>
      <c r="N9">
        <v>69</v>
      </c>
      <c r="O9">
        <v>70</v>
      </c>
      <c r="P9">
        <v>71</v>
      </c>
      <c r="Q9">
        <v>72</v>
      </c>
      <c r="R9">
        <v>72</v>
      </c>
      <c r="S9">
        <v>72</v>
      </c>
      <c r="T9">
        <v>73</v>
      </c>
      <c r="U9">
        <v>73</v>
      </c>
      <c r="V9">
        <v>72</v>
      </c>
      <c r="W9">
        <v>72</v>
      </c>
      <c r="X9">
        <v>71</v>
      </c>
      <c r="Y9">
        <v>71</v>
      </c>
      <c r="Z9" s="2">
        <f>AVERAGE(Sheet1__8[[#This Row],[00:00:00]:[23:00:00]])</f>
        <v>69.541666666666671</v>
      </c>
      <c r="AA9" t="str" cm="1">
        <f t="array" ref="AA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0" spans="1:27" x14ac:dyDescent="0.3">
      <c r="A10" s="1">
        <v>45878</v>
      </c>
      <c r="B10">
        <v>70</v>
      </c>
      <c r="C10">
        <v>70</v>
      </c>
      <c r="D10">
        <v>69</v>
      </c>
      <c r="E10">
        <v>69</v>
      </c>
      <c r="F10">
        <v>69</v>
      </c>
      <c r="G10">
        <v>69</v>
      </c>
      <c r="H10">
        <v>69</v>
      </c>
      <c r="I10">
        <v>70</v>
      </c>
      <c r="J10">
        <v>69</v>
      </c>
      <c r="K10">
        <v>69</v>
      </c>
      <c r="L10">
        <v>68</v>
      </c>
      <c r="M10">
        <v>67</v>
      </c>
      <c r="N10">
        <v>66</v>
      </c>
      <c r="O10">
        <v>65</v>
      </c>
      <c r="P10">
        <v>64</v>
      </c>
      <c r="Q10">
        <v>63</v>
      </c>
      <c r="R10">
        <v>62</v>
      </c>
      <c r="S10">
        <v>62</v>
      </c>
      <c r="T10">
        <v>61</v>
      </c>
      <c r="U10">
        <v>60</v>
      </c>
      <c r="V10">
        <v>61</v>
      </c>
      <c r="W10">
        <v>61</v>
      </c>
      <c r="X10">
        <v>61</v>
      </c>
      <c r="Y10">
        <v>61</v>
      </c>
      <c r="Z10" s="2">
        <f>AVERAGE(Sheet1__8[[#This Row],[00:00:00]:[23:00:00]])</f>
        <v>65.625</v>
      </c>
      <c r="AA10" t="str" cm="1">
        <f t="array" ref="AA1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1" spans="1:27" x14ac:dyDescent="0.3">
      <c r="A11" s="1">
        <v>45879</v>
      </c>
      <c r="B11">
        <v>61</v>
      </c>
      <c r="C11">
        <v>61</v>
      </c>
      <c r="D11">
        <v>60</v>
      </c>
      <c r="E11">
        <v>61</v>
      </c>
      <c r="F11">
        <v>61</v>
      </c>
      <c r="G11">
        <v>61</v>
      </c>
      <c r="H11">
        <v>61</v>
      </c>
      <c r="I11">
        <v>62</v>
      </c>
      <c r="J11">
        <v>62</v>
      </c>
      <c r="K11">
        <v>62</v>
      </c>
      <c r="L11">
        <v>63</v>
      </c>
      <c r="M11">
        <v>64</v>
      </c>
      <c r="N11">
        <v>64</v>
      </c>
      <c r="O11">
        <v>64</v>
      </c>
      <c r="P11">
        <v>64</v>
      </c>
      <c r="Q11">
        <v>64</v>
      </c>
      <c r="R11">
        <v>64</v>
      </c>
      <c r="S11">
        <v>64</v>
      </c>
      <c r="T11">
        <v>64</v>
      </c>
      <c r="U11">
        <v>63</v>
      </c>
      <c r="V11">
        <v>60</v>
      </c>
      <c r="W11">
        <v>60</v>
      </c>
      <c r="X11">
        <v>59</v>
      </c>
      <c r="Y11">
        <v>58</v>
      </c>
      <c r="Z11" s="2">
        <f>AVERAGE(Sheet1__8[[#This Row],[00:00:00]:[23:00:00]])</f>
        <v>61.958333333333336</v>
      </c>
      <c r="AA11" t="str" cm="1">
        <f t="array" ref="AA1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2" spans="1:27" x14ac:dyDescent="0.3">
      <c r="A12" s="1">
        <v>45880</v>
      </c>
      <c r="B12">
        <v>58</v>
      </c>
      <c r="C12">
        <v>57</v>
      </c>
      <c r="D12">
        <v>57</v>
      </c>
      <c r="E12">
        <v>56</v>
      </c>
      <c r="F12">
        <v>55</v>
      </c>
      <c r="G12">
        <v>55</v>
      </c>
      <c r="H12">
        <v>54</v>
      </c>
      <c r="I12">
        <v>54</v>
      </c>
      <c r="J12">
        <v>53</v>
      </c>
      <c r="K12">
        <v>52</v>
      </c>
      <c r="L12">
        <v>52</v>
      </c>
      <c r="M12">
        <v>51</v>
      </c>
      <c r="N12">
        <v>50</v>
      </c>
      <c r="O12">
        <v>50</v>
      </c>
      <c r="P12">
        <v>50</v>
      </c>
      <c r="Q12">
        <v>50</v>
      </c>
      <c r="R12">
        <v>50</v>
      </c>
      <c r="S12">
        <v>49</v>
      </c>
      <c r="T12">
        <v>49</v>
      </c>
      <c r="U12">
        <v>50</v>
      </c>
      <c r="V12">
        <v>51</v>
      </c>
      <c r="W12">
        <v>52</v>
      </c>
      <c r="X12">
        <v>53</v>
      </c>
      <c r="Y12">
        <v>53</v>
      </c>
      <c r="Z12" s="2">
        <f>AVERAGE(Sheet1__8[[#This Row],[00:00:00]:[23:00:00]])</f>
        <v>52.541666666666664</v>
      </c>
      <c r="AA12" t="str" cm="1">
        <f t="array" ref="AA1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3" spans="1:27" x14ac:dyDescent="0.3">
      <c r="A13" s="1">
        <v>45881</v>
      </c>
      <c r="B13">
        <v>54</v>
      </c>
      <c r="C13">
        <v>55</v>
      </c>
      <c r="D13">
        <v>55</v>
      </c>
      <c r="E13">
        <v>55</v>
      </c>
      <c r="F13">
        <v>56</v>
      </c>
      <c r="G13">
        <v>56</v>
      </c>
      <c r="H13">
        <v>56</v>
      </c>
      <c r="I13">
        <v>56</v>
      </c>
      <c r="J13">
        <v>56</v>
      </c>
      <c r="K13">
        <v>56</v>
      </c>
      <c r="L13">
        <v>57</v>
      </c>
      <c r="M13">
        <v>60</v>
      </c>
      <c r="N13">
        <v>60</v>
      </c>
      <c r="O13">
        <v>60</v>
      </c>
      <c r="P13">
        <v>60</v>
      </c>
      <c r="Q13">
        <v>61</v>
      </c>
      <c r="R13">
        <v>62</v>
      </c>
      <c r="S13">
        <v>62</v>
      </c>
      <c r="T13">
        <v>63</v>
      </c>
      <c r="U13">
        <v>64</v>
      </c>
      <c r="V13">
        <v>64</v>
      </c>
      <c r="W13">
        <v>64</v>
      </c>
      <c r="X13">
        <v>63</v>
      </c>
      <c r="Y13">
        <v>62</v>
      </c>
      <c r="Z13" s="2">
        <f>AVERAGE(Sheet1__8[[#This Row],[00:00:00]:[23:00:00]])</f>
        <v>59.041666666666664</v>
      </c>
      <c r="AA13" t="str" cm="1">
        <f t="array" ref="AA1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4" spans="1:27" x14ac:dyDescent="0.3">
      <c r="A14" s="1">
        <v>45882</v>
      </c>
      <c r="B14">
        <v>62</v>
      </c>
      <c r="C14">
        <v>61</v>
      </c>
      <c r="D14">
        <v>60</v>
      </c>
      <c r="E14">
        <v>60</v>
      </c>
      <c r="F14">
        <v>59</v>
      </c>
      <c r="G14">
        <v>58</v>
      </c>
      <c r="H14">
        <v>57</v>
      </c>
      <c r="I14">
        <v>56</v>
      </c>
      <c r="J14">
        <v>56</v>
      </c>
      <c r="K14">
        <v>55</v>
      </c>
      <c r="L14">
        <v>54</v>
      </c>
      <c r="M14">
        <v>54</v>
      </c>
      <c r="N14">
        <v>53</v>
      </c>
      <c r="O14">
        <v>52</v>
      </c>
      <c r="P14">
        <v>52</v>
      </c>
      <c r="Q14">
        <v>52</v>
      </c>
      <c r="R14">
        <v>50</v>
      </c>
      <c r="S14">
        <v>50</v>
      </c>
      <c r="T14">
        <v>48</v>
      </c>
      <c r="U14">
        <v>46</v>
      </c>
      <c r="V14">
        <v>45</v>
      </c>
      <c r="W14">
        <v>43</v>
      </c>
      <c r="X14">
        <v>42</v>
      </c>
      <c r="Y14">
        <v>41</v>
      </c>
      <c r="Z14" s="2">
        <f>AVERAGE(Sheet1__8[[#This Row],[00:00:00]:[23:00:00]])</f>
        <v>52.75</v>
      </c>
      <c r="AA14" t="str" cm="1">
        <f t="array" ref="AA1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MODERATE</v>
      </c>
    </row>
    <row r="15" spans="1:27" x14ac:dyDescent="0.3">
      <c r="A15" s="1">
        <v>45883</v>
      </c>
      <c r="B15">
        <v>40</v>
      </c>
      <c r="C15">
        <v>40</v>
      </c>
      <c r="D15">
        <v>40</v>
      </c>
      <c r="E15">
        <v>40</v>
      </c>
      <c r="F15">
        <v>40</v>
      </c>
      <c r="G15">
        <v>40</v>
      </c>
      <c r="H15">
        <v>40</v>
      </c>
      <c r="I15">
        <v>39</v>
      </c>
      <c r="J15">
        <v>39</v>
      </c>
      <c r="K15">
        <v>39</v>
      </c>
      <c r="L15">
        <v>39</v>
      </c>
      <c r="M15">
        <v>39</v>
      </c>
      <c r="N15">
        <v>39</v>
      </c>
      <c r="O15">
        <v>39</v>
      </c>
      <c r="P15">
        <v>38</v>
      </c>
      <c r="Q15">
        <v>38</v>
      </c>
      <c r="R15">
        <v>38</v>
      </c>
      <c r="S15">
        <v>38</v>
      </c>
      <c r="T15">
        <v>39</v>
      </c>
      <c r="U15">
        <v>40</v>
      </c>
      <c r="V15">
        <v>41</v>
      </c>
      <c r="W15">
        <v>42</v>
      </c>
      <c r="X15">
        <v>43</v>
      </c>
      <c r="Y15">
        <v>44</v>
      </c>
      <c r="Z15" s="2">
        <f>AVERAGE(Sheet1__8[[#This Row],[00:00:00]:[23:00:00]])</f>
        <v>39.75</v>
      </c>
      <c r="AA15" t="str" cm="1">
        <f t="array" ref="AA1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6" spans="1:27" x14ac:dyDescent="0.3">
      <c r="A16" s="1">
        <v>45884</v>
      </c>
      <c r="B16">
        <v>45</v>
      </c>
      <c r="C16">
        <v>45</v>
      </c>
      <c r="D16">
        <v>45</v>
      </c>
      <c r="E16">
        <v>45</v>
      </c>
      <c r="F16">
        <v>44</v>
      </c>
      <c r="G16">
        <v>44</v>
      </c>
      <c r="H16">
        <v>44</v>
      </c>
      <c r="I16">
        <v>44</v>
      </c>
      <c r="J16">
        <v>44</v>
      </c>
      <c r="K16">
        <v>44</v>
      </c>
      <c r="L16">
        <v>44</v>
      </c>
      <c r="M16">
        <v>44</v>
      </c>
      <c r="N16">
        <v>43</v>
      </c>
      <c r="O16">
        <v>43</v>
      </c>
      <c r="P16">
        <v>42</v>
      </c>
      <c r="Q16">
        <v>42</v>
      </c>
      <c r="R16">
        <v>41</v>
      </c>
      <c r="S16">
        <v>41</v>
      </c>
      <c r="T16">
        <v>41</v>
      </c>
      <c r="U16">
        <v>40</v>
      </c>
      <c r="V16">
        <v>34</v>
      </c>
      <c r="W16">
        <v>34</v>
      </c>
      <c r="X16">
        <v>32</v>
      </c>
      <c r="Y16">
        <v>32</v>
      </c>
      <c r="Z16" s="2">
        <f>AVERAGE(Sheet1__8[[#This Row],[00:00:00]:[23:00:00]])</f>
        <v>41.541666666666664</v>
      </c>
      <c r="AA16" t="str" cm="1">
        <f t="array" ref="AA1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7" spans="1:27" x14ac:dyDescent="0.3">
      <c r="A17" s="1">
        <v>45885</v>
      </c>
      <c r="B17">
        <v>31</v>
      </c>
      <c r="C17">
        <v>31</v>
      </c>
      <c r="D17">
        <v>30</v>
      </c>
      <c r="E17">
        <v>29</v>
      </c>
      <c r="F17">
        <v>29</v>
      </c>
      <c r="G17">
        <v>29</v>
      </c>
      <c r="H17">
        <v>29</v>
      </c>
      <c r="I17">
        <v>29</v>
      </c>
      <c r="J17">
        <v>29</v>
      </c>
      <c r="K17">
        <v>29</v>
      </c>
      <c r="L17">
        <v>29</v>
      </c>
      <c r="M17">
        <v>29</v>
      </c>
      <c r="N17">
        <v>29</v>
      </c>
      <c r="O17">
        <v>29</v>
      </c>
      <c r="P17">
        <v>29</v>
      </c>
      <c r="Q17">
        <v>29</v>
      </c>
      <c r="R17">
        <v>28</v>
      </c>
      <c r="S17">
        <v>28</v>
      </c>
      <c r="T17">
        <v>28</v>
      </c>
      <c r="U17">
        <v>28</v>
      </c>
      <c r="V17">
        <v>28</v>
      </c>
      <c r="W17">
        <v>28</v>
      </c>
      <c r="X17">
        <v>28</v>
      </c>
      <c r="Y17">
        <v>29</v>
      </c>
      <c r="Z17" s="2">
        <f>AVERAGE(Sheet1__8[[#This Row],[00:00:00]:[23:00:00]])</f>
        <v>28.916666666666668</v>
      </c>
      <c r="AA17" t="str" cm="1">
        <f t="array" ref="AA1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8" spans="1:27" x14ac:dyDescent="0.3">
      <c r="A18" s="1">
        <v>45886</v>
      </c>
      <c r="B18">
        <v>29</v>
      </c>
      <c r="C18">
        <v>29</v>
      </c>
      <c r="D18">
        <v>30</v>
      </c>
      <c r="E18">
        <v>30</v>
      </c>
      <c r="F18">
        <v>30</v>
      </c>
      <c r="G18">
        <v>30</v>
      </c>
      <c r="H18">
        <v>30</v>
      </c>
      <c r="I18">
        <v>30</v>
      </c>
      <c r="J18">
        <v>30</v>
      </c>
      <c r="K18">
        <v>31</v>
      </c>
      <c r="L18">
        <v>31</v>
      </c>
      <c r="M18">
        <v>31</v>
      </c>
      <c r="N18">
        <v>31</v>
      </c>
      <c r="O18">
        <v>31</v>
      </c>
      <c r="P18">
        <v>32</v>
      </c>
      <c r="Q18">
        <v>32</v>
      </c>
      <c r="R18">
        <v>32</v>
      </c>
      <c r="S18">
        <v>32</v>
      </c>
      <c r="T18">
        <v>32</v>
      </c>
      <c r="U18">
        <v>32</v>
      </c>
      <c r="V18">
        <v>32</v>
      </c>
      <c r="W18">
        <v>32</v>
      </c>
      <c r="X18">
        <v>32</v>
      </c>
      <c r="Y18">
        <v>32</v>
      </c>
      <c r="Z18" s="2">
        <f>AVERAGE(Sheet1__8[[#This Row],[00:00:00]:[23:00:00]])</f>
        <v>30.958333333333332</v>
      </c>
      <c r="AA18" t="str" cm="1">
        <f t="array" ref="AA1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19" spans="1:27" x14ac:dyDescent="0.3">
      <c r="A19" s="1">
        <v>45887</v>
      </c>
      <c r="B19">
        <v>34</v>
      </c>
      <c r="C19">
        <v>33</v>
      </c>
      <c r="D19">
        <v>33</v>
      </c>
      <c r="E19">
        <v>33</v>
      </c>
      <c r="F19">
        <v>33</v>
      </c>
      <c r="G19">
        <v>32</v>
      </c>
      <c r="H19">
        <v>32</v>
      </c>
      <c r="I19">
        <v>32</v>
      </c>
      <c r="J19">
        <v>32</v>
      </c>
      <c r="K19">
        <v>32</v>
      </c>
      <c r="L19">
        <v>32</v>
      </c>
      <c r="M19">
        <v>32</v>
      </c>
      <c r="N19">
        <v>32</v>
      </c>
      <c r="O19">
        <v>32</v>
      </c>
      <c r="P19">
        <v>34</v>
      </c>
      <c r="Q19">
        <v>34</v>
      </c>
      <c r="R19">
        <v>34</v>
      </c>
      <c r="S19">
        <v>34</v>
      </c>
      <c r="T19">
        <v>34</v>
      </c>
      <c r="U19">
        <v>34</v>
      </c>
      <c r="V19">
        <v>34</v>
      </c>
      <c r="W19">
        <v>33</v>
      </c>
      <c r="X19">
        <v>33</v>
      </c>
      <c r="Y19">
        <v>33</v>
      </c>
      <c r="Z19" s="2">
        <f>AVERAGE(Sheet1__8[[#This Row],[00:00:00]:[23:00:00]])</f>
        <v>32.958333333333336</v>
      </c>
      <c r="AA19" t="str" cm="1">
        <f t="array" ref="AA1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0" spans="1:27" x14ac:dyDescent="0.3">
      <c r="A20" s="1">
        <v>45888</v>
      </c>
      <c r="B20">
        <v>33</v>
      </c>
      <c r="C20">
        <v>33</v>
      </c>
      <c r="D20">
        <v>33</v>
      </c>
      <c r="E20">
        <v>33</v>
      </c>
      <c r="F20">
        <v>30</v>
      </c>
      <c r="G20">
        <v>30</v>
      </c>
      <c r="H20">
        <v>30</v>
      </c>
      <c r="I20">
        <v>30</v>
      </c>
      <c r="J20">
        <v>29</v>
      </c>
      <c r="K20">
        <v>28</v>
      </c>
      <c r="L20">
        <v>28</v>
      </c>
      <c r="M20">
        <v>28</v>
      </c>
      <c r="N20">
        <v>27</v>
      </c>
      <c r="O20">
        <v>27</v>
      </c>
      <c r="P20">
        <v>27</v>
      </c>
      <c r="Q20">
        <v>27</v>
      </c>
      <c r="R20">
        <v>26</v>
      </c>
      <c r="S20">
        <v>27</v>
      </c>
      <c r="T20">
        <v>27</v>
      </c>
      <c r="U20">
        <v>27</v>
      </c>
      <c r="V20">
        <v>26</v>
      </c>
      <c r="W20">
        <v>26</v>
      </c>
      <c r="X20">
        <v>26</v>
      </c>
      <c r="Y20">
        <v>26</v>
      </c>
      <c r="Z20" s="2">
        <f>AVERAGE(Sheet1__8[[#This Row],[00:00:00]:[23:00:00]])</f>
        <v>28.5</v>
      </c>
      <c r="AA20" t="str" cm="1">
        <f t="array" ref="AA2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1" spans="1:27" x14ac:dyDescent="0.3">
      <c r="A21" s="1">
        <v>45889</v>
      </c>
      <c r="B21">
        <v>24</v>
      </c>
      <c r="C21">
        <v>24</v>
      </c>
      <c r="D21">
        <v>23</v>
      </c>
      <c r="E21">
        <v>23</v>
      </c>
      <c r="F21">
        <v>22</v>
      </c>
      <c r="G21">
        <v>22</v>
      </c>
      <c r="H21">
        <v>23</v>
      </c>
      <c r="I21">
        <v>24</v>
      </c>
      <c r="J21">
        <v>23</v>
      </c>
      <c r="K21">
        <v>23</v>
      </c>
      <c r="L21">
        <v>23</v>
      </c>
      <c r="M21">
        <v>22</v>
      </c>
      <c r="N21">
        <v>22</v>
      </c>
      <c r="O21">
        <v>22</v>
      </c>
      <c r="P21">
        <v>22</v>
      </c>
      <c r="Q21">
        <v>22</v>
      </c>
      <c r="R21">
        <v>22</v>
      </c>
      <c r="S21">
        <v>21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 s="2">
        <f>AVERAGE(Sheet1__8[[#This Row],[00:00:00]:[23:00:00]])</f>
        <v>21.958333333333332</v>
      </c>
      <c r="AA21" t="str" cm="1">
        <f t="array" ref="AA2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2" spans="1:27" x14ac:dyDescent="0.3">
      <c r="A22" s="1">
        <v>45890</v>
      </c>
      <c r="B22">
        <v>20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19</v>
      </c>
      <c r="I22">
        <v>20</v>
      </c>
      <c r="J22">
        <v>20</v>
      </c>
      <c r="K22">
        <v>20</v>
      </c>
      <c r="L22">
        <v>20</v>
      </c>
      <c r="M22">
        <v>21</v>
      </c>
      <c r="N22">
        <v>21</v>
      </c>
      <c r="O22">
        <v>21</v>
      </c>
      <c r="P22">
        <v>21</v>
      </c>
      <c r="Q22">
        <v>21</v>
      </c>
      <c r="R22">
        <v>21</v>
      </c>
      <c r="S22">
        <v>21</v>
      </c>
      <c r="T22">
        <v>21</v>
      </c>
      <c r="U22">
        <v>21</v>
      </c>
      <c r="V22">
        <v>21</v>
      </c>
      <c r="W22">
        <v>21</v>
      </c>
      <c r="X22">
        <v>21</v>
      </c>
      <c r="Y22">
        <v>22</v>
      </c>
      <c r="Z22" s="2">
        <f>AVERAGE(Sheet1__8[[#This Row],[00:00:00]:[23:00:00]])</f>
        <v>20.541666666666668</v>
      </c>
      <c r="AA22" t="str" cm="1">
        <f t="array" ref="AA2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3" spans="1:27" x14ac:dyDescent="0.3">
      <c r="A23" s="1">
        <v>45891</v>
      </c>
      <c r="B23">
        <v>22</v>
      </c>
      <c r="C23">
        <v>23</v>
      </c>
      <c r="D23">
        <v>23</v>
      </c>
      <c r="E23">
        <v>23</v>
      </c>
      <c r="F23">
        <v>24</v>
      </c>
      <c r="G23">
        <v>24</v>
      </c>
      <c r="H23">
        <v>24</v>
      </c>
      <c r="I23">
        <v>24</v>
      </c>
      <c r="J23">
        <v>25</v>
      </c>
      <c r="K23">
        <v>25</v>
      </c>
      <c r="L23">
        <v>26</v>
      </c>
      <c r="M23">
        <v>26</v>
      </c>
      <c r="N23">
        <v>26</v>
      </c>
      <c r="O23">
        <v>26</v>
      </c>
      <c r="P23">
        <v>27</v>
      </c>
      <c r="Q23">
        <v>27</v>
      </c>
      <c r="R23">
        <v>28</v>
      </c>
      <c r="S23">
        <v>28</v>
      </c>
      <c r="T23">
        <v>29</v>
      </c>
      <c r="U23">
        <v>29</v>
      </c>
      <c r="V23">
        <v>29</v>
      </c>
      <c r="W23">
        <v>29</v>
      </c>
      <c r="X23">
        <v>29</v>
      </c>
      <c r="Y23">
        <v>30</v>
      </c>
      <c r="Z23" s="2">
        <f>AVERAGE(Sheet1__8[[#This Row],[00:00:00]:[23:00:00]])</f>
        <v>26.083333333333332</v>
      </c>
      <c r="AA23" t="str" cm="1">
        <f t="array" ref="AA23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4" spans="1:27" x14ac:dyDescent="0.3">
      <c r="A24" s="1">
        <v>45892</v>
      </c>
      <c r="B24">
        <v>29</v>
      </c>
      <c r="C24">
        <v>29</v>
      </c>
      <c r="D24">
        <v>29</v>
      </c>
      <c r="E24">
        <v>29</v>
      </c>
      <c r="F24">
        <v>29</v>
      </c>
      <c r="G24">
        <v>29</v>
      </c>
      <c r="H24">
        <v>29</v>
      </c>
      <c r="I24">
        <v>29</v>
      </c>
      <c r="J24">
        <v>28</v>
      </c>
      <c r="K24">
        <v>28</v>
      </c>
      <c r="L24">
        <v>28</v>
      </c>
      <c r="M24">
        <v>28</v>
      </c>
      <c r="N24">
        <v>28</v>
      </c>
      <c r="O24">
        <v>29</v>
      </c>
      <c r="P24">
        <v>29</v>
      </c>
      <c r="Q24">
        <v>29</v>
      </c>
      <c r="R24">
        <v>28</v>
      </c>
      <c r="S24">
        <v>28</v>
      </c>
      <c r="T24">
        <v>28</v>
      </c>
      <c r="U24">
        <v>27</v>
      </c>
      <c r="V24">
        <v>27</v>
      </c>
      <c r="W24">
        <v>26</v>
      </c>
      <c r="X24">
        <v>26</v>
      </c>
      <c r="Y24">
        <v>26</v>
      </c>
      <c r="Z24" s="2">
        <f>AVERAGE(Sheet1__8[[#This Row],[00:00:00]:[23:00:00]])</f>
        <v>28.125</v>
      </c>
      <c r="AA24" t="str" cm="1">
        <f t="array" ref="AA24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5" spans="1:27" x14ac:dyDescent="0.3">
      <c r="A25" s="1">
        <v>45893</v>
      </c>
      <c r="B25">
        <v>26</v>
      </c>
      <c r="C25">
        <v>26</v>
      </c>
      <c r="D25">
        <v>26</v>
      </c>
      <c r="E25">
        <v>26</v>
      </c>
      <c r="F25">
        <v>25</v>
      </c>
      <c r="G25">
        <v>26</v>
      </c>
      <c r="H25">
        <v>26</v>
      </c>
      <c r="I25">
        <v>26</v>
      </c>
      <c r="J25">
        <v>26</v>
      </c>
      <c r="K25">
        <v>26</v>
      </c>
      <c r="L25">
        <v>26</v>
      </c>
      <c r="M25">
        <v>26</v>
      </c>
      <c r="O25">
        <v>25</v>
      </c>
      <c r="P25">
        <v>25</v>
      </c>
      <c r="Q25">
        <v>26</v>
      </c>
      <c r="R25">
        <v>26</v>
      </c>
      <c r="S25">
        <v>26</v>
      </c>
      <c r="T25">
        <v>27</v>
      </c>
      <c r="U25">
        <v>28</v>
      </c>
      <c r="V25">
        <v>29</v>
      </c>
      <c r="W25">
        <v>29</v>
      </c>
      <c r="X25">
        <v>30</v>
      </c>
      <c r="Y25">
        <v>30</v>
      </c>
      <c r="Z25" s="2">
        <f>AVERAGE(Sheet1__8[[#This Row],[00:00:00]:[23:00:00]])</f>
        <v>26.608695652173914</v>
      </c>
      <c r="AA25" t="str" cm="1">
        <f t="array" ref="AA25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6" spans="1:27" x14ac:dyDescent="0.3">
      <c r="A26" s="1">
        <v>45894</v>
      </c>
      <c r="B26">
        <v>30</v>
      </c>
      <c r="C26">
        <v>30</v>
      </c>
      <c r="D26">
        <v>30</v>
      </c>
      <c r="E26">
        <v>30</v>
      </c>
      <c r="F26">
        <v>30</v>
      </c>
      <c r="G26">
        <v>31</v>
      </c>
      <c r="H26">
        <v>31</v>
      </c>
      <c r="I26">
        <v>31</v>
      </c>
      <c r="J26">
        <v>31</v>
      </c>
      <c r="K26">
        <v>32</v>
      </c>
      <c r="L26">
        <v>35</v>
      </c>
      <c r="M26">
        <v>37</v>
      </c>
      <c r="N26">
        <v>39</v>
      </c>
      <c r="O26">
        <v>40</v>
      </c>
      <c r="P26">
        <v>42</v>
      </c>
      <c r="Q26">
        <v>42</v>
      </c>
      <c r="R26">
        <v>43</v>
      </c>
      <c r="S26">
        <v>42</v>
      </c>
      <c r="T26">
        <v>41</v>
      </c>
      <c r="U26">
        <v>40</v>
      </c>
      <c r="V26">
        <v>40</v>
      </c>
      <c r="W26">
        <v>40</v>
      </c>
      <c r="X26">
        <v>40</v>
      </c>
      <c r="Y26">
        <v>39</v>
      </c>
      <c r="Z26" s="2">
        <f>AVERAGE(Sheet1__8[[#This Row],[00:00:00]:[23:00:00]])</f>
        <v>36.083333333333336</v>
      </c>
      <c r="AA26" t="str" cm="1">
        <f t="array" ref="AA26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7" spans="1:27" x14ac:dyDescent="0.3">
      <c r="A27" s="1">
        <v>45895</v>
      </c>
      <c r="B27">
        <v>39</v>
      </c>
      <c r="C27">
        <v>38</v>
      </c>
      <c r="D27">
        <v>39</v>
      </c>
      <c r="E27">
        <v>39</v>
      </c>
      <c r="F27">
        <v>38</v>
      </c>
      <c r="G27">
        <v>37</v>
      </c>
      <c r="H27">
        <v>37</v>
      </c>
      <c r="I27">
        <v>36</v>
      </c>
      <c r="J27">
        <v>36</v>
      </c>
      <c r="K27">
        <v>36</v>
      </c>
      <c r="L27">
        <v>32</v>
      </c>
      <c r="M27">
        <v>30</v>
      </c>
      <c r="N27">
        <v>28</v>
      </c>
      <c r="O27">
        <v>26</v>
      </c>
      <c r="P27">
        <v>24</v>
      </c>
      <c r="Q27">
        <v>24</v>
      </c>
      <c r="R27">
        <v>24</v>
      </c>
      <c r="S27">
        <v>24</v>
      </c>
      <c r="T27">
        <v>25</v>
      </c>
      <c r="U27">
        <v>25</v>
      </c>
      <c r="V27">
        <v>24</v>
      </c>
      <c r="W27">
        <v>24</v>
      </c>
      <c r="X27">
        <v>24</v>
      </c>
      <c r="Y27">
        <v>24</v>
      </c>
      <c r="Z27" s="2">
        <f>AVERAGE(Sheet1__8[[#This Row],[00:00:00]:[23:00:00]])</f>
        <v>30.541666666666668</v>
      </c>
      <c r="AA27" t="str" cm="1">
        <f t="array" ref="AA27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8" spans="1:27" x14ac:dyDescent="0.3">
      <c r="A28" s="1">
        <v>45896</v>
      </c>
      <c r="B28">
        <v>23</v>
      </c>
      <c r="C28">
        <v>23</v>
      </c>
      <c r="D28">
        <v>23</v>
      </c>
      <c r="E28">
        <v>23</v>
      </c>
      <c r="F28">
        <v>23</v>
      </c>
      <c r="G28">
        <v>22</v>
      </c>
      <c r="H28">
        <v>22</v>
      </c>
      <c r="I28">
        <v>23</v>
      </c>
      <c r="J28">
        <v>23</v>
      </c>
      <c r="K28">
        <v>23</v>
      </c>
      <c r="L28">
        <v>24</v>
      </c>
      <c r="M28">
        <v>24</v>
      </c>
      <c r="N28">
        <v>24</v>
      </c>
      <c r="O28">
        <v>24</v>
      </c>
      <c r="P28">
        <v>24</v>
      </c>
      <c r="Q28">
        <v>24</v>
      </c>
      <c r="R28">
        <v>24</v>
      </c>
      <c r="S28">
        <v>25</v>
      </c>
      <c r="T28">
        <v>25</v>
      </c>
      <c r="U28">
        <v>25</v>
      </c>
      <c r="V28">
        <v>25</v>
      </c>
      <c r="W28">
        <v>24</v>
      </c>
      <c r="X28">
        <v>24</v>
      </c>
      <c r="Y28">
        <v>25</v>
      </c>
      <c r="Z28" s="2">
        <f>AVERAGE(Sheet1__8[[#This Row],[00:00:00]:[23:00:00]])</f>
        <v>23.708333333333332</v>
      </c>
      <c r="AA28" t="str" cm="1">
        <f t="array" ref="AA28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29" spans="1:27" x14ac:dyDescent="0.3">
      <c r="A29" s="1">
        <v>45897</v>
      </c>
      <c r="B29">
        <v>25</v>
      </c>
      <c r="C29">
        <v>26</v>
      </c>
      <c r="D29">
        <v>26</v>
      </c>
      <c r="F29">
        <v>28</v>
      </c>
      <c r="G29">
        <v>29</v>
      </c>
      <c r="H29">
        <v>30</v>
      </c>
      <c r="I29">
        <v>30</v>
      </c>
      <c r="J29">
        <v>31</v>
      </c>
      <c r="K29">
        <v>32</v>
      </c>
      <c r="L29">
        <v>34</v>
      </c>
      <c r="M29">
        <v>34</v>
      </c>
      <c r="N29">
        <v>35</v>
      </c>
      <c r="O29">
        <v>36</v>
      </c>
      <c r="P29">
        <v>36</v>
      </c>
      <c r="Q29">
        <v>38</v>
      </c>
      <c r="R29">
        <v>38</v>
      </c>
      <c r="S29">
        <v>40</v>
      </c>
      <c r="U29">
        <v>40</v>
      </c>
      <c r="V29">
        <v>41</v>
      </c>
      <c r="W29">
        <v>42</v>
      </c>
      <c r="X29">
        <v>42</v>
      </c>
      <c r="Y29">
        <v>42</v>
      </c>
      <c r="Z29" s="2">
        <f>AVERAGE(Sheet1__8[[#This Row],[00:00:00]:[23:00:00]])</f>
        <v>34.31818181818182</v>
      </c>
      <c r="AA29" t="str" cm="1">
        <f t="array" ref="AA29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0" spans="1:27" x14ac:dyDescent="0.3">
      <c r="A30" s="1">
        <v>45898</v>
      </c>
      <c r="B30">
        <v>42</v>
      </c>
      <c r="C30">
        <v>42</v>
      </c>
      <c r="D30">
        <v>43</v>
      </c>
      <c r="E30">
        <v>43</v>
      </c>
      <c r="F30">
        <v>43</v>
      </c>
      <c r="G30">
        <v>42</v>
      </c>
      <c r="H30">
        <v>41</v>
      </c>
      <c r="I30">
        <v>41</v>
      </c>
      <c r="J30">
        <v>40</v>
      </c>
      <c r="K30">
        <v>40</v>
      </c>
      <c r="L30">
        <v>39</v>
      </c>
      <c r="M30">
        <v>39</v>
      </c>
      <c r="N30">
        <v>38</v>
      </c>
      <c r="O30">
        <v>38</v>
      </c>
      <c r="P30">
        <v>38</v>
      </c>
      <c r="Q30">
        <v>37</v>
      </c>
      <c r="R30">
        <v>36</v>
      </c>
      <c r="S30">
        <v>35</v>
      </c>
      <c r="T30">
        <v>35</v>
      </c>
      <c r="U30">
        <v>35</v>
      </c>
      <c r="V30">
        <v>35</v>
      </c>
      <c r="W30">
        <v>34</v>
      </c>
      <c r="X30">
        <v>35</v>
      </c>
      <c r="Y30">
        <v>35</v>
      </c>
      <c r="Z30" s="2">
        <f>AVERAGE(Sheet1__8[[#This Row],[00:00:00]:[23:00:00]])</f>
        <v>38.583333333333336</v>
      </c>
      <c r="AA30" t="str" cm="1">
        <f t="array" ref="AA30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1" spans="1:27" x14ac:dyDescent="0.3">
      <c r="A31" s="1">
        <v>45899</v>
      </c>
      <c r="B31">
        <v>35</v>
      </c>
      <c r="C31">
        <v>34</v>
      </c>
      <c r="D31">
        <v>29</v>
      </c>
      <c r="E31">
        <v>29</v>
      </c>
      <c r="F31">
        <v>28</v>
      </c>
      <c r="G31">
        <v>28</v>
      </c>
      <c r="H31">
        <v>28</v>
      </c>
      <c r="I31">
        <v>28</v>
      </c>
      <c r="J31">
        <v>28</v>
      </c>
      <c r="K31">
        <v>28</v>
      </c>
      <c r="L31">
        <v>28</v>
      </c>
      <c r="M31">
        <v>28</v>
      </c>
      <c r="N31">
        <v>28</v>
      </c>
      <c r="O31">
        <v>27</v>
      </c>
      <c r="P31">
        <v>28</v>
      </c>
      <c r="Q31">
        <v>28</v>
      </c>
      <c r="R31">
        <v>29</v>
      </c>
      <c r="S31">
        <v>30</v>
      </c>
      <c r="T31">
        <v>31</v>
      </c>
      <c r="U31">
        <v>31</v>
      </c>
      <c r="V31">
        <v>31</v>
      </c>
      <c r="W31">
        <v>31</v>
      </c>
      <c r="X31">
        <v>31</v>
      </c>
      <c r="Y31">
        <v>32</v>
      </c>
      <c r="Z31" s="2">
        <f>AVERAGE(Sheet1__8[[#This Row],[00:00:00]:[23:00:00]])</f>
        <v>29.5</v>
      </c>
      <c r="AA31" t="str" cm="1">
        <f t="array" ref="AA31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2" spans="1:27" x14ac:dyDescent="0.3">
      <c r="A32" s="1">
        <v>45900</v>
      </c>
      <c r="C32">
        <v>33</v>
      </c>
      <c r="D32">
        <v>34</v>
      </c>
      <c r="E32">
        <v>35</v>
      </c>
      <c r="F32">
        <v>35</v>
      </c>
      <c r="G32">
        <v>36</v>
      </c>
      <c r="H32">
        <v>36</v>
      </c>
      <c r="I32">
        <v>37</v>
      </c>
      <c r="J32">
        <v>37</v>
      </c>
      <c r="K32">
        <v>38</v>
      </c>
      <c r="L32">
        <v>38</v>
      </c>
      <c r="M32">
        <v>38</v>
      </c>
      <c r="N32">
        <v>38</v>
      </c>
      <c r="O32">
        <v>38</v>
      </c>
      <c r="P32">
        <v>38</v>
      </c>
      <c r="Q32">
        <v>39</v>
      </c>
      <c r="R32">
        <v>39</v>
      </c>
      <c r="S32">
        <v>37</v>
      </c>
      <c r="T32">
        <v>37</v>
      </c>
      <c r="U32">
        <v>34</v>
      </c>
      <c r="V32">
        <v>33</v>
      </c>
      <c r="W32">
        <v>33</v>
      </c>
      <c r="X32">
        <v>32</v>
      </c>
      <c r="Y32">
        <v>32</v>
      </c>
      <c r="Z32" s="2">
        <f>AVERAGE(Sheet1__8[[#This Row],[00:00:00]:[23:00:00]])</f>
        <v>35.956521739130437</v>
      </c>
      <c r="AA32" t="str" cm="1">
        <f t="array" ref="AA32">_xlfn.IFS(Sheet1__8[[#This Row],[AVERAGE AQI]]&lt;50,"GOOD",Sheet1__8[[#This Row],[AVERAGE AQI]]&lt;=100,"MODERATE",Sheet1__8[[#This Row],[AVERAGE AQI]]&lt;=150,"BAD",Sheet1__8[[#This Row],[AVERAGE AQI]]&lt;=200,"VERY BAD",Sheet1__8[[#This Row],[AVERAGE AQI]]&lt;=300,"HAZARDOUS")</f>
        <v>GOOD</v>
      </c>
    </row>
    <row r="33" spans="26:27" x14ac:dyDescent="0.3">
      <c r="Z33" s="2">
        <f>AVERAGE(Sheet1__8[AVERAGE AQI])</f>
        <v>43.615007012622719</v>
      </c>
      <c r="AA33" s="3"/>
    </row>
  </sheetData>
  <conditionalFormatting sqref="AA1:AA1048576">
    <cfRule type="containsText" dxfId="25" priority="1" operator="containsText" text="GOOD">
      <formula>NOT(ISERROR(SEARCH("GOOD",AA1)))</formula>
    </cfRule>
    <cfRule type="containsText" dxfId="24" priority="2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7575-ED19-4286-ACB7-74FD173C774A}">
  <dimension ref="A1:AA32"/>
  <sheetViews>
    <sheetView topLeftCell="K10" workbookViewId="0">
      <selection activeCell="AA14" sqref="AA14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5.441406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45901</v>
      </c>
      <c r="B2">
        <v>31</v>
      </c>
      <c r="C2">
        <v>31</v>
      </c>
      <c r="D2">
        <v>30</v>
      </c>
      <c r="E2">
        <v>30</v>
      </c>
      <c r="F2">
        <v>30</v>
      </c>
      <c r="G2">
        <v>29</v>
      </c>
      <c r="H2">
        <v>29</v>
      </c>
      <c r="I2">
        <v>29</v>
      </c>
      <c r="J2">
        <v>28</v>
      </c>
      <c r="K2">
        <v>28</v>
      </c>
      <c r="L2">
        <v>28</v>
      </c>
      <c r="M2">
        <v>28</v>
      </c>
      <c r="N2">
        <v>27</v>
      </c>
      <c r="O2">
        <v>27</v>
      </c>
      <c r="P2">
        <v>26</v>
      </c>
      <c r="Q2">
        <v>26</v>
      </c>
      <c r="R2">
        <v>26</v>
      </c>
      <c r="S2">
        <v>25</v>
      </c>
      <c r="T2">
        <v>24</v>
      </c>
      <c r="U2">
        <v>24</v>
      </c>
      <c r="V2">
        <v>24</v>
      </c>
      <c r="W2">
        <v>24</v>
      </c>
      <c r="X2">
        <v>24</v>
      </c>
      <c r="Y2">
        <v>24</v>
      </c>
      <c r="Z2" s="2">
        <f>AVERAGE(Sheet1__9[[#This Row],[00:00:00]:[23:00:00]])</f>
        <v>27.166666666666668</v>
      </c>
      <c r="AA2" t="str" cm="1">
        <f t="array" ref="AA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" spans="1:27" x14ac:dyDescent="0.3">
      <c r="A3" s="1">
        <v>45902</v>
      </c>
      <c r="B3">
        <v>24</v>
      </c>
      <c r="C3">
        <v>24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23</v>
      </c>
      <c r="K3">
        <v>23</v>
      </c>
      <c r="L3">
        <v>24</v>
      </c>
      <c r="M3">
        <v>24</v>
      </c>
      <c r="N3">
        <v>25</v>
      </c>
      <c r="O3">
        <v>26</v>
      </c>
      <c r="P3">
        <v>27</v>
      </c>
      <c r="Q3">
        <v>27</v>
      </c>
      <c r="R3">
        <v>28</v>
      </c>
      <c r="S3">
        <v>29</v>
      </c>
      <c r="T3">
        <v>29</v>
      </c>
      <c r="U3">
        <v>30</v>
      </c>
      <c r="V3">
        <v>31</v>
      </c>
      <c r="W3">
        <v>31</v>
      </c>
      <c r="X3">
        <v>33</v>
      </c>
      <c r="Y3">
        <v>34</v>
      </c>
      <c r="Z3" s="2">
        <f>AVERAGE(Sheet1__9[[#This Row],[00:00:00]:[23:00:00]])</f>
        <v>26.25</v>
      </c>
      <c r="AA3" t="str" cm="1">
        <f t="array" ref="AA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4" spans="1:27" x14ac:dyDescent="0.3">
      <c r="A4" s="1">
        <v>45903</v>
      </c>
      <c r="B4">
        <v>35</v>
      </c>
      <c r="C4">
        <v>42</v>
      </c>
      <c r="D4">
        <v>43</v>
      </c>
      <c r="E4">
        <v>44</v>
      </c>
      <c r="F4">
        <v>45</v>
      </c>
      <c r="G4">
        <v>44</v>
      </c>
      <c r="H4">
        <v>45</v>
      </c>
      <c r="I4">
        <v>46</v>
      </c>
      <c r="J4">
        <v>46</v>
      </c>
      <c r="K4">
        <v>46</v>
      </c>
      <c r="L4">
        <v>46</v>
      </c>
      <c r="M4">
        <v>46</v>
      </c>
      <c r="N4">
        <v>47</v>
      </c>
      <c r="O4">
        <v>47</v>
      </c>
      <c r="P4">
        <v>48</v>
      </c>
      <c r="Q4">
        <v>48</v>
      </c>
      <c r="R4">
        <v>49</v>
      </c>
      <c r="S4">
        <v>49</v>
      </c>
      <c r="T4">
        <v>50</v>
      </c>
      <c r="U4">
        <v>50</v>
      </c>
      <c r="V4">
        <v>52</v>
      </c>
      <c r="W4">
        <v>52</v>
      </c>
      <c r="X4">
        <v>52</v>
      </c>
      <c r="Y4">
        <v>53</v>
      </c>
      <c r="Z4" s="2">
        <f>AVERAGE(Sheet1__9[[#This Row],[00:00:00]:[23:00:00]])</f>
        <v>46.875</v>
      </c>
      <c r="AA4" t="str" cm="1">
        <f t="array" ref="AA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5" spans="1:27" x14ac:dyDescent="0.3">
      <c r="A5" s="1">
        <v>45904</v>
      </c>
      <c r="B5">
        <v>54</v>
      </c>
      <c r="C5">
        <v>54</v>
      </c>
      <c r="D5">
        <v>54</v>
      </c>
      <c r="E5">
        <v>55</v>
      </c>
      <c r="F5">
        <v>56</v>
      </c>
      <c r="G5">
        <v>58</v>
      </c>
      <c r="H5">
        <v>59</v>
      </c>
      <c r="I5">
        <v>60</v>
      </c>
      <c r="J5">
        <v>60</v>
      </c>
      <c r="K5">
        <v>60</v>
      </c>
      <c r="M5">
        <v>60</v>
      </c>
      <c r="N5">
        <v>58</v>
      </c>
      <c r="O5">
        <v>57</v>
      </c>
      <c r="P5">
        <v>56</v>
      </c>
      <c r="Q5">
        <v>54</v>
      </c>
      <c r="R5">
        <v>53</v>
      </c>
      <c r="S5">
        <v>52</v>
      </c>
      <c r="T5">
        <v>50</v>
      </c>
      <c r="U5">
        <v>49</v>
      </c>
      <c r="V5">
        <v>46</v>
      </c>
      <c r="W5">
        <v>44</v>
      </c>
      <c r="X5">
        <v>42</v>
      </c>
      <c r="Y5">
        <v>41</v>
      </c>
      <c r="Z5" s="2">
        <f>AVERAGE(Sheet1__9[[#This Row],[00:00:00]:[23:00:00]])</f>
        <v>53.565217391304351</v>
      </c>
      <c r="AA5" t="str" cm="1">
        <f t="array" ref="AA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6" spans="1:27" x14ac:dyDescent="0.3">
      <c r="A6" s="1">
        <v>45905</v>
      </c>
      <c r="B6">
        <v>39</v>
      </c>
      <c r="C6">
        <v>38</v>
      </c>
      <c r="D6">
        <v>36</v>
      </c>
      <c r="E6">
        <v>35</v>
      </c>
      <c r="F6">
        <v>34</v>
      </c>
      <c r="G6">
        <v>32</v>
      </c>
      <c r="H6">
        <v>32</v>
      </c>
      <c r="I6">
        <v>32</v>
      </c>
      <c r="J6">
        <v>32</v>
      </c>
      <c r="K6">
        <v>32</v>
      </c>
      <c r="L6">
        <v>32</v>
      </c>
      <c r="M6">
        <v>32</v>
      </c>
      <c r="N6">
        <v>32</v>
      </c>
      <c r="O6">
        <v>34</v>
      </c>
      <c r="P6">
        <v>34</v>
      </c>
      <c r="Q6">
        <v>35</v>
      </c>
      <c r="R6">
        <v>35</v>
      </c>
      <c r="S6">
        <v>36</v>
      </c>
      <c r="T6">
        <v>36</v>
      </c>
      <c r="U6">
        <v>36</v>
      </c>
      <c r="V6">
        <v>36</v>
      </c>
      <c r="W6">
        <v>37</v>
      </c>
      <c r="X6">
        <v>36</v>
      </c>
      <c r="Z6" s="2">
        <f>AVERAGE(Sheet1__9[[#This Row],[00:00:00]:[23:00:00]])</f>
        <v>34.478260869565219</v>
      </c>
      <c r="AA6" t="str" cm="1">
        <f t="array" ref="AA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7" spans="1:27" x14ac:dyDescent="0.3">
      <c r="A7" s="1">
        <v>45906</v>
      </c>
      <c r="B7">
        <v>36</v>
      </c>
      <c r="C7">
        <v>36</v>
      </c>
      <c r="D7">
        <v>35</v>
      </c>
      <c r="F7">
        <v>35</v>
      </c>
      <c r="G7">
        <v>34</v>
      </c>
      <c r="H7">
        <v>34</v>
      </c>
      <c r="I7">
        <v>34</v>
      </c>
      <c r="J7">
        <v>33</v>
      </c>
      <c r="K7">
        <v>33</v>
      </c>
      <c r="L7">
        <v>32</v>
      </c>
      <c r="M7">
        <v>32</v>
      </c>
      <c r="N7">
        <v>32</v>
      </c>
      <c r="O7">
        <v>31</v>
      </c>
      <c r="P7">
        <v>31</v>
      </c>
      <c r="Q7">
        <v>31</v>
      </c>
      <c r="R7">
        <v>30</v>
      </c>
      <c r="S7">
        <v>29</v>
      </c>
      <c r="T7">
        <v>30</v>
      </c>
      <c r="U7">
        <v>29</v>
      </c>
      <c r="V7">
        <v>29</v>
      </c>
      <c r="W7">
        <v>29</v>
      </c>
      <c r="X7">
        <v>28</v>
      </c>
      <c r="Y7">
        <v>28</v>
      </c>
      <c r="Z7" s="2">
        <f>AVERAGE(Sheet1__9[[#This Row],[00:00:00]:[23:00:00]])</f>
        <v>31.782608695652176</v>
      </c>
      <c r="AA7" t="str" cm="1">
        <f t="array" ref="AA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8" spans="1:27" x14ac:dyDescent="0.3">
      <c r="A8" s="1">
        <v>45907</v>
      </c>
      <c r="B8">
        <v>27</v>
      </c>
      <c r="C8">
        <v>27</v>
      </c>
      <c r="D8">
        <v>26</v>
      </c>
      <c r="E8">
        <v>25</v>
      </c>
      <c r="F8">
        <v>24</v>
      </c>
      <c r="G8">
        <v>23</v>
      </c>
      <c r="H8">
        <v>22</v>
      </c>
      <c r="I8">
        <v>22</v>
      </c>
      <c r="J8">
        <v>20</v>
      </c>
      <c r="K8">
        <v>20</v>
      </c>
      <c r="L8">
        <v>19</v>
      </c>
      <c r="M8">
        <v>19</v>
      </c>
      <c r="N8">
        <v>18</v>
      </c>
      <c r="O8">
        <v>18</v>
      </c>
      <c r="P8">
        <v>19</v>
      </c>
      <c r="Q8">
        <v>18</v>
      </c>
      <c r="R8">
        <v>18</v>
      </c>
      <c r="S8">
        <v>19</v>
      </c>
      <c r="T8">
        <v>19</v>
      </c>
      <c r="U8">
        <v>18</v>
      </c>
      <c r="V8">
        <v>19</v>
      </c>
      <c r="W8">
        <v>20</v>
      </c>
      <c r="X8">
        <v>22</v>
      </c>
      <c r="Y8">
        <v>22</v>
      </c>
      <c r="Z8" s="2">
        <f>AVERAGE(Sheet1__9[[#This Row],[00:00:00]:[23:00:00]])</f>
        <v>21</v>
      </c>
      <c r="AA8" t="str" cm="1">
        <f t="array" ref="AA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9" spans="1:27" x14ac:dyDescent="0.3">
      <c r="A9" s="1">
        <v>45908</v>
      </c>
      <c r="B9">
        <v>24</v>
      </c>
      <c r="C9">
        <v>24</v>
      </c>
      <c r="D9">
        <v>25</v>
      </c>
      <c r="E9">
        <v>26</v>
      </c>
      <c r="F9">
        <v>27</v>
      </c>
      <c r="G9">
        <v>28</v>
      </c>
      <c r="H9">
        <v>29</v>
      </c>
      <c r="I9">
        <v>30</v>
      </c>
      <c r="J9">
        <v>31</v>
      </c>
      <c r="K9">
        <v>33</v>
      </c>
      <c r="L9">
        <v>34</v>
      </c>
      <c r="M9">
        <v>36</v>
      </c>
      <c r="O9">
        <v>39</v>
      </c>
      <c r="P9">
        <v>40</v>
      </c>
      <c r="Q9">
        <v>42</v>
      </c>
      <c r="R9">
        <v>44</v>
      </c>
      <c r="S9">
        <v>46</v>
      </c>
      <c r="T9">
        <v>48</v>
      </c>
      <c r="U9">
        <v>50</v>
      </c>
      <c r="V9">
        <v>52</v>
      </c>
      <c r="W9">
        <v>54</v>
      </c>
      <c r="X9">
        <v>56</v>
      </c>
      <c r="Y9">
        <v>56</v>
      </c>
      <c r="Z9" s="2">
        <f>AVERAGE(Sheet1__9[[#This Row],[00:00:00]:[23:00:00]])</f>
        <v>38</v>
      </c>
      <c r="AA9" t="str" cm="1">
        <f t="array" ref="AA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0" spans="1:27" x14ac:dyDescent="0.3">
      <c r="A10" s="1">
        <v>45909</v>
      </c>
      <c r="B10">
        <v>59</v>
      </c>
      <c r="C10">
        <v>61</v>
      </c>
      <c r="D10">
        <v>64</v>
      </c>
      <c r="E10">
        <v>65</v>
      </c>
      <c r="F10">
        <v>66</v>
      </c>
      <c r="G10">
        <v>68</v>
      </c>
      <c r="H10">
        <v>68</v>
      </c>
      <c r="I10">
        <v>68</v>
      </c>
      <c r="J10">
        <v>68</v>
      </c>
      <c r="K10">
        <v>69</v>
      </c>
      <c r="L10">
        <v>70</v>
      </c>
      <c r="M10">
        <v>71</v>
      </c>
      <c r="N10">
        <v>72</v>
      </c>
      <c r="O10">
        <v>72</v>
      </c>
      <c r="P10">
        <v>73</v>
      </c>
      <c r="Q10">
        <v>74</v>
      </c>
      <c r="R10">
        <v>75</v>
      </c>
      <c r="S10">
        <v>75</v>
      </c>
      <c r="T10">
        <v>75</v>
      </c>
      <c r="U10">
        <v>76</v>
      </c>
      <c r="V10">
        <v>77</v>
      </c>
      <c r="W10">
        <v>78</v>
      </c>
      <c r="X10">
        <v>78</v>
      </c>
      <c r="Y10">
        <v>78</v>
      </c>
      <c r="Z10" s="2">
        <f>AVERAGE(Sheet1__9[[#This Row],[00:00:00]:[23:00:00]])</f>
        <v>70.833333333333329</v>
      </c>
      <c r="AA10" t="str" cm="1">
        <f t="array" ref="AA1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1" spans="1:27" x14ac:dyDescent="0.3">
      <c r="A11" s="1">
        <v>45910</v>
      </c>
      <c r="B11">
        <v>77</v>
      </c>
      <c r="C11">
        <v>76</v>
      </c>
      <c r="D11">
        <v>76</v>
      </c>
      <c r="E11">
        <v>75</v>
      </c>
      <c r="F11">
        <v>74</v>
      </c>
      <c r="G11">
        <v>74</v>
      </c>
      <c r="H11">
        <v>75</v>
      </c>
      <c r="I11">
        <v>75</v>
      </c>
      <c r="J11">
        <v>76</v>
      </c>
      <c r="K11">
        <v>76</v>
      </c>
      <c r="L11">
        <v>76</v>
      </c>
      <c r="M11">
        <v>76</v>
      </c>
      <c r="N11">
        <v>76</v>
      </c>
      <c r="O11">
        <v>75</v>
      </c>
      <c r="P11">
        <v>75</v>
      </c>
      <c r="Q11">
        <v>75</v>
      </c>
      <c r="R11">
        <v>75</v>
      </c>
      <c r="S11">
        <v>75</v>
      </c>
      <c r="T11">
        <v>75</v>
      </c>
      <c r="U11">
        <v>75</v>
      </c>
      <c r="V11">
        <v>75</v>
      </c>
      <c r="W11">
        <v>75</v>
      </c>
      <c r="X11">
        <v>74</v>
      </c>
      <c r="Y11">
        <v>75</v>
      </c>
      <c r="Z11" s="2">
        <f>AVERAGE(Sheet1__9[[#This Row],[00:00:00]:[23:00:00]])</f>
        <v>75.25</v>
      </c>
      <c r="AA11" t="str" cm="1">
        <f t="array" ref="AA1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2" spans="1:27" x14ac:dyDescent="0.3">
      <c r="A12" s="1">
        <v>45911</v>
      </c>
      <c r="B12">
        <v>75</v>
      </c>
      <c r="C12">
        <v>75</v>
      </c>
      <c r="D12">
        <v>76</v>
      </c>
      <c r="E12">
        <v>76</v>
      </c>
      <c r="F12">
        <v>77</v>
      </c>
      <c r="G12">
        <v>77</v>
      </c>
      <c r="H12">
        <v>76</v>
      </c>
      <c r="I12">
        <v>76</v>
      </c>
      <c r="J12">
        <v>76</v>
      </c>
      <c r="K12">
        <v>75</v>
      </c>
      <c r="L12">
        <v>74</v>
      </c>
      <c r="M12">
        <v>75</v>
      </c>
      <c r="N12">
        <v>75</v>
      </c>
      <c r="O12">
        <v>76</v>
      </c>
      <c r="P12">
        <v>75</v>
      </c>
      <c r="Q12">
        <v>75</v>
      </c>
      <c r="R12">
        <v>75</v>
      </c>
      <c r="S12">
        <v>75</v>
      </c>
      <c r="T12">
        <v>76</v>
      </c>
      <c r="U12">
        <v>76</v>
      </c>
      <c r="V12">
        <v>75</v>
      </c>
      <c r="W12">
        <v>75</v>
      </c>
      <c r="X12">
        <v>74</v>
      </c>
      <c r="Y12">
        <v>73</v>
      </c>
      <c r="Z12" s="2">
        <f>AVERAGE(Sheet1__9[[#This Row],[00:00:00]:[23:00:00]])</f>
        <v>75.333333333333329</v>
      </c>
      <c r="AA12" t="str" cm="1">
        <f t="array" ref="AA1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3" spans="1:27" x14ac:dyDescent="0.3">
      <c r="A13" s="1">
        <v>45912</v>
      </c>
      <c r="B13">
        <v>73</v>
      </c>
      <c r="C13">
        <v>72</v>
      </c>
      <c r="D13">
        <v>72</v>
      </c>
      <c r="E13">
        <v>71</v>
      </c>
      <c r="F13">
        <v>71</v>
      </c>
      <c r="G13">
        <v>70</v>
      </c>
      <c r="H13">
        <v>70</v>
      </c>
      <c r="I13">
        <v>70</v>
      </c>
      <c r="J13">
        <v>69</v>
      </c>
      <c r="K13">
        <v>69</v>
      </c>
      <c r="L13">
        <v>68</v>
      </c>
      <c r="M13">
        <v>68</v>
      </c>
      <c r="N13">
        <v>66</v>
      </c>
      <c r="O13">
        <v>66</v>
      </c>
      <c r="P13">
        <v>66</v>
      </c>
      <c r="Q13">
        <v>65</v>
      </c>
      <c r="R13">
        <v>64</v>
      </c>
      <c r="S13">
        <v>64</v>
      </c>
      <c r="T13">
        <v>62</v>
      </c>
      <c r="U13">
        <v>60</v>
      </c>
      <c r="V13">
        <v>58</v>
      </c>
      <c r="W13">
        <v>57</v>
      </c>
      <c r="X13">
        <v>56</v>
      </c>
      <c r="Y13">
        <v>54</v>
      </c>
      <c r="Z13" s="2">
        <f>AVERAGE(Sheet1__9[[#This Row],[00:00:00]:[23:00:00]])</f>
        <v>65.875</v>
      </c>
      <c r="AA13" t="str" cm="1">
        <f t="array" ref="AA1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4" spans="1:27" x14ac:dyDescent="0.3">
      <c r="A14" s="1">
        <v>45913</v>
      </c>
      <c r="B14">
        <v>54</v>
      </c>
      <c r="C14">
        <v>54</v>
      </c>
      <c r="D14">
        <v>53</v>
      </c>
      <c r="E14">
        <v>53</v>
      </c>
      <c r="F14">
        <v>53</v>
      </c>
      <c r="G14">
        <v>53</v>
      </c>
      <c r="H14">
        <v>53</v>
      </c>
      <c r="I14">
        <v>52</v>
      </c>
      <c r="J14">
        <v>52</v>
      </c>
      <c r="K14">
        <v>52</v>
      </c>
      <c r="L14">
        <v>52</v>
      </c>
      <c r="M14">
        <v>52</v>
      </c>
      <c r="N14">
        <v>51</v>
      </c>
      <c r="O14">
        <v>51</v>
      </c>
      <c r="P14">
        <v>51</v>
      </c>
      <c r="Q14">
        <v>51</v>
      </c>
      <c r="R14">
        <v>51</v>
      </c>
      <c r="S14">
        <v>51</v>
      </c>
      <c r="T14">
        <v>51</v>
      </c>
      <c r="U14">
        <v>52</v>
      </c>
      <c r="V14">
        <v>52</v>
      </c>
      <c r="W14">
        <v>52</v>
      </c>
      <c r="X14">
        <v>52</v>
      </c>
      <c r="Y14">
        <v>53</v>
      </c>
      <c r="Z14" s="2">
        <f>AVERAGE(Sheet1__9[[#This Row],[00:00:00]:[23:00:00]])</f>
        <v>52.125</v>
      </c>
      <c r="AA14" t="str" cm="1">
        <f t="array" ref="AA1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5" spans="1:27" x14ac:dyDescent="0.3">
      <c r="A15" s="1">
        <v>45914</v>
      </c>
      <c r="B15">
        <v>53</v>
      </c>
      <c r="C15">
        <v>53</v>
      </c>
      <c r="E15">
        <v>54</v>
      </c>
      <c r="F15">
        <v>55</v>
      </c>
      <c r="G15">
        <v>56</v>
      </c>
      <c r="H15">
        <v>56</v>
      </c>
      <c r="I15">
        <v>57</v>
      </c>
      <c r="J15">
        <v>58</v>
      </c>
      <c r="K15">
        <v>60</v>
      </c>
      <c r="L15">
        <v>60</v>
      </c>
      <c r="M15">
        <v>60</v>
      </c>
      <c r="N15">
        <v>59</v>
      </c>
      <c r="O15">
        <v>58</v>
      </c>
      <c r="P15">
        <v>58</v>
      </c>
      <c r="Q15">
        <v>58</v>
      </c>
      <c r="R15">
        <v>58</v>
      </c>
      <c r="S15">
        <v>58</v>
      </c>
      <c r="T15">
        <v>58</v>
      </c>
      <c r="U15">
        <v>58</v>
      </c>
      <c r="V15">
        <v>59</v>
      </c>
      <c r="W15">
        <v>59</v>
      </c>
      <c r="X15">
        <v>59</v>
      </c>
      <c r="Y15">
        <v>59</v>
      </c>
      <c r="Z15" s="2">
        <f>AVERAGE(Sheet1__9[[#This Row],[00:00:00]:[23:00:00]])</f>
        <v>57.521739130434781</v>
      </c>
      <c r="AA15" t="str" cm="1">
        <f t="array" ref="AA1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6" spans="1:27" x14ac:dyDescent="0.3">
      <c r="A16" s="1">
        <v>45915</v>
      </c>
      <c r="B16">
        <v>60</v>
      </c>
      <c r="C16">
        <v>60</v>
      </c>
      <c r="D16">
        <v>63</v>
      </c>
      <c r="E16">
        <v>62</v>
      </c>
      <c r="F16">
        <v>62</v>
      </c>
      <c r="G16">
        <v>62</v>
      </c>
      <c r="H16">
        <v>61</v>
      </c>
      <c r="I16">
        <v>61</v>
      </c>
      <c r="J16">
        <v>61</v>
      </c>
      <c r="K16">
        <v>60</v>
      </c>
      <c r="L16">
        <v>60</v>
      </c>
      <c r="M16">
        <v>62</v>
      </c>
      <c r="N16">
        <v>62</v>
      </c>
      <c r="O16">
        <v>63</v>
      </c>
      <c r="P16">
        <v>68</v>
      </c>
      <c r="Q16">
        <v>74</v>
      </c>
      <c r="R16">
        <v>74</v>
      </c>
      <c r="S16">
        <v>74</v>
      </c>
      <c r="T16">
        <v>74</v>
      </c>
      <c r="U16">
        <v>74</v>
      </c>
      <c r="V16">
        <v>74</v>
      </c>
      <c r="W16">
        <v>74</v>
      </c>
      <c r="X16">
        <v>73</v>
      </c>
      <c r="Y16">
        <v>72</v>
      </c>
      <c r="Z16" s="2">
        <f>AVERAGE(Sheet1__9[[#This Row],[00:00:00]:[23:00:00]])</f>
        <v>66.25</v>
      </c>
      <c r="AA16" t="str" cm="1">
        <f t="array" ref="AA1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7" spans="1:27" x14ac:dyDescent="0.3">
      <c r="A17" s="1">
        <v>45916</v>
      </c>
      <c r="B17">
        <v>71</v>
      </c>
      <c r="C17">
        <v>69</v>
      </c>
      <c r="D17">
        <v>69</v>
      </c>
      <c r="E17">
        <v>69</v>
      </c>
      <c r="F17">
        <v>68</v>
      </c>
      <c r="G17">
        <v>67</v>
      </c>
      <c r="H17">
        <v>67</v>
      </c>
      <c r="I17">
        <v>65</v>
      </c>
      <c r="J17">
        <v>64</v>
      </c>
      <c r="K17">
        <v>64</v>
      </c>
      <c r="L17">
        <v>63</v>
      </c>
      <c r="M17">
        <v>61</v>
      </c>
      <c r="N17">
        <v>59</v>
      </c>
      <c r="O17">
        <v>58</v>
      </c>
      <c r="P17">
        <v>50</v>
      </c>
      <c r="Q17">
        <v>47</v>
      </c>
      <c r="R17">
        <v>45</v>
      </c>
      <c r="S17">
        <v>44</v>
      </c>
      <c r="T17">
        <v>43</v>
      </c>
      <c r="U17">
        <v>41</v>
      </c>
      <c r="V17">
        <v>40</v>
      </c>
      <c r="W17">
        <v>39</v>
      </c>
      <c r="X17">
        <v>39</v>
      </c>
      <c r="Y17">
        <v>38</v>
      </c>
      <c r="Z17" s="2">
        <f>AVERAGE(Sheet1__9[[#This Row],[00:00:00]:[23:00:00]])</f>
        <v>55.833333333333336</v>
      </c>
      <c r="AA17" t="str" cm="1">
        <f t="array" ref="AA1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MODERATE</v>
      </c>
    </row>
    <row r="18" spans="1:27" x14ac:dyDescent="0.3">
      <c r="A18" s="1">
        <v>45917</v>
      </c>
      <c r="B18">
        <v>37</v>
      </c>
      <c r="C18">
        <v>36</v>
      </c>
      <c r="D18">
        <v>35</v>
      </c>
      <c r="E18">
        <v>39</v>
      </c>
      <c r="F18">
        <v>39</v>
      </c>
      <c r="G18">
        <v>39</v>
      </c>
      <c r="H18">
        <v>39</v>
      </c>
      <c r="I18">
        <v>38</v>
      </c>
      <c r="J18">
        <v>37</v>
      </c>
      <c r="K18">
        <v>37</v>
      </c>
      <c r="L18">
        <v>36</v>
      </c>
      <c r="M18">
        <v>36</v>
      </c>
      <c r="N18">
        <v>36</v>
      </c>
      <c r="O18">
        <v>36</v>
      </c>
      <c r="P18">
        <v>37</v>
      </c>
      <c r="Q18">
        <v>37</v>
      </c>
      <c r="R18">
        <v>38</v>
      </c>
      <c r="S18">
        <v>39</v>
      </c>
      <c r="T18">
        <v>39</v>
      </c>
      <c r="U18">
        <v>39</v>
      </c>
      <c r="V18">
        <v>38</v>
      </c>
      <c r="W18">
        <v>38</v>
      </c>
      <c r="X18">
        <v>38</v>
      </c>
      <c r="Y18">
        <v>38</v>
      </c>
      <c r="Z18" s="2">
        <f>AVERAGE(Sheet1__9[[#This Row],[00:00:00]:[23:00:00]])</f>
        <v>37.541666666666664</v>
      </c>
      <c r="AA18" t="str" cm="1">
        <f t="array" ref="AA1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19" spans="1:27" x14ac:dyDescent="0.3">
      <c r="A19" s="1">
        <v>45918</v>
      </c>
      <c r="B19">
        <v>38</v>
      </c>
      <c r="C19">
        <v>37</v>
      </c>
      <c r="D19">
        <v>37</v>
      </c>
      <c r="E19">
        <v>37</v>
      </c>
      <c r="F19">
        <v>37</v>
      </c>
      <c r="G19">
        <v>36</v>
      </c>
      <c r="H19">
        <v>36</v>
      </c>
      <c r="I19">
        <v>36</v>
      </c>
      <c r="J19">
        <v>37</v>
      </c>
      <c r="K19">
        <v>37</v>
      </c>
      <c r="L19">
        <v>37</v>
      </c>
      <c r="M19">
        <v>38</v>
      </c>
      <c r="N19">
        <v>38</v>
      </c>
      <c r="O19">
        <v>38</v>
      </c>
      <c r="P19">
        <v>38</v>
      </c>
      <c r="Q19">
        <v>38</v>
      </c>
      <c r="R19">
        <v>37</v>
      </c>
      <c r="S19">
        <v>37</v>
      </c>
      <c r="U19">
        <v>37</v>
      </c>
      <c r="V19">
        <v>37</v>
      </c>
      <c r="W19">
        <v>37</v>
      </c>
      <c r="X19">
        <v>37</v>
      </c>
      <c r="Y19">
        <v>37</v>
      </c>
      <c r="Z19" s="2">
        <f>AVERAGE(Sheet1__9[[#This Row],[00:00:00]:[23:00:00]])</f>
        <v>37.130434782608695</v>
      </c>
      <c r="AA19" t="str" cm="1">
        <f t="array" ref="AA1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0" spans="1:27" x14ac:dyDescent="0.3">
      <c r="A20" s="1">
        <v>45919</v>
      </c>
      <c r="B20">
        <v>37</v>
      </c>
      <c r="C20">
        <v>37</v>
      </c>
      <c r="D20">
        <v>38</v>
      </c>
      <c r="E20">
        <v>38</v>
      </c>
      <c r="F20">
        <v>39</v>
      </c>
      <c r="G20">
        <v>39</v>
      </c>
      <c r="H20">
        <v>39</v>
      </c>
      <c r="I20">
        <v>38</v>
      </c>
      <c r="J20">
        <v>38</v>
      </c>
      <c r="K20">
        <v>37</v>
      </c>
      <c r="L20">
        <v>37</v>
      </c>
      <c r="M20">
        <v>36</v>
      </c>
      <c r="N20">
        <v>36</v>
      </c>
      <c r="O20">
        <v>36</v>
      </c>
      <c r="P20">
        <v>37</v>
      </c>
      <c r="Q20">
        <v>37</v>
      </c>
      <c r="R20">
        <v>38</v>
      </c>
      <c r="S20">
        <v>38</v>
      </c>
      <c r="T20">
        <v>38</v>
      </c>
      <c r="U20">
        <v>37</v>
      </c>
      <c r="V20">
        <v>37</v>
      </c>
      <c r="W20">
        <v>37</v>
      </c>
      <c r="X20">
        <v>36</v>
      </c>
      <c r="Y20">
        <v>36</v>
      </c>
      <c r="Z20" s="2">
        <f>AVERAGE(Sheet1__9[[#This Row],[00:00:00]:[23:00:00]])</f>
        <v>37.333333333333336</v>
      </c>
      <c r="AA20" t="str" cm="1">
        <f t="array" ref="AA2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1" spans="1:27" x14ac:dyDescent="0.3">
      <c r="A21" s="1">
        <v>45920</v>
      </c>
      <c r="B21">
        <v>35</v>
      </c>
      <c r="C21">
        <v>34</v>
      </c>
      <c r="D21">
        <v>34</v>
      </c>
      <c r="E21">
        <v>33</v>
      </c>
      <c r="F21">
        <v>33</v>
      </c>
      <c r="G21">
        <v>32</v>
      </c>
      <c r="H21">
        <v>32</v>
      </c>
      <c r="I21">
        <v>32</v>
      </c>
      <c r="J21">
        <v>32</v>
      </c>
      <c r="K21">
        <v>32</v>
      </c>
      <c r="L21">
        <v>32</v>
      </c>
      <c r="M21">
        <v>32</v>
      </c>
      <c r="N21">
        <v>32</v>
      </c>
      <c r="O21">
        <v>32</v>
      </c>
      <c r="P21">
        <v>32</v>
      </c>
      <c r="Q21">
        <v>32</v>
      </c>
      <c r="R21">
        <v>31</v>
      </c>
      <c r="S21">
        <v>31</v>
      </c>
      <c r="T21">
        <v>31</v>
      </c>
      <c r="U21">
        <v>32</v>
      </c>
      <c r="V21">
        <v>32</v>
      </c>
      <c r="W21">
        <v>32</v>
      </c>
      <c r="X21">
        <v>32</v>
      </c>
      <c r="Y21">
        <v>33</v>
      </c>
      <c r="Z21" s="2">
        <f>AVERAGE(Sheet1__9[[#This Row],[00:00:00]:[23:00:00]])</f>
        <v>32.291666666666664</v>
      </c>
      <c r="AA21" t="str" cm="1">
        <f t="array" ref="AA2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2" spans="1:27" x14ac:dyDescent="0.3">
      <c r="A22" s="1">
        <v>45921</v>
      </c>
      <c r="B22">
        <v>34</v>
      </c>
      <c r="C22">
        <v>34</v>
      </c>
      <c r="D22">
        <v>35</v>
      </c>
      <c r="E22">
        <v>36</v>
      </c>
      <c r="F22">
        <v>36</v>
      </c>
      <c r="G22">
        <v>37</v>
      </c>
      <c r="H22">
        <v>38</v>
      </c>
      <c r="I22">
        <v>39</v>
      </c>
      <c r="J22">
        <v>40</v>
      </c>
      <c r="K22">
        <v>40</v>
      </c>
      <c r="L22">
        <v>42</v>
      </c>
      <c r="M22">
        <v>43</v>
      </c>
      <c r="N22">
        <v>44</v>
      </c>
      <c r="O22">
        <v>44</v>
      </c>
      <c r="P22">
        <v>45</v>
      </c>
      <c r="Q22">
        <v>46</v>
      </c>
      <c r="R22">
        <v>47</v>
      </c>
      <c r="S22">
        <v>48</v>
      </c>
      <c r="T22">
        <v>48</v>
      </c>
      <c r="U22">
        <v>49</v>
      </c>
      <c r="V22">
        <v>49</v>
      </c>
      <c r="W22">
        <v>49</v>
      </c>
      <c r="X22">
        <v>49</v>
      </c>
      <c r="Y22">
        <v>49</v>
      </c>
      <c r="Z22" s="2">
        <f>AVERAGE(Sheet1__9[[#This Row],[00:00:00]:[23:00:00]])</f>
        <v>42.541666666666664</v>
      </c>
      <c r="AA22" t="str" cm="1">
        <f t="array" ref="AA22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3" spans="1:27" x14ac:dyDescent="0.3">
      <c r="A23" s="1">
        <v>45922</v>
      </c>
      <c r="B23">
        <v>50</v>
      </c>
      <c r="C23">
        <v>51</v>
      </c>
      <c r="D23">
        <v>52</v>
      </c>
      <c r="E23">
        <v>53</v>
      </c>
      <c r="F23">
        <v>54</v>
      </c>
      <c r="G23">
        <v>54</v>
      </c>
      <c r="H23">
        <v>54</v>
      </c>
      <c r="I23">
        <v>54</v>
      </c>
      <c r="J23">
        <v>54</v>
      </c>
      <c r="K23">
        <v>54</v>
      </c>
      <c r="L23">
        <v>53</v>
      </c>
      <c r="M23">
        <v>53</v>
      </c>
      <c r="N23">
        <v>52</v>
      </c>
      <c r="O23">
        <v>50</v>
      </c>
      <c r="P23">
        <v>49</v>
      </c>
      <c r="Q23">
        <v>47</v>
      </c>
      <c r="R23">
        <v>46</v>
      </c>
      <c r="S23">
        <v>45</v>
      </c>
      <c r="T23">
        <v>44</v>
      </c>
      <c r="U23">
        <v>44</v>
      </c>
      <c r="V23">
        <v>43</v>
      </c>
      <c r="W23">
        <v>42</v>
      </c>
      <c r="X23">
        <v>42</v>
      </c>
      <c r="Y23">
        <v>42</v>
      </c>
      <c r="Z23" s="2">
        <f>AVERAGE(Sheet1__9[[#This Row],[00:00:00]:[23:00:00]])</f>
        <v>49.25</v>
      </c>
      <c r="AA23" t="str" cm="1">
        <f t="array" ref="AA23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4" spans="1:27" x14ac:dyDescent="0.3">
      <c r="A24" s="1">
        <v>45923</v>
      </c>
      <c r="B24">
        <v>41</v>
      </c>
      <c r="C24">
        <v>40</v>
      </c>
      <c r="D24">
        <v>38</v>
      </c>
      <c r="E24">
        <v>36</v>
      </c>
      <c r="F24">
        <v>35</v>
      </c>
      <c r="G24">
        <v>34</v>
      </c>
      <c r="H24">
        <v>33</v>
      </c>
      <c r="I24">
        <v>32</v>
      </c>
      <c r="J24">
        <v>30</v>
      </c>
      <c r="K24">
        <v>30</v>
      </c>
      <c r="L24">
        <v>30</v>
      </c>
      <c r="M24">
        <v>29</v>
      </c>
      <c r="N24">
        <v>28</v>
      </c>
      <c r="O24">
        <v>28</v>
      </c>
      <c r="P24">
        <v>27</v>
      </c>
      <c r="Q24">
        <v>27</v>
      </c>
      <c r="R24">
        <v>27</v>
      </c>
      <c r="S24">
        <v>27</v>
      </c>
      <c r="T24">
        <v>27</v>
      </c>
      <c r="U24">
        <v>27</v>
      </c>
      <c r="V24">
        <v>27</v>
      </c>
      <c r="W24">
        <v>27</v>
      </c>
      <c r="X24">
        <v>28</v>
      </c>
      <c r="Y24">
        <v>28</v>
      </c>
      <c r="Z24" s="2">
        <f>AVERAGE(Sheet1__9[[#This Row],[00:00:00]:[23:00:00]])</f>
        <v>30.666666666666668</v>
      </c>
      <c r="AA24" t="str" cm="1">
        <f t="array" ref="AA24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5" spans="1:27" x14ac:dyDescent="0.3">
      <c r="A25" s="1">
        <v>45924</v>
      </c>
      <c r="B25">
        <v>29</v>
      </c>
      <c r="C25">
        <v>29</v>
      </c>
      <c r="D25">
        <v>30</v>
      </c>
      <c r="E25">
        <v>30</v>
      </c>
      <c r="F25">
        <v>30</v>
      </c>
      <c r="G25">
        <v>32</v>
      </c>
      <c r="H25">
        <v>32</v>
      </c>
      <c r="I25">
        <v>33</v>
      </c>
      <c r="J25">
        <v>34</v>
      </c>
      <c r="K25">
        <v>34</v>
      </c>
      <c r="L25">
        <v>34</v>
      </c>
      <c r="M25">
        <v>35</v>
      </c>
      <c r="N25">
        <v>36</v>
      </c>
      <c r="O25">
        <v>37</v>
      </c>
      <c r="P25">
        <v>38</v>
      </c>
      <c r="Q25">
        <v>38</v>
      </c>
      <c r="R25">
        <v>39</v>
      </c>
      <c r="S25">
        <v>40</v>
      </c>
      <c r="T25">
        <v>40</v>
      </c>
      <c r="U25">
        <v>41</v>
      </c>
      <c r="V25">
        <v>42</v>
      </c>
      <c r="W25">
        <v>43</v>
      </c>
      <c r="X25">
        <v>43</v>
      </c>
      <c r="Y25">
        <v>43</v>
      </c>
      <c r="Z25" s="2">
        <f>AVERAGE(Sheet1__9[[#This Row],[00:00:00]:[23:00:00]])</f>
        <v>35.916666666666664</v>
      </c>
      <c r="AA25" t="str" cm="1">
        <f t="array" ref="AA25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6" spans="1:27" x14ac:dyDescent="0.3">
      <c r="A26" s="1">
        <v>45925</v>
      </c>
      <c r="B26">
        <v>43</v>
      </c>
      <c r="C26">
        <v>43</v>
      </c>
      <c r="D26">
        <v>43</v>
      </c>
      <c r="E26">
        <v>42</v>
      </c>
      <c r="F26">
        <v>42</v>
      </c>
      <c r="G26">
        <v>42</v>
      </c>
      <c r="H26">
        <v>42</v>
      </c>
      <c r="I26">
        <v>42</v>
      </c>
      <c r="J26">
        <v>42</v>
      </c>
      <c r="K26">
        <v>43</v>
      </c>
      <c r="L26">
        <v>43</v>
      </c>
      <c r="M26">
        <v>44</v>
      </c>
      <c r="N26">
        <v>44</v>
      </c>
      <c r="O26">
        <v>44</v>
      </c>
      <c r="P26">
        <v>44</v>
      </c>
      <c r="Q26">
        <v>44</v>
      </c>
      <c r="R26">
        <v>43</v>
      </c>
      <c r="S26">
        <v>44</v>
      </c>
      <c r="T26">
        <v>44</v>
      </c>
      <c r="U26">
        <v>44</v>
      </c>
      <c r="V26">
        <v>43</v>
      </c>
      <c r="W26">
        <v>43</v>
      </c>
      <c r="X26">
        <v>43</v>
      </c>
      <c r="Y26">
        <v>43</v>
      </c>
      <c r="Z26" s="2">
        <f>AVERAGE(Sheet1__9[[#This Row],[00:00:00]:[23:00:00]])</f>
        <v>43.083333333333336</v>
      </c>
      <c r="AA26" t="str" cm="1">
        <f t="array" ref="AA26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7" spans="1:27" x14ac:dyDescent="0.3">
      <c r="A27" s="1">
        <v>45926</v>
      </c>
      <c r="B27">
        <v>43</v>
      </c>
      <c r="C27">
        <v>43</v>
      </c>
      <c r="D27">
        <v>43</v>
      </c>
      <c r="E27">
        <v>43</v>
      </c>
      <c r="F27">
        <v>44</v>
      </c>
      <c r="G27">
        <v>44</v>
      </c>
      <c r="H27">
        <v>44</v>
      </c>
      <c r="I27">
        <v>44</v>
      </c>
      <c r="J27">
        <v>44</v>
      </c>
      <c r="K27">
        <v>43</v>
      </c>
      <c r="L27">
        <v>43</v>
      </c>
      <c r="N27">
        <v>44</v>
      </c>
      <c r="O27">
        <v>44</v>
      </c>
      <c r="P27">
        <v>44</v>
      </c>
      <c r="Q27">
        <v>44</v>
      </c>
      <c r="R27">
        <v>44</v>
      </c>
      <c r="S27">
        <v>44</v>
      </c>
      <c r="T27">
        <v>44</v>
      </c>
      <c r="U27">
        <v>43</v>
      </c>
      <c r="V27">
        <v>42</v>
      </c>
      <c r="W27">
        <v>43</v>
      </c>
      <c r="X27">
        <v>43</v>
      </c>
      <c r="Y27">
        <v>43</v>
      </c>
      <c r="Z27" s="2">
        <f>AVERAGE(Sheet1__9[[#This Row],[00:00:00]:[23:00:00]])</f>
        <v>43.478260869565219</v>
      </c>
      <c r="AA27" t="str" cm="1">
        <f t="array" ref="AA27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8" spans="1:27" x14ac:dyDescent="0.3">
      <c r="A28" s="1">
        <v>45927</v>
      </c>
      <c r="B28">
        <v>44</v>
      </c>
      <c r="C28">
        <v>44</v>
      </c>
      <c r="D28">
        <v>45</v>
      </c>
      <c r="E28">
        <v>46</v>
      </c>
      <c r="F28">
        <v>46</v>
      </c>
      <c r="G28">
        <v>47</v>
      </c>
      <c r="H28">
        <v>47</v>
      </c>
      <c r="I28">
        <v>47</v>
      </c>
      <c r="J28">
        <v>47</v>
      </c>
      <c r="K28">
        <v>47</v>
      </c>
      <c r="L28">
        <v>47</v>
      </c>
      <c r="M28">
        <v>46</v>
      </c>
      <c r="N28">
        <v>46</v>
      </c>
      <c r="O28">
        <v>46</v>
      </c>
      <c r="P28">
        <v>46</v>
      </c>
      <c r="Q28">
        <v>47</v>
      </c>
      <c r="R28">
        <v>48</v>
      </c>
      <c r="S28">
        <v>48</v>
      </c>
      <c r="T28">
        <v>50</v>
      </c>
      <c r="U28">
        <v>51</v>
      </c>
      <c r="V28">
        <v>52</v>
      </c>
      <c r="W28">
        <v>53</v>
      </c>
      <c r="X28">
        <v>52</v>
      </c>
      <c r="Y28">
        <v>51</v>
      </c>
      <c r="Z28" s="2">
        <f>AVERAGE(Sheet1__9[[#This Row],[00:00:00]:[23:00:00]])</f>
        <v>47.625</v>
      </c>
      <c r="AA28" t="str" cm="1">
        <f t="array" ref="AA28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29" spans="1:27" x14ac:dyDescent="0.3">
      <c r="A29" s="1">
        <v>45928</v>
      </c>
      <c r="B29">
        <v>50</v>
      </c>
      <c r="C29">
        <v>48</v>
      </c>
      <c r="D29">
        <v>47</v>
      </c>
      <c r="E29">
        <v>46</v>
      </c>
      <c r="F29">
        <v>45</v>
      </c>
      <c r="G29">
        <v>44</v>
      </c>
      <c r="H29">
        <v>44</v>
      </c>
      <c r="I29">
        <v>44</v>
      </c>
      <c r="J29">
        <v>43</v>
      </c>
      <c r="K29">
        <v>42</v>
      </c>
      <c r="L29">
        <v>42</v>
      </c>
      <c r="M29">
        <v>41</v>
      </c>
      <c r="N29">
        <v>40</v>
      </c>
      <c r="O29">
        <v>38</v>
      </c>
      <c r="P29">
        <v>36</v>
      </c>
      <c r="Q29">
        <v>36</v>
      </c>
      <c r="R29">
        <v>34</v>
      </c>
      <c r="S29">
        <v>33</v>
      </c>
      <c r="T29">
        <v>32</v>
      </c>
      <c r="U29">
        <v>32</v>
      </c>
      <c r="V29">
        <v>30</v>
      </c>
      <c r="W29">
        <v>29</v>
      </c>
      <c r="X29">
        <v>30</v>
      </c>
      <c r="Y29">
        <v>30</v>
      </c>
      <c r="Z29" s="2">
        <f>AVERAGE(Sheet1__9[[#This Row],[00:00:00]:[23:00:00]])</f>
        <v>39</v>
      </c>
      <c r="AA29" t="str" cm="1">
        <f t="array" ref="AA29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0" spans="1:27" x14ac:dyDescent="0.3">
      <c r="A30" s="1">
        <v>45929</v>
      </c>
      <c r="B30">
        <v>31</v>
      </c>
      <c r="C30">
        <v>31</v>
      </c>
      <c r="D30">
        <v>32</v>
      </c>
      <c r="E30">
        <v>32</v>
      </c>
      <c r="F30">
        <v>33</v>
      </c>
      <c r="G30">
        <v>33</v>
      </c>
      <c r="H30">
        <v>33</v>
      </c>
      <c r="I30">
        <v>32</v>
      </c>
      <c r="J30">
        <v>32</v>
      </c>
      <c r="K30">
        <v>30</v>
      </c>
      <c r="L30">
        <v>29</v>
      </c>
      <c r="M30">
        <v>29</v>
      </c>
      <c r="N30">
        <v>29</v>
      </c>
      <c r="O30">
        <v>29</v>
      </c>
      <c r="P30">
        <v>29</v>
      </c>
      <c r="Q30">
        <v>29</v>
      </c>
      <c r="R30">
        <v>29</v>
      </c>
      <c r="S30">
        <v>29</v>
      </c>
      <c r="T30">
        <v>29</v>
      </c>
      <c r="U30">
        <v>29</v>
      </c>
      <c r="V30">
        <v>30</v>
      </c>
      <c r="W30">
        <v>30</v>
      </c>
      <c r="X30">
        <v>31</v>
      </c>
      <c r="Y30">
        <v>31</v>
      </c>
      <c r="Z30" s="2">
        <f>AVERAGE(Sheet1__9[[#This Row],[00:00:00]:[23:00:00]])</f>
        <v>30.458333333333332</v>
      </c>
      <c r="AA30" t="str" cm="1">
        <f t="array" ref="AA30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1" spans="1:27" x14ac:dyDescent="0.3">
      <c r="A31" s="1">
        <v>45930</v>
      </c>
      <c r="B31">
        <v>31</v>
      </c>
      <c r="C31">
        <v>32</v>
      </c>
      <c r="D31">
        <v>32</v>
      </c>
      <c r="E31">
        <v>32</v>
      </c>
      <c r="F31">
        <v>31</v>
      </c>
      <c r="G31">
        <v>31</v>
      </c>
      <c r="H31">
        <v>30</v>
      </c>
      <c r="I31">
        <v>30</v>
      </c>
      <c r="J31">
        <v>30</v>
      </c>
      <c r="K31">
        <v>30</v>
      </c>
      <c r="L31">
        <v>30</v>
      </c>
      <c r="M31">
        <v>30</v>
      </c>
      <c r="N31">
        <v>30</v>
      </c>
      <c r="O31">
        <v>31</v>
      </c>
      <c r="P31">
        <v>32</v>
      </c>
      <c r="Q31">
        <v>33</v>
      </c>
      <c r="R31">
        <v>34</v>
      </c>
      <c r="S31">
        <v>34</v>
      </c>
      <c r="T31">
        <v>35</v>
      </c>
      <c r="U31">
        <v>35</v>
      </c>
      <c r="V31">
        <v>35</v>
      </c>
      <c r="W31">
        <v>35</v>
      </c>
      <c r="X31">
        <v>35</v>
      </c>
      <c r="Y31">
        <v>36</v>
      </c>
      <c r="Z31" s="2">
        <f>AVERAGE(Sheet1__9[[#This Row],[00:00:00]:[23:00:00]])</f>
        <v>32.25</v>
      </c>
      <c r="AA31" t="str" cm="1">
        <f t="array" ref="AA31">_xlfn.IFS(Sheet1__9[[#This Row],[AVERAGE AQI]]&lt;50,"GOOD",Sheet1__9[[#This Row],[AVERAGE AQI]]&lt;=100,"MODERATE",Sheet1__9[[#This Row],[AVERAGE AQI]]&lt;=150,"BAD",Sheet1__9[[#This Row],[AVERAGE AQI]]&lt;=200,"VERY BAD",Sheet1__9[[#This Row],[AVERAGE AQI]]&lt;=300,"HAZARDOUS")</f>
        <v>GOOD</v>
      </c>
    </row>
    <row r="32" spans="1:27" x14ac:dyDescent="0.3">
      <c r="Z32" s="2">
        <f>AVERAGE(Sheet1__9[AVERAGE AQI])</f>
        <v>44.556884057971011</v>
      </c>
      <c r="AA32" s="3"/>
    </row>
  </sheetData>
  <conditionalFormatting sqref="AA2:AA31">
    <cfRule type="containsText" dxfId="23" priority="1" operator="containsText" text="MODERATE">
      <formula>NOT(ISERROR(SEARCH("MODERATE",AA2)))</formula>
    </cfRule>
    <cfRule type="containsText" dxfId="22" priority="2" operator="containsText" text="GOOD">
      <formula>NOT(ISERROR(SEARCH("GOOD",AA2)))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3B2C-248C-4386-8EC0-91F0913059AF}">
  <dimension ref="A1:AA33"/>
  <sheetViews>
    <sheetView topLeftCell="A11" workbookViewId="0">
      <selection activeCell="AB25" sqref="AB25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0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45931</v>
      </c>
      <c r="B2">
        <v>36</v>
      </c>
      <c r="C2">
        <v>36</v>
      </c>
      <c r="D2">
        <v>36</v>
      </c>
      <c r="E2">
        <v>36</v>
      </c>
      <c r="F2">
        <v>36</v>
      </c>
      <c r="G2">
        <v>37</v>
      </c>
      <c r="H2">
        <v>37</v>
      </c>
      <c r="I2">
        <v>38</v>
      </c>
      <c r="J2">
        <v>38</v>
      </c>
      <c r="K2">
        <v>38</v>
      </c>
      <c r="L2">
        <v>38</v>
      </c>
      <c r="M2">
        <v>38</v>
      </c>
      <c r="N2">
        <v>38</v>
      </c>
      <c r="O2">
        <v>38</v>
      </c>
      <c r="P2">
        <v>38</v>
      </c>
      <c r="Q2">
        <v>38</v>
      </c>
      <c r="R2">
        <v>39</v>
      </c>
      <c r="S2">
        <v>40</v>
      </c>
      <c r="T2">
        <v>40</v>
      </c>
      <c r="U2">
        <v>40</v>
      </c>
      <c r="V2">
        <v>41</v>
      </c>
      <c r="W2">
        <v>42</v>
      </c>
      <c r="X2">
        <v>43</v>
      </c>
      <c r="Y2">
        <v>44</v>
      </c>
      <c r="Z2" s="2">
        <f>AVERAGE(Sheet1__10[[#This Row],[00:00:00]:[23:00:00]])</f>
        <v>38.541666666666664</v>
      </c>
      <c r="AA2" t="str" cm="1">
        <f t="array" ref="AA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" spans="1:27" x14ac:dyDescent="0.3">
      <c r="A3" s="1">
        <v>45932</v>
      </c>
      <c r="B3">
        <v>45</v>
      </c>
      <c r="C3">
        <v>45</v>
      </c>
      <c r="D3">
        <v>46</v>
      </c>
      <c r="E3">
        <v>45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43</v>
      </c>
      <c r="P3">
        <v>43</v>
      </c>
      <c r="Q3">
        <v>42</v>
      </c>
      <c r="R3">
        <v>42</v>
      </c>
      <c r="S3">
        <v>41</v>
      </c>
      <c r="T3">
        <v>40</v>
      </c>
      <c r="U3">
        <v>40</v>
      </c>
      <c r="V3">
        <v>39</v>
      </c>
      <c r="W3">
        <v>38</v>
      </c>
      <c r="X3">
        <v>38</v>
      </c>
      <c r="Y3">
        <v>37</v>
      </c>
      <c r="Z3" s="2">
        <f>AVERAGE(Sheet1__10[[#This Row],[00:00:00]:[23:00:00]])</f>
        <v>42.5</v>
      </c>
      <c r="AA3" t="str" cm="1">
        <f t="array" ref="AA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4" spans="1:27" x14ac:dyDescent="0.3">
      <c r="A4" s="1">
        <v>45933</v>
      </c>
      <c r="B4">
        <v>37</v>
      </c>
      <c r="C4">
        <v>36</v>
      </c>
      <c r="D4">
        <v>36</v>
      </c>
      <c r="E4">
        <v>36</v>
      </c>
      <c r="F4">
        <v>36</v>
      </c>
      <c r="G4">
        <v>36</v>
      </c>
      <c r="H4">
        <v>36</v>
      </c>
      <c r="I4">
        <v>36</v>
      </c>
      <c r="J4">
        <v>36</v>
      </c>
      <c r="K4">
        <v>37</v>
      </c>
      <c r="L4">
        <v>37</v>
      </c>
      <c r="M4">
        <v>37</v>
      </c>
      <c r="N4">
        <v>38</v>
      </c>
      <c r="O4">
        <v>38</v>
      </c>
      <c r="P4">
        <v>38</v>
      </c>
      <c r="Q4">
        <v>39</v>
      </c>
      <c r="R4">
        <v>39</v>
      </c>
      <c r="S4">
        <v>39</v>
      </c>
      <c r="T4">
        <v>40</v>
      </c>
      <c r="U4">
        <v>40</v>
      </c>
      <c r="V4">
        <v>40</v>
      </c>
      <c r="W4">
        <v>42</v>
      </c>
      <c r="X4">
        <v>42</v>
      </c>
      <c r="Y4">
        <v>42</v>
      </c>
      <c r="Z4" s="2">
        <f>AVERAGE(Sheet1__10[[#This Row],[00:00:00]:[23:00:00]])</f>
        <v>38.041666666666664</v>
      </c>
      <c r="AA4" t="str" cm="1">
        <f t="array" ref="AA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5" spans="1:27" x14ac:dyDescent="0.3">
      <c r="A5" s="1">
        <v>45934</v>
      </c>
      <c r="B5">
        <v>42</v>
      </c>
      <c r="C5">
        <v>43</v>
      </c>
      <c r="D5">
        <v>43</v>
      </c>
      <c r="E5">
        <v>44</v>
      </c>
      <c r="F5">
        <v>44</v>
      </c>
      <c r="G5">
        <v>45</v>
      </c>
      <c r="H5">
        <v>46</v>
      </c>
      <c r="I5">
        <v>46</v>
      </c>
      <c r="J5">
        <v>46</v>
      </c>
      <c r="K5">
        <v>47</v>
      </c>
      <c r="L5">
        <v>47</v>
      </c>
      <c r="M5">
        <v>48</v>
      </c>
      <c r="N5">
        <v>47</v>
      </c>
      <c r="O5">
        <v>48</v>
      </c>
      <c r="P5">
        <v>48</v>
      </c>
      <c r="Q5">
        <v>48</v>
      </c>
      <c r="R5">
        <v>48</v>
      </c>
      <c r="S5">
        <v>48</v>
      </c>
      <c r="T5">
        <v>48</v>
      </c>
      <c r="U5">
        <v>48</v>
      </c>
      <c r="V5">
        <v>48</v>
      </c>
      <c r="W5">
        <v>48</v>
      </c>
      <c r="X5">
        <v>47</v>
      </c>
      <c r="Y5">
        <v>47</v>
      </c>
      <c r="Z5" s="2">
        <f>AVERAGE(Sheet1__10[[#This Row],[00:00:00]:[23:00:00]])</f>
        <v>46.416666666666664</v>
      </c>
      <c r="AA5" t="str" cm="1">
        <f t="array" ref="AA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6" spans="1:27" x14ac:dyDescent="0.3">
      <c r="A6" s="1">
        <v>45935</v>
      </c>
      <c r="B6">
        <v>46</v>
      </c>
      <c r="C6">
        <v>45</v>
      </c>
      <c r="D6">
        <v>45</v>
      </c>
      <c r="E6">
        <v>45</v>
      </c>
      <c r="F6">
        <v>45</v>
      </c>
      <c r="G6">
        <v>45</v>
      </c>
      <c r="H6">
        <v>45</v>
      </c>
      <c r="I6">
        <v>41</v>
      </c>
      <c r="J6">
        <v>41</v>
      </c>
      <c r="K6">
        <v>41</v>
      </c>
      <c r="L6">
        <v>40</v>
      </c>
      <c r="M6">
        <v>40</v>
      </c>
      <c r="N6">
        <v>40</v>
      </c>
      <c r="O6">
        <v>40</v>
      </c>
      <c r="P6">
        <v>40</v>
      </c>
      <c r="Q6">
        <v>41</v>
      </c>
      <c r="R6">
        <v>40</v>
      </c>
      <c r="S6">
        <v>40</v>
      </c>
      <c r="T6">
        <v>40</v>
      </c>
      <c r="U6">
        <v>40</v>
      </c>
      <c r="V6">
        <v>39</v>
      </c>
      <c r="W6">
        <v>39</v>
      </c>
      <c r="X6">
        <v>40</v>
      </c>
      <c r="Y6">
        <v>40</v>
      </c>
      <c r="Z6" s="2">
        <f>AVERAGE(Sheet1__10[[#This Row],[00:00:00]:[23:00:00]])</f>
        <v>41.583333333333336</v>
      </c>
      <c r="AA6" t="str" cm="1">
        <f t="array" ref="AA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7" spans="1:27" x14ac:dyDescent="0.3">
      <c r="A7" s="1">
        <v>45936</v>
      </c>
      <c r="B7">
        <v>46</v>
      </c>
      <c r="C7">
        <v>46</v>
      </c>
      <c r="D7">
        <v>46</v>
      </c>
      <c r="E7">
        <v>46</v>
      </c>
      <c r="F7">
        <v>46</v>
      </c>
      <c r="G7">
        <v>46</v>
      </c>
      <c r="H7">
        <v>46</v>
      </c>
      <c r="I7">
        <v>46</v>
      </c>
      <c r="J7">
        <v>46</v>
      </c>
      <c r="K7">
        <v>46</v>
      </c>
      <c r="L7">
        <v>47</v>
      </c>
      <c r="M7">
        <v>48</v>
      </c>
      <c r="N7">
        <v>49</v>
      </c>
      <c r="O7">
        <v>50</v>
      </c>
      <c r="P7">
        <v>51</v>
      </c>
      <c r="Q7">
        <v>52</v>
      </c>
      <c r="R7">
        <v>53</v>
      </c>
      <c r="S7">
        <v>53</v>
      </c>
      <c r="T7">
        <v>54</v>
      </c>
      <c r="U7">
        <v>55</v>
      </c>
      <c r="V7">
        <v>55</v>
      </c>
      <c r="W7">
        <v>56</v>
      </c>
      <c r="X7">
        <v>56</v>
      </c>
      <c r="Y7">
        <v>56</v>
      </c>
      <c r="Z7" s="2">
        <f>AVERAGE(Sheet1__10[[#This Row],[00:00:00]:[23:00:00]])</f>
        <v>49.791666666666664</v>
      </c>
      <c r="AA7" t="str" cm="1">
        <f t="array" ref="AA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8" spans="1:27" x14ac:dyDescent="0.3">
      <c r="A8" s="1">
        <v>45937</v>
      </c>
      <c r="B8">
        <v>56</v>
      </c>
      <c r="C8">
        <v>56</v>
      </c>
      <c r="D8">
        <v>56</v>
      </c>
      <c r="E8">
        <v>56</v>
      </c>
      <c r="F8">
        <v>56</v>
      </c>
      <c r="G8">
        <v>56</v>
      </c>
      <c r="H8">
        <v>56</v>
      </c>
      <c r="I8">
        <v>56</v>
      </c>
      <c r="J8">
        <v>56</v>
      </c>
      <c r="K8">
        <v>55</v>
      </c>
      <c r="L8">
        <v>55</v>
      </c>
      <c r="M8">
        <v>54</v>
      </c>
      <c r="N8">
        <v>53</v>
      </c>
      <c r="O8">
        <v>52</v>
      </c>
      <c r="P8">
        <v>52</v>
      </c>
      <c r="Q8">
        <v>51</v>
      </c>
      <c r="R8">
        <v>50</v>
      </c>
      <c r="S8">
        <v>49</v>
      </c>
      <c r="T8">
        <v>48</v>
      </c>
      <c r="U8">
        <v>47</v>
      </c>
      <c r="V8">
        <v>46</v>
      </c>
      <c r="W8">
        <v>46</v>
      </c>
      <c r="X8">
        <v>45</v>
      </c>
      <c r="Y8">
        <v>45</v>
      </c>
      <c r="Z8" s="2">
        <f>AVERAGE(Sheet1__10[[#This Row],[00:00:00]:[23:00:00]])</f>
        <v>52.166666666666664</v>
      </c>
      <c r="AA8" t="str" cm="1">
        <f t="array" ref="AA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9" spans="1:27" x14ac:dyDescent="0.3">
      <c r="A9" s="1">
        <v>45938</v>
      </c>
      <c r="B9">
        <v>44</v>
      </c>
      <c r="C9">
        <v>44</v>
      </c>
      <c r="D9">
        <v>44</v>
      </c>
      <c r="E9">
        <v>45</v>
      </c>
      <c r="F9">
        <v>45</v>
      </c>
      <c r="G9">
        <v>45</v>
      </c>
      <c r="H9">
        <v>45</v>
      </c>
      <c r="I9">
        <v>46</v>
      </c>
      <c r="J9">
        <v>46</v>
      </c>
      <c r="K9">
        <v>47</v>
      </c>
      <c r="L9">
        <v>47</v>
      </c>
      <c r="M9">
        <v>48</v>
      </c>
      <c r="N9">
        <v>49</v>
      </c>
      <c r="O9">
        <v>52</v>
      </c>
      <c r="P9">
        <v>54</v>
      </c>
      <c r="Q9">
        <v>56</v>
      </c>
      <c r="R9">
        <v>59</v>
      </c>
      <c r="S9">
        <v>62</v>
      </c>
      <c r="T9">
        <v>65</v>
      </c>
      <c r="U9">
        <v>68</v>
      </c>
      <c r="V9">
        <v>72</v>
      </c>
      <c r="W9">
        <v>74</v>
      </c>
      <c r="X9">
        <v>77</v>
      </c>
      <c r="Y9">
        <v>80</v>
      </c>
      <c r="Z9" s="2">
        <f>AVERAGE(Sheet1__10[[#This Row],[00:00:00]:[23:00:00]])</f>
        <v>54.75</v>
      </c>
      <c r="AA9" t="str" cm="1">
        <f t="array" ref="AA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0" spans="1:27" x14ac:dyDescent="0.3">
      <c r="A10" s="1">
        <v>45939</v>
      </c>
      <c r="B10">
        <v>83</v>
      </c>
      <c r="C10">
        <v>85</v>
      </c>
      <c r="D10">
        <v>88</v>
      </c>
      <c r="E10">
        <v>91</v>
      </c>
      <c r="F10">
        <v>93</v>
      </c>
      <c r="G10">
        <v>96</v>
      </c>
      <c r="H10">
        <v>97</v>
      </c>
      <c r="I10">
        <v>100</v>
      </c>
      <c r="J10">
        <v>102</v>
      </c>
      <c r="K10">
        <v>105</v>
      </c>
      <c r="L10">
        <v>108</v>
      </c>
      <c r="M10">
        <v>110</v>
      </c>
      <c r="N10">
        <v>112</v>
      </c>
      <c r="O10">
        <v>114</v>
      </c>
      <c r="P10">
        <v>115</v>
      </c>
      <c r="Q10">
        <v>116</v>
      </c>
      <c r="R10">
        <v>116</v>
      </c>
      <c r="S10">
        <v>117</v>
      </c>
      <c r="U10">
        <v>117</v>
      </c>
      <c r="V10">
        <v>118</v>
      </c>
      <c r="W10">
        <v>119</v>
      </c>
      <c r="X10">
        <v>119</v>
      </c>
      <c r="Y10">
        <v>120</v>
      </c>
      <c r="Z10" s="2">
        <f>AVERAGE(Sheet1__10[[#This Row],[00:00:00]:[23:00:00]])</f>
        <v>106.1304347826087</v>
      </c>
      <c r="AA10" t="str" cm="1">
        <f t="array" ref="AA1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1" spans="1:27" x14ac:dyDescent="0.3">
      <c r="A11" s="1">
        <v>45940</v>
      </c>
      <c r="B11">
        <v>121</v>
      </c>
      <c r="C11">
        <v>122</v>
      </c>
      <c r="D11">
        <v>122</v>
      </c>
      <c r="E11">
        <v>123</v>
      </c>
      <c r="F11">
        <v>123</v>
      </c>
      <c r="G11">
        <v>123</v>
      </c>
      <c r="H11">
        <v>124</v>
      </c>
      <c r="I11">
        <v>124</v>
      </c>
      <c r="J11">
        <v>126</v>
      </c>
      <c r="K11">
        <v>126</v>
      </c>
      <c r="L11">
        <v>128</v>
      </c>
      <c r="M11">
        <v>128</v>
      </c>
      <c r="N11">
        <v>129</v>
      </c>
      <c r="O11">
        <v>131</v>
      </c>
      <c r="P11">
        <v>132</v>
      </c>
      <c r="Q11">
        <v>134</v>
      </c>
      <c r="R11">
        <v>134</v>
      </c>
      <c r="S11">
        <v>135</v>
      </c>
      <c r="T11">
        <v>135</v>
      </c>
      <c r="U11">
        <v>135</v>
      </c>
      <c r="V11">
        <v>136</v>
      </c>
      <c r="W11">
        <v>136</v>
      </c>
      <c r="X11">
        <v>137</v>
      </c>
      <c r="Y11">
        <v>138</v>
      </c>
      <c r="Z11" s="2">
        <f>AVERAGE(Sheet1__10[[#This Row],[00:00:00]:[23:00:00]])</f>
        <v>129.25</v>
      </c>
      <c r="AA11" t="str" cm="1">
        <f t="array" ref="AA1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2" spans="1:27" x14ac:dyDescent="0.3">
      <c r="A12" s="1">
        <v>45941</v>
      </c>
      <c r="B12">
        <v>139</v>
      </c>
      <c r="C12">
        <v>139</v>
      </c>
      <c r="D12">
        <v>140</v>
      </c>
      <c r="E12">
        <v>141</v>
      </c>
      <c r="F12">
        <v>142</v>
      </c>
      <c r="G12">
        <v>143</v>
      </c>
      <c r="H12">
        <v>145</v>
      </c>
      <c r="I12">
        <v>146</v>
      </c>
      <c r="J12">
        <v>148</v>
      </c>
      <c r="K12">
        <v>148</v>
      </c>
      <c r="L12">
        <v>150</v>
      </c>
      <c r="M12">
        <v>152</v>
      </c>
      <c r="N12">
        <v>153</v>
      </c>
      <c r="O12">
        <v>153</v>
      </c>
      <c r="P12">
        <v>163</v>
      </c>
      <c r="Q12">
        <v>164</v>
      </c>
      <c r="R12">
        <v>165</v>
      </c>
      <c r="S12">
        <v>164</v>
      </c>
      <c r="T12">
        <v>164</v>
      </c>
      <c r="U12">
        <v>163</v>
      </c>
      <c r="V12">
        <v>163</v>
      </c>
      <c r="W12">
        <v>164</v>
      </c>
      <c r="X12">
        <v>164</v>
      </c>
      <c r="Y12">
        <v>165</v>
      </c>
      <c r="Z12" s="2">
        <f>AVERAGE(Sheet1__10[[#This Row],[00:00:00]:[23:00:00]])</f>
        <v>153.25</v>
      </c>
      <c r="AA12" t="str" cm="1">
        <f t="array" ref="AA1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13" spans="1:27" x14ac:dyDescent="0.3">
      <c r="A13" s="1">
        <v>45942</v>
      </c>
      <c r="C13">
        <v>167</v>
      </c>
      <c r="D13">
        <v>166</v>
      </c>
      <c r="E13">
        <v>166</v>
      </c>
      <c r="F13">
        <v>165</v>
      </c>
      <c r="G13">
        <v>165</v>
      </c>
      <c r="H13">
        <v>164</v>
      </c>
      <c r="I13">
        <v>164</v>
      </c>
      <c r="J13">
        <v>163</v>
      </c>
      <c r="K13">
        <v>162</v>
      </c>
      <c r="L13">
        <v>159</v>
      </c>
      <c r="M13">
        <v>157</v>
      </c>
      <c r="N13">
        <v>154</v>
      </c>
      <c r="O13">
        <v>152</v>
      </c>
      <c r="P13">
        <v>150</v>
      </c>
      <c r="Q13">
        <v>148</v>
      </c>
      <c r="R13">
        <v>147</v>
      </c>
      <c r="S13">
        <v>146</v>
      </c>
      <c r="T13">
        <v>146</v>
      </c>
      <c r="U13">
        <v>145</v>
      </c>
      <c r="V13">
        <v>145</v>
      </c>
      <c r="W13">
        <v>144</v>
      </c>
      <c r="X13">
        <v>150</v>
      </c>
      <c r="Y13">
        <v>149</v>
      </c>
      <c r="Z13" s="2">
        <f>AVERAGE(Sheet1__10[[#This Row],[00:00:00]:[23:00:00]])</f>
        <v>155.39130434782609</v>
      </c>
      <c r="AA13" t="str" cm="1">
        <f t="array" ref="AA1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14" spans="1:27" x14ac:dyDescent="0.3">
      <c r="A14" s="1">
        <v>45943</v>
      </c>
      <c r="B14">
        <v>148</v>
      </c>
      <c r="C14">
        <v>146</v>
      </c>
      <c r="D14">
        <v>146</v>
      </c>
      <c r="E14">
        <v>146</v>
      </c>
      <c r="F14">
        <v>146</v>
      </c>
      <c r="G14">
        <v>145</v>
      </c>
      <c r="H14">
        <v>131</v>
      </c>
      <c r="I14">
        <v>129</v>
      </c>
      <c r="J14">
        <v>129</v>
      </c>
      <c r="K14">
        <v>129</v>
      </c>
      <c r="L14">
        <v>130</v>
      </c>
      <c r="M14">
        <v>130</v>
      </c>
      <c r="N14">
        <v>131</v>
      </c>
      <c r="O14">
        <v>131</v>
      </c>
      <c r="P14">
        <v>130</v>
      </c>
      <c r="Q14">
        <v>131</v>
      </c>
      <c r="R14">
        <v>130</v>
      </c>
      <c r="S14">
        <v>130</v>
      </c>
      <c r="T14">
        <v>130</v>
      </c>
      <c r="U14">
        <v>130</v>
      </c>
      <c r="V14">
        <v>129</v>
      </c>
      <c r="W14">
        <v>128</v>
      </c>
      <c r="X14">
        <v>127</v>
      </c>
      <c r="Y14">
        <v>127</v>
      </c>
      <c r="Z14" s="2">
        <f>AVERAGE(Sheet1__10[[#This Row],[00:00:00]:[23:00:00]])</f>
        <v>133.70833333333334</v>
      </c>
      <c r="AA14" t="str" cm="1">
        <f t="array" ref="AA1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5" spans="1:27" x14ac:dyDescent="0.3">
      <c r="A15" s="1">
        <v>45944</v>
      </c>
      <c r="B15">
        <v>126</v>
      </c>
      <c r="C15">
        <v>124</v>
      </c>
      <c r="D15">
        <v>122</v>
      </c>
      <c r="E15">
        <v>121</v>
      </c>
      <c r="F15">
        <v>120</v>
      </c>
      <c r="G15">
        <v>119</v>
      </c>
      <c r="H15">
        <v>118</v>
      </c>
      <c r="I15">
        <v>118</v>
      </c>
      <c r="J15">
        <v>118</v>
      </c>
      <c r="K15">
        <v>117</v>
      </c>
      <c r="L15">
        <v>116</v>
      </c>
      <c r="M15">
        <v>114</v>
      </c>
      <c r="N15">
        <v>113</v>
      </c>
      <c r="O15">
        <v>112</v>
      </c>
      <c r="P15">
        <v>112</v>
      </c>
      <c r="Q15">
        <v>112</v>
      </c>
      <c r="R15">
        <v>112</v>
      </c>
      <c r="S15">
        <v>112</v>
      </c>
      <c r="T15">
        <v>112</v>
      </c>
      <c r="U15">
        <v>113</v>
      </c>
      <c r="V15">
        <v>115</v>
      </c>
      <c r="W15">
        <v>121</v>
      </c>
      <c r="X15">
        <v>123</v>
      </c>
      <c r="Y15">
        <v>125</v>
      </c>
      <c r="Z15" s="2">
        <f>AVERAGE(Sheet1__10[[#This Row],[00:00:00]:[23:00:00]])</f>
        <v>117.29166666666667</v>
      </c>
      <c r="AA15" t="str" cm="1">
        <f t="array" ref="AA1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6" spans="1:27" x14ac:dyDescent="0.3">
      <c r="A16" s="1">
        <v>45945</v>
      </c>
      <c r="B16">
        <v>126</v>
      </c>
      <c r="C16">
        <v>127</v>
      </c>
      <c r="D16">
        <v>128</v>
      </c>
      <c r="E16">
        <v>129</v>
      </c>
      <c r="G16">
        <v>130</v>
      </c>
      <c r="H16">
        <v>129</v>
      </c>
      <c r="I16">
        <v>129</v>
      </c>
      <c r="J16">
        <v>128</v>
      </c>
      <c r="K16">
        <v>128</v>
      </c>
      <c r="L16">
        <v>129</v>
      </c>
      <c r="M16">
        <v>130</v>
      </c>
      <c r="N16">
        <v>130</v>
      </c>
      <c r="O16">
        <v>130</v>
      </c>
      <c r="P16">
        <v>130</v>
      </c>
      <c r="Q16">
        <v>130</v>
      </c>
      <c r="R16">
        <v>130</v>
      </c>
      <c r="S16">
        <v>129</v>
      </c>
      <c r="T16">
        <v>129</v>
      </c>
      <c r="U16">
        <v>129</v>
      </c>
      <c r="V16">
        <v>128</v>
      </c>
      <c r="W16">
        <v>126</v>
      </c>
      <c r="X16">
        <v>124</v>
      </c>
      <c r="Y16">
        <v>121</v>
      </c>
      <c r="Z16" s="2">
        <f>AVERAGE(Sheet1__10[[#This Row],[00:00:00]:[23:00:00]])</f>
        <v>128.21739130434781</v>
      </c>
      <c r="AA16" t="str" cm="1">
        <f t="array" ref="AA1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17" spans="1:27" x14ac:dyDescent="0.3">
      <c r="A17" s="1">
        <v>45946</v>
      </c>
      <c r="B17">
        <v>118</v>
      </c>
      <c r="C17">
        <v>115</v>
      </c>
      <c r="D17">
        <v>113</v>
      </c>
      <c r="E17">
        <v>111</v>
      </c>
      <c r="F17">
        <v>108</v>
      </c>
      <c r="G17">
        <v>106</v>
      </c>
      <c r="H17">
        <v>104</v>
      </c>
      <c r="I17">
        <v>102</v>
      </c>
      <c r="J17">
        <v>100</v>
      </c>
      <c r="K17">
        <v>98</v>
      </c>
      <c r="L17">
        <v>95</v>
      </c>
      <c r="M17">
        <v>93</v>
      </c>
      <c r="N17">
        <v>91</v>
      </c>
      <c r="O17">
        <v>88</v>
      </c>
      <c r="P17">
        <v>86</v>
      </c>
      <c r="Q17">
        <v>84</v>
      </c>
      <c r="R17">
        <v>82</v>
      </c>
      <c r="S17">
        <v>80</v>
      </c>
      <c r="T17">
        <v>78</v>
      </c>
      <c r="U17">
        <v>76</v>
      </c>
      <c r="V17">
        <v>76</v>
      </c>
      <c r="W17">
        <v>72</v>
      </c>
      <c r="X17">
        <v>72</v>
      </c>
      <c r="Y17">
        <v>73</v>
      </c>
      <c r="Z17" s="2">
        <f>AVERAGE(Sheet1__10[[#This Row],[00:00:00]:[23:00:00]])</f>
        <v>92.541666666666671</v>
      </c>
      <c r="AA17" t="str" cm="1">
        <f t="array" ref="AA1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8" spans="1:27" x14ac:dyDescent="0.3">
      <c r="A18" s="1">
        <v>45947</v>
      </c>
      <c r="B18">
        <v>74</v>
      </c>
      <c r="C18">
        <v>76</v>
      </c>
      <c r="D18">
        <v>78</v>
      </c>
      <c r="E18">
        <v>78</v>
      </c>
      <c r="F18">
        <v>80</v>
      </c>
      <c r="G18">
        <v>81</v>
      </c>
      <c r="H18">
        <v>82</v>
      </c>
      <c r="I18">
        <v>83</v>
      </c>
      <c r="J18">
        <v>84</v>
      </c>
      <c r="K18">
        <v>86</v>
      </c>
      <c r="L18">
        <v>87</v>
      </c>
      <c r="M18">
        <v>88</v>
      </c>
      <c r="N18">
        <v>89</v>
      </c>
      <c r="O18">
        <v>90</v>
      </c>
      <c r="P18">
        <v>91</v>
      </c>
      <c r="Q18">
        <v>92</v>
      </c>
      <c r="R18">
        <v>92</v>
      </c>
      <c r="S18">
        <v>93</v>
      </c>
      <c r="T18">
        <v>94</v>
      </c>
      <c r="U18">
        <v>94</v>
      </c>
      <c r="V18">
        <v>94</v>
      </c>
      <c r="W18">
        <v>94</v>
      </c>
      <c r="X18">
        <v>94</v>
      </c>
      <c r="Y18">
        <v>92</v>
      </c>
      <c r="Z18" s="2">
        <f>AVERAGE(Sheet1__10[[#This Row],[00:00:00]:[23:00:00]])</f>
        <v>86.916666666666671</v>
      </c>
      <c r="AA18" t="str" cm="1">
        <f t="array" ref="AA1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19" spans="1:27" x14ac:dyDescent="0.3">
      <c r="A19" s="1">
        <v>45948</v>
      </c>
      <c r="B19">
        <v>91</v>
      </c>
      <c r="C19">
        <v>90</v>
      </c>
      <c r="D19">
        <v>89</v>
      </c>
      <c r="E19">
        <v>89</v>
      </c>
      <c r="F19">
        <v>89</v>
      </c>
      <c r="G19">
        <v>90</v>
      </c>
      <c r="H19">
        <v>90</v>
      </c>
      <c r="I19">
        <v>91</v>
      </c>
      <c r="J19">
        <v>91</v>
      </c>
      <c r="K19">
        <v>92</v>
      </c>
      <c r="L19">
        <v>92</v>
      </c>
      <c r="M19">
        <v>93</v>
      </c>
      <c r="N19">
        <v>94</v>
      </c>
      <c r="O19">
        <v>94</v>
      </c>
      <c r="P19">
        <v>95</v>
      </c>
      <c r="Q19">
        <v>95</v>
      </c>
      <c r="R19">
        <v>96</v>
      </c>
      <c r="S19">
        <v>97</v>
      </c>
      <c r="T19">
        <v>98</v>
      </c>
      <c r="U19">
        <v>99</v>
      </c>
      <c r="V19">
        <v>99</v>
      </c>
      <c r="W19">
        <v>99</v>
      </c>
      <c r="X19">
        <v>99</v>
      </c>
      <c r="Y19">
        <v>100</v>
      </c>
      <c r="Z19" s="2">
        <f>AVERAGE(Sheet1__10[[#This Row],[00:00:00]:[23:00:00]])</f>
        <v>93.833333333333329</v>
      </c>
      <c r="AA19" t="str" cm="1">
        <f t="array" ref="AA1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0" spans="1:27" x14ac:dyDescent="0.3">
      <c r="A20" s="1">
        <v>45949</v>
      </c>
      <c r="B20">
        <v>102</v>
      </c>
      <c r="C20">
        <v>104</v>
      </c>
      <c r="D20">
        <v>105</v>
      </c>
      <c r="E20">
        <v>106</v>
      </c>
      <c r="F20">
        <v>106</v>
      </c>
      <c r="G20">
        <v>107</v>
      </c>
      <c r="H20">
        <v>107</v>
      </c>
      <c r="I20">
        <v>107</v>
      </c>
      <c r="J20">
        <v>108</v>
      </c>
      <c r="K20">
        <v>108</v>
      </c>
      <c r="L20">
        <v>108</v>
      </c>
      <c r="M20">
        <v>107</v>
      </c>
      <c r="N20">
        <v>106</v>
      </c>
      <c r="O20">
        <v>108</v>
      </c>
      <c r="P20">
        <v>108</v>
      </c>
      <c r="Q20">
        <v>110</v>
      </c>
      <c r="R20">
        <v>111</v>
      </c>
      <c r="S20">
        <v>113</v>
      </c>
      <c r="T20">
        <v>114</v>
      </c>
      <c r="U20">
        <v>106</v>
      </c>
      <c r="V20">
        <v>108</v>
      </c>
      <c r="W20">
        <v>111</v>
      </c>
      <c r="X20">
        <v>114</v>
      </c>
      <c r="Y20">
        <v>117</v>
      </c>
      <c r="Z20" s="2">
        <f>AVERAGE(Sheet1__10[[#This Row],[00:00:00]:[23:00:00]])</f>
        <v>108.375</v>
      </c>
      <c r="AA20" t="str" cm="1">
        <f t="array" ref="AA2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1" spans="1:27" x14ac:dyDescent="0.3">
      <c r="A21" s="1">
        <v>45950</v>
      </c>
      <c r="B21">
        <v>121</v>
      </c>
      <c r="C21">
        <v>124</v>
      </c>
      <c r="D21">
        <v>134</v>
      </c>
      <c r="E21">
        <v>139</v>
      </c>
      <c r="F21">
        <v>142</v>
      </c>
      <c r="G21">
        <v>147</v>
      </c>
      <c r="H21">
        <v>152</v>
      </c>
      <c r="I21">
        <v>156</v>
      </c>
      <c r="J21">
        <v>160</v>
      </c>
      <c r="K21">
        <v>164</v>
      </c>
      <c r="L21">
        <v>169</v>
      </c>
      <c r="M21">
        <v>172</v>
      </c>
      <c r="N21">
        <v>173</v>
      </c>
      <c r="O21">
        <v>175</v>
      </c>
      <c r="P21">
        <v>177</v>
      </c>
      <c r="Q21">
        <v>177</v>
      </c>
      <c r="R21">
        <v>176</v>
      </c>
      <c r="S21">
        <v>176</v>
      </c>
      <c r="T21">
        <v>173</v>
      </c>
      <c r="U21">
        <v>170</v>
      </c>
      <c r="V21">
        <v>168</v>
      </c>
      <c r="W21">
        <v>168</v>
      </c>
      <c r="X21">
        <v>168</v>
      </c>
      <c r="Y21">
        <v>170</v>
      </c>
      <c r="Z21" s="2">
        <f>AVERAGE(Sheet1__10[[#This Row],[00:00:00]:[23:00:00]])</f>
        <v>160.45833333333334</v>
      </c>
      <c r="AA21" t="str" cm="1">
        <f t="array" ref="AA2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2" spans="1:27" x14ac:dyDescent="0.3">
      <c r="A22" s="1">
        <v>45951</v>
      </c>
      <c r="B22">
        <v>172</v>
      </c>
      <c r="C22">
        <v>173</v>
      </c>
      <c r="D22">
        <v>173</v>
      </c>
      <c r="E22">
        <v>173</v>
      </c>
      <c r="F22">
        <v>172</v>
      </c>
      <c r="G22">
        <v>170</v>
      </c>
      <c r="H22">
        <v>167</v>
      </c>
      <c r="I22">
        <v>164</v>
      </c>
      <c r="J22">
        <v>162</v>
      </c>
      <c r="K22">
        <v>160</v>
      </c>
      <c r="L22">
        <v>158</v>
      </c>
      <c r="M22">
        <v>158</v>
      </c>
      <c r="N22">
        <v>158</v>
      </c>
      <c r="O22">
        <v>158</v>
      </c>
      <c r="P22">
        <v>156</v>
      </c>
      <c r="Q22">
        <v>156</v>
      </c>
      <c r="R22">
        <v>158</v>
      </c>
      <c r="S22">
        <v>159</v>
      </c>
      <c r="T22">
        <v>159</v>
      </c>
      <c r="U22">
        <v>166</v>
      </c>
      <c r="V22">
        <v>160</v>
      </c>
      <c r="W22">
        <v>160</v>
      </c>
      <c r="X22">
        <v>165</v>
      </c>
      <c r="Y22">
        <v>165</v>
      </c>
      <c r="Z22" s="2">
        <f>AVERAGE(Sheet1__10[[#This Row],[00:00:00]:[23:00:00]])</f>
        <v>163.41666666666666</v>
      </c>
      <c r="AA22" t="str" cm="1">
        <f t="array" ref="AA2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VERY BAD</v>
      </c>
    </row>
    <row r="23" spans="1:27" x14ac:dyDescent="0.3">
      <c r="A23" s="1">
        <v>45952</v>
      </c>
      <c r="B23">
        <v>169</v>
      </c>
      <c r="C23">
        <v>168</v>
      </c>
      <c r="D23">
        <v>169</v>
      </c>
      <c r="E23">
        <v>167</v>
      </c>
      <c r="F23">
        <v>164</v>
      </c>
      <c r="G23">
        <v>161</v>
      </c>
      <c r="H23">
        <v>158</v>
      </c>
      <c r="I23">
        <v>155</v>
      </c>
      <c r="J23">
        <v>151</v>
      </c>
      <c r="K23">
        <v>146</v>
      </c>
      <c r="L23">
        <v>142</v>
      </c>
      <c r="M23">
        <v>137</v>
      </c>
      <c r="N23">
        <v>132</v>
      </c>
      <c r="O23">
        <v>128</v>
      </c>
      <c r="P23">
        <v>125</v>
      </c>
      <c r="Q23">
        <v>122</v>
      </c>
      <c r="R23">
        <v>117</v>
      </c>
      <c r="S23">
        <v>114</v>
      </c>
      <c r="T23">
        <v>112</v>
      </c>
      <c r="U23">
        <v>113</v>
      </c>
      <c r="V23">
        <v>112</v>
      </c>
      <c r="W23">
        <v>107</v>
      </c>
      <c r="X23">
        <v>97</v>
      </c>
      <c r="Z23" s="2">
        <f>AVERAGE(Sheet1__10[[#This Row],[00:00:00]:[23:00:00]])</f>
        <v>137.65217391304347</v>
      </c>
      <c r="AA23" t="str" cm="1">
        <f t="array" ref="AA23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BAD</v>
      </c>
    </row>
    <row r="24" spans="1:27" x14ac:dyDescent="0.3">
      <c r="A24" s="1">
        <v>45953</v>
      </c>
      <c r="B24">
        <v>88</v>
      </c>
      <c r="C24">
        <v>83</v>
      </c>
      <c r="D24">
        <v>76</v>
      </c>
      <c r="E24">
        <v>71</v>
      </c>
      <c r="F24">
        <v>68</v>
      </c>
      <c r="G24">
        <v>66</v>
      </c>
      <c r="H24">
        <v>64</v>
      </c>
      <c r="I24">
        <v>64</v>
      </c>
      <c r="J24">
        <v>64</v>
      </c>
      <c r="K24">
        <v>64</v>
      </c>
      <c r="L24">
        <v>64</v>
      </c>
      <c r="M24">
        <v>65</v>
      </c>
      <c r="N24">
        <v>66</v>
      </c>
      <c r="O24">
        <v>66</v>
      </c>
      <c r="P24">
        <v>66</v>
      </c>
      <c r="Q24">
        <v>66</v>
      </c>
      <c r="R24">
        <v>66</v>
      </c>
      <c r="T24">
        <v>67</v>
      </c>
      <c r="U24">
        <v>66</v>
      </c>
      <c r="V24">
        <v>66</v>
      </c>
      <c r="W24">
        <v>67</v>
      </c>
      <c r="X24">
        <v>66</v>
      </c>
      <c r="Y24">
        <v>65</v>
      </c>
      <c r="Z24" s="2">
        <f>AVERAGE(Sheet1__10[[#This Row],[00:00:00]:[23:00:00]])</f>
        <v>68</v>
      </c>
      <c r="AA24" t="str" cm="1">
        <f t="array" ref="AA24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5" spans="1:27" x14ac:dyDescent="0.3">
      <c r="A25" s="1">
        <v>45954</v>
      </c>
      <c r="B25">
        <v>64</v>
      </c>
      <c r="C25">
        <v>64</v>
      </c>
      <c r="D25">
        <v>65</v>
      </c>
      <c r="E25">
        <v>65</v>
      </c>
      <c r="F25">
        <v>66</v>
      </c>
      <c r="G25">
        <v>65</v>
      </c>
      <c r="H25">
        <v>65</v>
      </c>
      <c r="I25">
        <v>65</v>
      </c>
      <c r="J25">
        <v>64</v>
      </c>
      <c r="K25">
        <v>64</v>
      </c>
      <c r="L25">
        <v>63</v>
      </c>
      <c r="M25">
        <v>62</v>
      </c>
      <c r="N25">
        <v>61</v>
      </c>
      <c r="O25">
        <v>60</v>
      </c>
      <c r="P25">
        <v>60</v>
      </c>
      <c r="Q25">
        <v>59</v>
      </c>
      <c r="R25">
        <v>58</v>
      </c>
      <c r="S25">
        <v>58</v>
      </c>
      <c r="T25">
        <v>58</v>
      </c>
      <c r="U25">
        <v>56</v>
      </c>
      <c r="V25">
        <v>56</v>
      </c>
      <c r="W25">
        <v>54</v>
      </c>
      <c r="X25">
        <v>52</v>
      </c>
      <c r="Y25">
        <v>50</v>
      </c>
      <c r="Z25" s="2">
        <f>AVERAGE(Sheet1__10[[#This Row],[00:00:00]:[23:00:00]])</f>
        <v>60.583333333333336</v>
      </c>
      <c r="AA25" t="str" cm="1">
        <f t="array" ref="AA25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26" spans="1:27" x14ac:dyDescent="0.3">
      <c r="A26" s="1">
        <v>45955</v>
      </c>
      <c r="B26">
        <v>47</v>
      </c>
      <c r="C26">
        <v>45</v>
      </c>
      <c r="D26">
        <v>43</v>
      </c>
      <c r="E26">
        <v>42</v>
      </c>
      <c r="F26">
        <v>40</v>
      </c>
      <c r="G26">
        <v>39</v>
      </c>
      <c r="H26">
        <v>39</v>
      </c>
      <c r="I26">
        <v>38</v>
      </c>
      <c r="J26">
        <v>38</v>
      </c>
      <c r="K26">
        <v>38</v>
      </c>
      <c r="L26">
        <v>37</v>
      </c>
      <c r="M26">
        <v>36</v>
      </c>
      <c r="N26">
        <v>36</v>
      </c>
      <c r="O26">
        <v>35</v>
      </c>
      <c r="P26">
        <v>34</v>
      </c>
      <c r="Q26">
        <v>34</v>
      </c>
      <c r="R26">
        <v>34</v>
      </c>
      <c r="S26">
        <v>34</v>
      </c>
      <c r="T26">
        <v>34</v>
      </c>
      <c r="U26">
        <v>33</v>
      </c>
      <c r="V26">
        <v>34</v>
      </c>
      <c r="W26">
        <v>34</v>
      </c>
      <c r="X26">
        <v>34</v>
      </c>
      <c r="Y26">
        <v>34</v>
      </c>
      <c r="Z26" s="2">
        <f>AVERAGE(Sheet1__10[[#This Row],[00:00:00]:[23:00:00]])</f>
        <v>37.166666666666664</v>
      </c>
      <c r="AA26" t="str" cm="1">
        <f t="array" ref="AA26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7" spans="1:27" x14ac:dyDescent="0.3">
      <c r="A27" s="1">
        <v>45956</v>
      </c>
      <c r="B27">
        <v>34</v>
      </c>
      <c r="C27">
        <v>33</v>
      </c>
      <c r="D27">
        <v>32</v>
      </c>
      <c r="E27">
        <v>32</v>
      </c>
      <c r="F27">
        <v>31</v>
      </c>
      <c r="G27">
        <v>30</v>
      </c>
      <c r="H27">
        <v>31</v>
      </c>
      <c r="I27">
        <v>31</v>
      </c>
      <c r="J27">
        <v>31</v>
      </c>
      <c r="K27">
        <v>32</v>
      </c>
      <c r="L27">
        <v>32</v>
      </c>
      <c r="M27">
        <v>32</v>
      </c>
      <c r="N27">
        <v>32</v>
      </c>
      <c r="O27">
        <v>32</v>
      </c>
      <c r="P27">
        <v>32</v>
      </c>
      <c r="Q27">
        <v>33</v>
      </c>
      <c r="R27">
        <v>32</v>
      </c>
      <c r="S27">
        <v>32</v>
      </c>
      <c r="T27">
        <v>33</v>
      </c>
      <c r="U27">
        <v>33</v>
      </c>
      <c r="V27">
        <v>34</v>
      </c>
      <c r="W27">
        <v>34</v>
      </c>
      <c r="X27">
        <v>34</v>
      </c>
      <c r="Y27">
        <v>33</v>
      </c>
      <c r="Z27" s="2">
        <f>AVERAGE(Sheet1__10[[#This Row],[00:00:00]:[23:00:00]])</f>
        <v>32.291666666666664</v>
      </c>
      <c r="AA27" t="str" cm="1">
        <f t="array" ref="AA27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8" spans="1:27" x14ac:dyDescent="0.3">
      <c r="A28" s="1">
        <v>45957</v>
      </c>
      <c r="B28">
        <v>33</v>
      </c>
      <c r="C28">
        <v>33</v>
      </c>
      <c r="D28">
        <v>33</v>
      </c>
      <c r="E28">
        <v>32</v>
      </c>
      <c r="F28">
        <v>32</v>
      </c>
      <c r="G28">
        <v>32</v>
      </c>
      <c r="H28">
        <v>32</v>
      </c>
      <c r="I28">
        <v>32</v>
      </c>
      <c r="J28">
        <v>32</v>
      </c>
      <c r="K28">
        <v>32</v>
      </c>
      <c r="L28">
        <v>33</v>
      </c>
      <c r="M28">
        <v>32</v>
      </c>
      <c r="N28">
        <v>32</v>
      </c>
      <c r="O28">
        <v>32</v>
      </c>
      <c r="P28">
        <v>32</v>
      </c>
      <c r="Q28">
        <v>32</v>
      </c>
      <c r="R28">
        <v>31</v>
      </c>
      <c r="S28">
        <v>30</v>
      </c>
      <c r="T28">
        <v>29</v>
      </c>
      <c r="U28">
        <v>30</v>
      </c>
      <c r="V28">
        <v>30</v>
      </c>
      <c r="W28">
        <v>30</v>
      </c>
      <c r="X28">
        <v>30</v>
      </c>
      <c r="Y28">
        <v>30</v>
      </c>
      <c r="Z28" s="2">
        <f>AVERAGE(Sheet1__10[[#This Row],[00:00:00]:[23:00:00]])</f>
        <v>31.5</v>
      </c>
      <c r="AA28" t="str" cm="1">
        <f t="array" ref="AA28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29" spans="1:27" x14ac:dyDescent="0.3">
      <c r="A29" s="1">
        <v>45958</v>
      </c>
      <c r="B29">
        <v>30</v>
      </c>
      <c r="C29">
        <v>30</v>
      </c>
      <c r="D29">
        <v>31</v>
      </c>
      <c r="E29">
        <v>30</v>
      </c>
      <c r="G29">
        <v>30</v>
      </c>
      <c r="H29">
        <v>30</v>
      </c>
      <c r="I29">
        <v>30</v>
      </c>
      <c r="J29">
        <v>30</v>
      </c>
      <c r="K29">
        <v>30</v>
      </c>
      <c r="L29">
        <v>30</v>
      </c>
      <c r="M29">
        <v>30</v>
      </c>
      <c r="N29">
        <v>30</v>
      </c>
      <c r="O29">
        <v>31</v>
      </c>
      <c r="P29">
        <v>32</v>
      </c>
      <c r="Q29">
        <v>31</v>
      </c>
      <c r="R29">
        <v>31</v>
      </c>
      <c r="S29">
        <v>31</v>
      </c>
      <c r="T29">
        <v>32</v>
      </c>
      <c r="U29">
        <v>33</v>
      </c>
      <c r="V29">
        <v>34</v>
      </c>
      <c r="W29">
        <v>35</v>
      </c>
      <c r="X29">
        <v>36</v>
      </c>
      <c r="Y29">
        <v>38</v>
      </c>
      <c r="Z29" s="2">
        <f>AVERAGE(Sheet1__10[[#This Row],[00:00:00]:[23:00:00]])</f>
        <v>31.521739130434781</v>
      </c>
      <c r="AA29" t="str" cm="1">
        <f t="array" ref="AA29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0" spans="1:27" x14ac:dyDescent="0.3">
      <c r="A30" s="1">
        <v>45959</v>
      </c>
      <c r="B30">
        <v>39</v>
      </c>
      <c r="C30">
        <v>40</v>
      </c>
      <c r="D30">
        <v>41</v>
      </c>
      <c r="E30">
        <v>42</v>
      </c>
      <c r="F30">
        <v>42</v>
      </c>
      <c r="G30">
        <v>43</v>
      </c>
      <c r="H30">
        <v>44</v>
      </c>
      <c r="I30">
        <v>44</v>
      </c>
      <c r="J30">
        <v>44</v>
      </c>
      <c r="K30">
        <v>44</v>
      </c>
      <c r="L30">
        <v>44</v>
      </c>
      <c r="M30">
        <v>44</v>
      </c>
      <c r="N30">
        <v>44</v>
      </c>
      <c r="O30">
        <v>44</v>
      </c>
      <c r="P30">
        <v>44</v>
      </c>
      <c r="Q30">
        <v>45</v>
      </c>
      <c r="R30">
        <v>46</v>
      </c>
      <c r="S30">
        <v>46</v>
      </c>
      <c r="T30">
        <v>46</v>
      </c>
      <c r="U30">
        <v>46</v>
      </c>
      <c r="V30">
        <v>48</v>
      </c>
      <c r="W30">
        <v>49</v>
      </c>
      <c r="X30">
        <v>48</v>
      </c>
      <c r="Y30">
        <v>48</v>
      </c>
      <c r="Z30" s="2">
        <f>AVERAGE(Sheet1__10[[#This Row],[00:00:00]:[23:00:00]])</f>
        <v>44.375</v>
      </c>
      <c r="AA30" t="str" cm="1">
        <f t="array" ref="AA30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GOOD</v>
      </c>
    </row>
    <row r="31" spans="1:27" x14ac:dyDescent="0.3">
      <c r="A31" s="1">
        <v>45960</v>
      </c>
      <c r="B31">
        <v>48</v>
      </c>
      <c r="C31">
        <v>49</v>
      </c>
      <c r="D31">
        <v>50</v>
      </c>
      <c r="E31">
        <v>52</v>
      </c>
      <c r="F31">
        <v>54</v>
      </c>
      <c r="G31">
        <v>55</v>
      </c>
      <c r="H31">
        <v>56</v>
      </c>
      <c r="I31">
        <v>58</v>
      </c>
      <c r="J31">
        <v>64</v>
      </c>
      <c r="K31">
        <v>66</v>
      </c>
      <c r="L31">
        <v>68</v>
      </c>
      <c r="M31">
        <v>70</v>
      </c>
      <c r="N31">
        <v>71</v>
      </c>
      <c r="O31">
        <v>70</v>
      </c>
      <c r="P31">
        <v>70</v>
      </c>
      <c r="Q31">
        <v>70</v>
      </c>
      <c r="R31">
        <v>70</v>
      </c>
      <c r="S31">
        <v>69</v>
      </c>
      <c r="T31">
        <v>69</v>
      </c>
      <c r="U31">
        <v>68</v>
      </c>
      <c r="V31">
        <v>66</v>
      </c>
      <c r="W31">
        <v>65</v>
      </c>
      <c r="X31">
        <v>65</v>
      </c>
      <c r="Y31">
        <v>65</v>
      </c>
      <c r="Z31" s="2">
        <f>AVERAGE(Sheet1__10[[#This Row],[00:00:00]:[23:00:00]])</f>
        <v>62.833333333333336</v>
      </c>
      <c r="AA31" t="str" cm="1">
        <f t="array" ref="AA31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2" spans="1:27" x14ac:dyDescent="0.3">
      <c r="A32" s="1">
        <v>45961</v>
      </c>
      <c r="B32">
        <v>66</v>
      </c>
      <c r="C32">
        <v>67</v>
      </c>
      <c r="D32">
        <v>61</v>
      </c>
      <c r="E32">
        <v>61</v>
      </c>
      <c r="F32">
        <v>61</v>
      </c>
      <c r="G32">
        <v>60</v>
      </c>
      <c r="H32">
        <v>60</v>
      </c>
      <c r="I32">
        <v>59</v>
      </c>
      <c r="J32">
        <v>58</v>
      </c>
      <c r="K32">
        <v>58</v>
      </c>
      <c r="L32">
        <v>57</v>
      </c>
      <c r="M32">
        <v>57</v>
      </c>
      <c r="N32">
        <v>57</v>
      </c>
      <c r="O32">
        <v>58</v>
      </c>
      <c r="P32">
        <v>59</v>
      </c>
      <c r="Q32">
        <v>61</v>
      </c>
      <c r="R32">
        <v>62</v>
      </c>
      <c r="S32">
        <v>62</v>
      </c>
      <c r="T32">
        <v>63</v>
      </c>
      <c r="U32">
        <v>63</v>
      </c>
      <c r="V32">
        <v>62</v>
      </c>
      <c r="W32">
        <v>63</v>
      </c>
      <c r="X32">
        <v>62</v>
      </c>
      <c r="Y32">
        <v>66</v>
      </c>
      <c r="Z32" s="2">
        <f>AVERAGE(Sheet1__10[[#This Row],[00:00:00]:[23:00:00]])</f>
        <v>60.958333333333336</v>
      </c>
      <c r="AA32" t="str" cm="1">
        <f t="array" ref="AA32">_xlfn.IFS(Sheet1__10[[#This Row],[AVERAGE AQI]]&lt;50,"GOOD",Sheet1__10[[#This Row],[AVERAGE AQI]]&lt;=100,"MODERATE",Sheet1__10[[#This Row],[AVERAGE AQI]]&lt;=150,"BAD",Sheet1__10[[#This Row],[AVERAGE AQI]]&lt;=200,"VERY BAD",Sheet1__10[[#This Row],[AVERAGE AQI]]&lt;=300,"HAZARDOUS")</f>
        <v>MODERATE</v>
      </c>
    </row>
    <row r="33" spans="26:27" x14ac:dyDescent="0.3">
      <c r="Z33" s="2">
        <f>AVERAGE(Sheet1__10[AVERAGE AQI])</f>
        <v>82.563055165965423</v>
      </c>
      <c r="AA33" s="3"/>
    </row>
  </sheetData>
  <conditionalFormatting sqref="AA1:AA1048576">
    <cfRule type="containsText" dxfId="16" priority="4" operator="containsText" text="GOOD">
      <formula>NOT(ISERROR(SEARCH("GOOD",AA1)))</formula>
    </cfRule>
    <cfRule type="containsText" dxfId="17" priority="3" operator="containsText" text="MODERATE">
      <formula>NOT(ISERROR(SEARCH("MODERATE",AA1)))</formula>
    </cfRule>
    <cfRule type="containsText" dxfId="18" priority="2" operator="containsText" text="BAD">
      <formula>NOT(ISERROR(SEARCH("BAD",AA1)))</formula>
    </cfRule>
    <cfRule type="containsText" dxfId="19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CF59-AD91-4913-84D1-3EB0D37C5626}">
  <dimension ref="A1:AA32"/>
  <sheetViews>
    <sheetView tabSelected="1" workbookViewId="0">
      <selection activeCell="V34" sqref="V34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8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45962</v>
      </c>
      <c r="B2">
        <v>69</v>
      </c>
      <c r="C2">
        <v>67</v>
      </c>
      <c r="D2">
        <v>65</v>
      </c>
      <c r="E2">
        <v>63</v>
      </c>
      <c r="F2">
        <v>62</v>
      </c>
      <c r="G2">
        <v>60</v>
      </c>
      <c r="H2">
        <v>60</v>
      </c>
      <c r="I2">
        <v>58</v>
      </c>
      <c r="J2">
        <v>56</v>
      </c>
      <c r="K2">
        <v>55</v>
      </c>
      <c r="L2">
        <v>54</v>
      </c>
      <c r="M2">
        <v>52</v>
      </c>
      <c r="N2">
        <v>50</v>
      </c>
      <c r="O2">
        <v>49</v>
      </c>
      <c r="P2">
        <v>47</v>
      </c>
      <c r="Q2">
        <v>45</v>
      </c>
      <c r="R2">
        <v>43</v>
      </c>
      <c r="S2">
        <v>41</v>
      </c>
      <c r="T2">
        <v>40</v>
      </c>
      <c r="U2">
        <v>39</v>
      </c>
      <c r="V2">
        <v>39</v>
      </c>
      <c r="W2">
        <v>38</v>
      </c>
      <c r="X2">
        <v>37</v>
      </c>
      <c r="Y2">
        <v>32</v>
      </c>
      <c r="Z2" s="2">
        <f>AVERAGE(Sheet1__11[[#This Row],[00:00:00]:[23:00:00]])</f>
        <v>50.875</v>
      </c>
      <c r="AA2" t="str" cm="1">
        <f t="array" ref="AA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" spans="1:27" x14ac:dyDescent="0.3">
      <c r="A3" s="1">
        <v>45963</v>
      </c>
      <c r="B3">
        <v>28</v>
      </c>
      <c r="C3">
        <v>27</v>
      </c>
      <c r="D3">
        <v>27</v>
      </c>
      <c r="E3">
        <v>27</v>
      </c>
      <c r="F3">
        <v>27</v>
      </c>
      <c r="G3">
        <v>27</v>
      </c>
      <c r="H3">
        <v>28</v>
      </c>
      <c r="I3">
        <v>29</v>
      </c>
      <c r="J3">
        <v>30</v>
      </c>
      <c r="K3">
        <v>31</v>
      </c>
      <c r="L3">
        <v>31</v>
      </c>
      <c r="M3">
        <v>30</v>
      </c>
      <c r="N3">
        <v>30</v>
      </c>
      <c r="O3">
        <v>30</v>
      </c>
      <c r="P3">
        <v>31</v>
      </c>
      <c r="Q3">
        <v>31</v>
      </c>
      <c r="R3">
        <v>30</v>
      </c>
      <c r="S3">
        <v>31</v>
      </c>
      <c r="T3">
        <v>30</v>
      </c>
      <c r="U3">
        <v>30</v>
      </c>
      <c r="V3">
        <v>29</v>
      </c>
      <c r="W3">
        <v>28</v>
      </c>
      <c r="X3">
        <v>28</v>
      </c>
      <c r="Y3">
        <v>28</v>
      </c>
      <c r="Z3" s="2">
        <f>AVERAGE(Sheet1__11[[#This Row],[00:00:00]:[23:00:00]])</f>
        <v>29.083333333333332</v>
      </c>
      <c r="AA3" t="str" cm="1">
        <f t="array" ref="AA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4" spans="1:27" x14ac:dyDescent="0.3">
      <c r="A4" s="1">
        <v>45964</v>
      </c>
      <c r="B4">
        <v>28</v>
      </c>
      <c r="C4">
        <v>28</v>
      </c>
      <c r="D4">
        <v>28</v>
      </c>
      <c r="E4">
        <v>28</v>
      </c>
      <c r="F4">
        <v>28</v>
      </c>
      <c r="G4">
        <v>28</v>
      </c>
      <c r="H4">
        <v>28</v>
      </c>
      <c r="I4">
        <v>28</v>
      </c>
      <c r="J4">
        <v>28</v>
      </c>
      <c r="K4">
        <v>28</v>
      </c>
      <c r="L4">
        <v>28</v>
      </c>
      <c r="M4">
        <v>27</v>
      </c>
      <c r="N4">
        <v>27</v>
      </c>
      <c r="O4">
        <v>28</v>
      </c>
      <c r="P4">
        <v>28</v>
      </c>
      <c r="Q4">
        <v>30</v>
      </c>
      <c r="R4">
        <v>30</v>
      </c>
      <c r="S4">
        <v>31</v>
      </c>
      <c r="T4">
        <v>32</v>
      </c>
      <c r="U4">
        <v>34</v>
      </c>
      <c r="V4">
        <v>34</v>
      </c>
      <c r="W4">
        <v>35</v>
      </c>
      <c r="X4">
        <v>35</v>
      </c>
      <c r="Y4">
        <v>35</v>
      </c>
      <c r="Z4" s="2">
        <f>AVERAGE(Sheet1__11[[#This Row],[00:00:00]:[23:00:00]])</f>
        <v>29.75</v>
      </c>
      <c r="AA4" t="str" cm="1">
        <f t="array" ref="AA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5" spans="1:27" x14ac:dyDescent="0.3">
      <c r="A5" s="1">
        <v>45965</v>
      </c>
      <c r="B5">
        <v>35</v>
      </c>
      <c r="C5">
        <v>35</v>
      </c>
      <c r="D5">
        <v>35</v>
      </c>
      <c r="E5">
        <v>40</v>
      </c>
      <c r="F5">
        <v>40</v>
      </c>
      <c r="G5">
        <v>41</v>
      </c>
      <c r="H5">
        <v>42</v>
      </c>
      <c r="I5">
        <v>42</v>
      </c>
      <c r="J5">
        <v>42</v>
      </c>
      <c r="K5">
        <v>43</v>
      </c>
      <c r="L5">
        <v>44</v>
      </c>
      <c r="M5">
        <v>45</v>
      </c>
      <c r="N5">
        <v>46</v>
      </c>
      <c r="O5">
        <v>46</v>
      </c>
      <c r="P5">
        <v>46</v>
      </c>
      <c r="Q5">
        <v>47</v>
      </c>
      <c r="R5">
        <v>47</v>
      </c>
      <c r="S5">
        <v>48</v>
      </c>
      <c r="T5">
        <v>47</v>
      </c>
      <c r="U5">
        <v>48</v>
      </c>
      <c r="V5">
        <v>49</v>
      </c>
      <c r="W5">
        <v>49</v>
      </c>
      <c r="X5">
        <v>49</v>
      </c>
      <c r="Y5">
        <v>50</v>
      </c>
      <c r="Z5" s="2">
        <f>AVERAGE(Sheet1__11[[#This Row],[00:00:00]:[23:00:00]])</f>
        <v>44</v>
      </c>
      <c r="AA5" t="str" cm="1">
        <f t="array" ref="AA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GOOD</v>
      </c>
    </row>
    <row r="6" spans="1:27" x14ac:dyDescent="0.3">
      <c r="A6" s="1">
        <v>45966</v>
      </c>
      <c r="B6">
        <v>50</v>
      </c>
      <c r="C6">
        <v>51</v>
      </c>
      <c r="D6">
        <v>52</v>
      </c>
      <c r="E6">
        <v>53</v>
      </c>
      <c r="F6">
        <v>53</v>
      </c>
      <c r="G6">
        <v>48</v>
      </c>
      <c r="H6">
        <v>48</v>
      </c>
      <c r="I6">
        <v>49</v>
      </c>
      <c r="J6">
        <v>49</v>
      </c>
      <c r="K6">
        <v>50</v>
      </c>
      <c r="L6">
        <v>50</v>
      </c>
      <c r="M6">
        <v>50</v>
      </c>
      <c r="N6">
        <v>50</v>
      </c>
      <c r="O6">
        <v>50</v>
      </c>
      <c r="P6">
        <v>50</v>
      </c>
      <c r="Q6">
        <v>50</v>
      </c>
      <c r="R6">
        <v>50</v>
      </c>
      <c r="S6">
        <v>51</v>
      </c>
      <c r="T6">
        <v>51</v>
      </c>
      <c r="U6">
        <v>52</v>
      </c>
      <c r="V6">
        <v>52</v>
      </c>
      <c r="W6">
        <v>52</v>
      </c>
      <c r="X6">
        <v>53</v>
      </c>
      <c r="Y6">
        <v>54</v>
      </c>
      <c r="Z6" s="2">
        <f>AVERAGE(Sheet1__11[[#This Row],[00:00:00]:[23:00:00]])</f>
        <v>50.75</v>
      </c>
      <c r="AA6" t="str" cm="1">
        <f t="array" ref="AA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7" spans="1:27" x14ac:dyDescent="0.3">
      <c r="A7" s="1">
        <v>45967</v>
      </c>
      <c r="B7">
        <v>54</v>
      </c>
      <c r="C7">
        <v>55</v>
      </c>
      <c r="D7">
        <v>56</v>
      </c>
      <c r="E7">
        <v>56</v>
      </c>
      <c r="F7">
        <v>57</v>
      </c>
      <c r="G7">
        <v>58</v>
      </c>
      <c r="H7">
        <v>59</v>
      </c>
      <c r="I7">
        <v>60</v>
      </c>
      <c r="J7">
        <v>61</v>
      </c>
      <c r="K7">
        <v>62</v>
      </c>
      <c r="L7">
        <v>64</v>
      </c>
      <c r="M7">
        <v>66</v>
      </c>
      <c r="N7">
        <v>67</v>
      </c>
      <c r="O7">
        <v>69</v>
      </c>
      <c r="P7">
        <v>70</v>
      </c>
      <c r="Q7">
        <v>71</v>
      </c>
      <c r="R7">
        <v>71</v>
      </c>
      <c r="S7">
        <v>72</v>
      </c>
      <c r="T7">
        <v>73</v>
      </c>
      <c r="U7">
        <v>75</v>
      </c>
      <c r="V7">
        <v>76</v>
      </c>
      <c r="W7">
        <v>79</v>
      </c>
      <c r="X7">
        <v>82</v>
      </c>
      <c r="Y7">
        <v>84</v>
      </c>
      <c r="Z7" s="2">
        <f>AVERAGE(Sheet1__11[[#This Row],[00:00:00]:[23:00:00]])</f>
        <v>66.541666666666671</v>
      </c>
      <c r="AA7" t="str" cm="1">
        <f t="array" ref="AA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8" spans="1:27" x14ac:dyDescent="0.3">
      <c r="A8" s="1">
        <v>45968</v>
      </c>
      <c r="B8">
        <v>86</v>
      </c>
      <c r="C8">
        <v>86</v>
      </c>
      <c r="D8">
        <v>88</v>
      </c>
      <c r="E8">
        <v>88</v>
      </c>
      <c r="F8">
        <v>88</v>
      </c>
      <c r="G8">
        <v>88</v>
      </c>
      <c r="H8">
        <v>87</v>
      </c>
      <c r="I8">
        <v>86</v>
      </c>
      <c r="J8">
        <v>86</v>
      </c>
      <c r="K8">
        <v>87</v>
      </c>
      <c r="L8">
        <v>87</v>
      </c>
      <c r="M8">
        <v>86</v>
      </c>
      <c r="N8">
        <v>88</v>
      </c>
      <c r="O8">
        <v>88</v>
      </c>
      <c r="P8">
        <v>88</v>
      </c>
      <c r="Q8">
        <v>89</v>
      </c>
      <c r="R8">
        <v>89</v>
      </c>
      <c r="S8">
        <v>89</v>
      </c>
      <c r="T8">
        <v>88</v>
      </c>
      <c r="U8">
        <v>88</v>
      </c>
      <c r="V8">
        <v>90</v>
      </c>
      <c r="W8">
        <v>89</v>
      </c>
      <c r="X8">
        <v>88</v>
      </c>
      <c r="Y8">
        <v>89</v>
      </c>
      <c r="Z8" s="2">
        <f>AVERAGE(Sheet1__11[[#This Row],[00:00:00]:[23:00:00]])</f>
        <v>87.75</v>
      </c>
      <c r="AA8" t="str" cm="1">
        <f t="array" ref="AA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9" spans="1:27" x14ac:dyDescent="0.3">
      <c r="A9" s="1">
        <v>45969</v>
      </c>
      <c r="B9">
        <v>89</v>
      </c>
      <c r="C9">
        <v>90</v>
      </c>
      <c r="E9">
        <v>92</v>
      </c>
      <c r="F9">
        <v>93</v>
      </c>
      <c r="G9">
        <v>94</v>
      </c>
      <c r="H9">
        <v>95</v>
      </c>
      <c r="I9">
        <v>96</v>
      </c>
      <c r="J9">
        <v>96</v>
      </c>
      <c r="K9">
        <v>98</v>
      </c>
      <c r="L9">
        <v>98</v>
      </c>
      <c r="M9">
        <v>99</v>
      </c>
      <c r="N9">
        <v>100</v>
      </c>
      <c r="O9">
        <v>101</v>
      </c>
      <c r="P9">
        <v>101</v>
      </c>
      <c r="Q9">
        <v>102</v>
      </c>
      <c r="R9">
        <v>102</v>
      </c>
      <c r="S9">
        <v>102</v>
      </c>
      <c r="T9">
        <v>102</v>
      </c>
      <c r="U9">
        <v>101</v>
      </c>
      <c r="V9">
        <v>100</v>
      </c>
      <c r="W9">
        <v>98</v>
      </c>
      <c r="X9">
        <v>97</v>
      </c>
      <c r="Y9">
        <v>97</v>
      </c>
      <c r="Z9" s="2">
        <f>AVERAGE(Sheet1__11[[#This Row],[00:00:00]:[23:00:00]])</f>
        <v>97.521739130434781</v>
      </c>
      <c r="AA9" t="str" cm="1">
        <f t="array" ref="AA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0" spans="1:27" x14ac:dyDescent="0.3">
      <c r="A10" s="1">
        <v>45970</v>
      </c>
      <c r="B10">
        <v>96</v>
      </c>
      <c r="C10">
        <v>95</v>
      </c>
      <c r="D10">
        <v>94</v>
      </c>
      <c r="E10">
        <v>93</v>
      </c>
      <c r="F10">
        <v>92</v>
      </c>
      <c r="G10">
        <v>92</v>
      </c>
      <c r="H10">
        <v>91</v>
      </c>
      <c r="I10">
        <v>91</v>
      </c>
      <c r="J10">
        <v>91</v>
      </c>
      <c r="K10">
        <v>90</v>
      </c>
      <c r="L10">
        <v>90</v>
      </c>
      <c r="M10">
        <v>90</v>
      </c>
      <c r="N10">
        <v>89</v>
      </c>
      <c r="O10">
        <v>89</v>
      </c>
      <c r="P10">
        <v>89</v>
      </c>
      <c r="Q10">
        <v>89</v>
      </c>
      <c r="R10">
        <v>90</v>
      </c>
      <c r="S10">
        <v>91</v>
      </c>
      <c r="T10">
        <v>92</v>
      </c>
      <c r="U10">
        <v>93</v>
      </c>
      <c r="V10">
        <v>95</v>
      </c>
      <c r="W10">
        <v>97</v>
      </c>
      <c r="X10">
        <v>98</v>
      </c>
      <c r="Y10">
        <v>101</v>
      </c>
      <c r="Z10" s="2">
        <f>AVERAGE(Sheet1__11[[#This Row],[00:00:00]:[23:00:00]])</f>
        <v>92.416666666666671</v>
      </c>
      <c r="AA10" t="str" cm="1">
        <f t="array" ref="AA1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11" spans="1:27" x14ac:dyDescent="0.3">
      <c r="A11" s="1">
        <v>45971</v>
      </c>
      <c r="B11">
        <v>102</v>
      </c>
      <c r="C11">
        <v>103</v>
      </c>
      <c r="D11">
        <v>104</v>
      </c>
      <c r="E11">
        <v>106</v>
      </c>
      <c r="F11">
        <v>106</v>
      </c>
      <c r="G11">
        <v>107</v>
      </c>
      <c r="H11">
        <v>108</v>
      </c>
      <c r="I11">
        <v>109</v>
      </c>
      <c r="J11">
        <v>110</v>
      </c>
      <c r="K11">
        <v>112</v>
      </c>
      <c r="L11">
        <v>114</v>
      </c>
      <c r="M11">
        <v>116</v>
      </c>
      <c r="N11">
        <v>116</v>
      </c>
      <c r="O11">
        <v>117</v>
      </c>
      <c r="P11">
        <v>118</v>
      </c>
      <c r="Q11">
        <v>118</v>
      </c>
      <c r="R11">
        <v>118</v>
      </c>
      <c r="S11">
        <v>120</v>
      </c>
      <c r="T11">
        <v>120</v>
      </c>
      <c r="U11">
        <v>122</v>
      </c>
      <c r="V11">
        <v>126</v>
      </c>
      <c r="W11">
        <v>128</v>
      </c>
      <c r="X11">
        <v>130</v>
      </c>
      <c r="Y11">
        <v>131</v>
      </c>
      <c r="Z11" s="2">
        <f>AVERAGE(Sheet1__11[[#This Row],[00:00:00]:[23:00:00]])</f>
        <v>115.04166666666667</v>
      </c>
      <c r="AA11" t="str" cm="1">
        <f t="array" ref="AA1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2" spans="1:27" x14ac:dyDescent="0.3">
      <c r="A12" s="1">
        <v>45972</v>
      </c>
      <c r="B12">
        <v>132</v>
      </c>
      <c r="C12">
        <v>132</v>
      </c>
      <c r="D12">
        <v>132</v>
      </c>
      <c r="E12">
        <v>132</v>
      </c>
      <c r="F12">
        <v>132</v>
      </c>
      <c r="G12">
        <v>132</v>
      </c>
      <c r="H12">
        <v>132</v>
      </c>
      <c r="I12">
        <v>132</v>
      </c>
      <c r="J12">
        <v>146</v>
      </c>
      <c r="K12">
        <v>146</v>
      </c>
      <c r="L12">
        <v>147</v>
      </c>
      <c r="M12">
        <v>147</v>
      </c>
      <c r="N12">
        <v>147</v>
      </c>
      <c r="O12">
        <v>146</v>
      </c>
      <c r="P12">
        <v>146</v>
      </c>
      <c r="Q12">
        <v>145</v>
      </c>
      <c r="R12">
        <v>144</v>
      </c>
      <c r="S12">
        <v>144</v>
      </c>
      <c r="T12">
        <v>144</v>
      </c>
      <c r="U12">
        <v>145</v>
      </c>
      <c r="V12">
        <v>145</v>
      </c>
      <c r="W12">
        <v>144</v>
      </c>
      <c r="X12">
        <v>143</v>
      </c>
      <c r="Y12">
        <v>143</v>
      </c>
      <c r="Z12" s="2">
        <f>AVERAGE(Sheet1__11[[#This Row],[00:00:00]:[23:00:00]])</f>
        <v>140.75</v>
      </c>
      <c r="AA12" t="str" cm="1">
        <f t="array" ref="AA1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3" spans="1:27" x14ac:dyDescent="0.3">
      <c r="A13" s="1">
        <v>45973</v>
      </c>
      <c r="B13">
        <v>143</v>
      </c>
      <c r="C13">
        <v>143</v>
      </c>
      <c r="D13">
        <v>143</v>
      </c>
      <c r="E13">
        <v>144</v>
      </c>
      <c r="F13">
        <v>144</v>
      </c>
      <c r="G13">
        <v>144</v>
      </c>
      <c r="H13">
        <v>143</v>
      </c>
      <c r="I13">
        <v>143</v>
      </c>
      <c r="J13">
        <v>143</v>
      </c>
      <c r="K13">
        <v>143</v>
      </c>
      <c r="L13">
        <v>144</v>
      </c>
      <c r="M13">
        <v>144</v>
      </c>
      <c r="N13">
        <v>145</v>
      </c>
      <c r="O13">
        <v>145</v>
      </c>
      <c r="P13">
        <v>145</v>
      </c>
      <c r="Q13">
        <v>146</v>
      </c>
      <c r="R13">
        <v>146</v>
      </c>
      <c r="S13">
        <v>147</v>
      </c>
      <c r="T13">
        <v>148</v>
      </c>
      <c r="U13">
        <v>149</v>
      </c>
      <c r="V13">
        <v>147</v>
      </c>
      <c r="W13">
        <v>152</v>
      </c>
      <c r="X13">
        <v>154</v>
      </c>
      <c r="Y13">
        <v>154</v>
      </c>
      <c r="Z13" s="2">
        <f>AVERAGE(Sheet1__11[[#This Row],[00:00:00]:[23:00:00]])</f>
        <v>145.79166666666666</v>
      </c>
      <c r="AA13" t="str" cm="1">
        <f t="array" ref="AA1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4" spans="1:27" x14ac:dyDescent="0.3">
      <c r="A14" s="1">
        <v>45974</v>
      </c>
      <c r="B14">
        <v>155</v>
      </c>
      <c r="C14">
        <v>156</v>
      </c>
      <c r="D14">
        <v>158</v>
      </c>
      <c r="E14">
        <v>160</v>
      </c>
      <c r="F14">
        <v>162</v>
      </c>
      <c r="G14">
        <v>163</v>
      </c>
      <c r="H14">
        <v>164</v>
      </c>
      <c r="I14">
        <v>165</v>
      </c>
      <c r="J14">
        <v>167</v>
      </c>
      <c r="K14">
        <v>169</v>
      </c>
      <c r="L14">
        <v>169</v>
      </c>
      <c r="M14">
        <v>180</v>
      </c>
      <c r="N14">
        <v>180</v>
      </c>
      <c r="O14">
        <v>180</v>
      </c>
      <c r="P14">
        <v>179</v>
      </c>
      <c r="Q14">
        <v>178</v>
      </c>
      <c r="R14">
        <v>175</v>
      </c>
      <c r="S14">
        <v>172</v>
      </c>
      <c r="T14">
        <v>170</v>
      </c>
      <c r="U14">
        <v>169</v>
      </c>
      <c r="V14">
        <v>168</v>
      </c>
      <c r="W14">
        <v>164</v>
      </c>
      <c r="X14">
        <v>161</v>
      </c>
      <c r="Y14">
        <v>159</v>
      </c>
      <c r="Z14" s="2">
        <f>AVERAGE(Sheet1__11[[#This Row],[00:00:00]:[23:00:00]])</f>
        <v>167.625</v>
      </c>
      <c r="AA14" t="str" cm="1">
        <f t="array" ref="AA1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5" spans="1:27" x14ac:dyDescent="0.3">
      <c r="A15" s="1">
        <v>45975</v>
      </c>
      <c r="B15">
        <v>157</v>
      </c>
      <c r="C15">
        <v>155</v>
      </c>
      <c r="D15">
        <v>153</v>
      </c>
      <c r="E15">
        <v>152</v>
      </c>
      <c r="F15">
        <v>151</v>
      </c>
      <c r="G15">
        <v>150</v>
      </c>
      <c r="H15">
        <v>151</v>
      </c>
      <c r="I15">
        <v>150</v>
      </c>
      <c r="J15">
        <v>150</v>
      </c>
      <c r="K15">
        <v>149</v>
      </c>
      <c r="L15">
        <v>149</v>
      </c>
      <c r="M15">
        <v>148</v>
      </c>
      <c r="N15">
        <v>148</v>
      </c>
      <c r="O15">
        <v>147</v>
      </c>
      <c r="P15">
        <v>148</v>
      </c>
      <c r="Q15">
        <v>149</v>
      </c>
      <c r="R15">
        <v>150</v>
      </c>
      <c r="S15">
        <v>151</v>
      </c>
      <c r="T15">
        <v>151</v>
      </c>
      <c r="U15">
        <v>151</v>
      </c>
      <c r="V15">
        <v>152</v>
      </c>
      <c r="W15">
        <v>154</v>
      </c>
      <c r="X15">
        <v>156</v>
      </c>
      <c r="Y15">
        <v>159</v>
      </c>
      <c r="Z15" s="2">
        <f>AVERAGE(Sheet1__11[[#This Row],[00:00:00]:[23:00:00]])</f>
        <v>151.29166666666666</v>
      </c>
      <c r="AA15" t="str" cm="1">
        <f t="array" ref="AA1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16" spans="1:27" x14ac:dyDescent="0.3">
      <c r="A16" s="1">
        <v>45976</v>
      </c>
      <c r="B16">
        <v>159</v>
      </c>
      <c r="C16">
        <v>159</v>
      </c>
      <c r="D16">
        <v>158</v>
      </c>
      <c r="E16">
        <v>157</v>
      </c>
      <c r="F16">
        <v>157</v>
      </c>
      <c r="G16">
        <v>157</v>
      </c>
      <c r="H16">
        <v>150</v>
      </c>
      <c r="I16">
        <v>149</v>
      </c>
      <c r="J16">
        <v>149</v>
      </c>
      <c r="K16">
        <v>148</v>
      </c>
      <c r="L16">
        <v>148</v>
      </c>
      <c r="M16">
        <v>148</v>
      </c>
      <c r="N16">
        <v>148</v>
      </c>
      <c r="O16">
        <v>147</v>
      </c>
      <c r="P16">
        <v>146</v>
      </c>
      <c r="Q16">
        <v>146</v>
      </c>
      <c r="R16">
        <v>145</v>
      </c>
      <c r="S16">
        <v>146</v>
      </c>
      <c r="T16">
        <v>146</v>
      </c>
      <c r="U16">
        <v>145</v>
      </c>
      <c r="V16">
        <v>145</v>
      </c>
      <c r="W16">
        <v>140</v>
      </c>
      <c r="X16">
        <v>138</v>
      </c>
      <c r="Y16">
        <v>137</v>
      </c>
      <c r="Z16" s="2">
        <f>AVERAGE(Sheet1__11[[#This Row],[00:00:00]:[23:00:00]])</f>
        <v>148.66666666666666</v>
      </c>
      <c r="AA16" t="str" cm="1">
        <f t="array" ref="AA1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7" spans="1:27" x14ac:dyDescent="0.3">
      <c r="A17" s="1">
        <v>45977</v>
      </c>
      <c r="B17">
        <v>137</v>
      </c>
      <c r="C17">
        <v>138</v>
      </c>
      <c r="D17">
        <v>138</v>
      </c>
      <c r="E17">
        <v>138</v>
      </c>
      <c r="F17">
        <v>138</v>
      </c>
      <c r="G17">
        <v>139</v>
      </c>
      <c r="H17">
        <v>140</v>
      </c>
      <c r="I17">
        <v>140</v>
      </c>
      <c r="J17">
        <v>140</v>
      </c>
      <c r="K17">
        <v>140</v>
      </c>
      <c r="L17">
        <v>141</v>
      </c>
      <c r="M17">
        <v>140</v>
      </c>
      <c r="N17">
        <v>140</v>
      </c>
      <c r="O17">
        <v>140</v>
      </c>
      <c r="P17">
        <v>140</v>
      </c>
      <c r="Q17">
        <v>139</v>
      </c>
      <c r="R17">
        <v>139</v>
      </c>
      <c r="S17">
        <v>138</v>
      </c>
      <c r="T17">
        <v>137</v>
      </c>
      <c r="U17">
        <v>138</v>
      </c>
      <c r="V17">
        <v>140</v>
      </c>
      <c r="W17">
        <v>141</v>
      </c>
      <c r="X17">
        <v>142</v>
      </c>
      <c r="Y17">
        <v>143</v>
      </c>
      <c r="Z17" s="2">
        <f>AVERAGE(Sheet1__11[[#This Row],[00:00:00]:[23:00:00]])</f>
        <v>139.41666666666666</v>
      </c>
      <c r="AA17" t="str" cm="1">
        <f t="array" ref="AA1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8" spans="1:27" x14ac:dyDescent="0.3">
      <c r="A18" s="1">
        <v>45978</v>
      </c>
      <c r="B18">
        <v>142</v>
      </c>
      <c r="C18">
        <v>142</v>
      </c>
      <c r="D18">
        <v>142</v>
      </c>
      <c r="E18">
        <v>142</v>
      </c>
      <c r="F18">
        <v>141</v>
      </c>
      <c r="G18">
        <v>140</v>
      </c>
      <c r="H18">
        <v>140</v>
      </c>
      <c r="I18">
        <v>139</v>
      </c>
      <c r="J18">
        <v>140</v>
      </c>
      <c r="K18">
        <v>142</v>
      </c>
      <c r="L18">
        <v>141</v>
      </c>
      <c r="M18">
        <v>141</v>
      </c>
      <c r="N18">
        <v>142</v>
      </c>
      <c r="O18">
        <v>142</v>
      </c>
      <c r="P18">
        <v>142</v>
      </c>
      <c r="Q18">
        <v>143</v>
      </c>
      <c r="R18">
        <v>142</v>
      </c>
      <c r="S18">
        <v>143</v>
      </c>
      <c r="T18">
        <v>143</v>
      </c>
      <c r="U18">
        <v>142</v>
      </c>
      <c r="V18">
        <v>142</v>
      </c>
      <c r="W18">
        <v>142</v>
      </c>
      <c r="X18">
        <v>142</v>
      </c>
      <c r="Y18">
        <v>141</v>
      </c>
      <c r="Z18" s="2">
        <f>AVERAGE(Sheet1__11[[#This Row],[00:00:00]:[23:00:00]])</f>
        <v>141.58333333333334</v>
      </c>
      <c r="AA18" t="str" cm="1">
        <f t="array" ref="AA1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19" spans="1:27" x14ac:dyDescent="0.3">
      <c r="A19" s="1">
        <v>45979</v>
      </c>
      <c r="B19">
        <v>141</v>
      </c>
      <c r="C19">
        <v>140</v>
      </c>
      <c r="D19">
        <v>140</v>
      </c>
      <c r="E19">
        <v>140</v>
      </c>
      <c r="F19">
        <v>139</v>
      </c>
      <c r="G19">
        <v>139</v>
      </c>
      <c r="H19">
        <v>139</v>
      </c>
      <c r="I19">
        <v>140</v>
      </c>
      <c r="J19">
        <v>138</v>
      </c>
      <c r="K19">
        <v>138</v>
      </c>
      <c r="L19">
        <v>138</v>
      </c>
      <c r="M19">
        <v>138</v>
      </c>
      <c r="N19">
        <v>138</v>
      </c>
      <c r="O19">
        <v>138</v>
      </c>
      <c r="P19">
        <v>138</v>
      </c>
      <c r="Q19">
        <v>138</v>
      </c>
      <c r="R19">
        <v>139</v>
      </c>
      <c r="S19">
        <v>140</v>
      </c>
      <c r="T19">
        <v>140</v>
      </c>
      <c r="U19">
        <v>141</v>
      </c>
      <c r="V19">
        <v>141</v>
      </c>
      <c r="W19">
        <v>142</v>
      </c>
      <c r="X19">
        <v>144</v>
      </c>
      <c r="Y19">
        <v>144</v>
      </c>
      <c r="Z19" s="2">
        <f>AVERAGE(Sheet1__11[[#This Row],[00:00:00]:[23:00:00]])</f>
        <v>139.70833333333334</v>
      </c>
      <c r="AA19" t="str" cm="1">
        <f t="array" ref="AA1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0" spans="1:27" x14ac:dyDescent="0.3">
      <c r="A20" s="1">
        <v>45980</v>
      </c>
      <c r="B20">
        <v>147</v>
      </c>
      <c r="C20">
        <v>147</v>
      </c>
      <c r="D20">
        <v>151</v>
      </c>
      <c r="E20">
        <v>152</v>
      </c>
      <c r="F20">
        <v>154</v>
      </c>
      <c r="G20">
        <v>155</v>
      </c>
      <c r="H20">
        <v>157</v>
      </c>
      <c r="I20">
        <v>157</v>
      </c>
      <c r="J20">
        <v>157</v>
      </c>
      <c r="K20">
        <v>159</v>
      </c>
      <c r="L20">
        <v>161</v>
      </c>
      <c r="M20">
        <v>163</v>
      </c>
      <c r="N20">
        <v>165</v>
      </c>
      <c r="O20">
        <v>166</v>
      </c>
      <c r="P20">
        <v>168</v>
      </c>
      <c r="Q20">
        <v>168</v>
      </c>
      <c r="R20">
        <v>169</v>
      </c>
      <c r="S20">
        <v>169</v>
      </c>
      <c r="T20">
        <v>169</v>
      </c>
      <c r="U20">
        <v>170</v>
      </c>
      <c r="V20">
        <v>170</v>
      </c>
      <c r="W20">
        <v>169</v>
      </c>
      <c r="X20">
        <v>168</v>
      </c>
      <c r="Y20">
        <v>168</v>
      </c>
      <c r="Z20" s="2">
        <f>AVERAGE(Sheet1__11[[#This Row],[00:00:00]:[23:00:00]])</f>
        <v>161.625</v>
      </c>
      <c r="AA20" t="str" cm="1">
        <f t="array" ref="AA2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1" spans="1:27" x14ac:dyDescent="0.3">
      <c r="A21" s="1">
        <v>45981</v>
      </c>
      <c r="B21">
        <v>167</v>
      </c>
      <c r="C21">
        <v>170</v>
      </c>
      <c r="D21">
        <v>171</v>
      </c>
      <c r="E21">
        <v>174</v>
      </c>
      <c r="F21">
        <v>175</v>
      </c>
      <c r="G21">
        <v>176</v>
      </c>
      <c r="I21">
        <v>176</v>
      </c>
      <c r="J21">
        <v>176</v>
      </c>
      <c r="K21">
        <v>176</v>
      </c>
      <c r="L21">
        <v>176</v>
      </c>
      <c r="M21">
        <v>175</v>
      </c>
      <c r="N21">
        <v>175</v>
      </c>
      <c r="O21">
        <v>175</v>
      </c>
      <c r="P21">
        <v>175</v>
      </c>
      <c r="Q21">
        <v>174</v>
      </c>
      <c r="R21">
        <v>176</v>
      </c>
      <c r="S21">
        <v>177</v>
      </c>
      <c r="T21">
        <v>179</v>
      </c>
      <c r="U21">
        <v>180</v>
      </c>
      <c r="V21">
        <v>182</v>
      </c>
      <c r="W21">
        <v>184</v>
      </c>
      <c r="X21">
        <v>184</v>
      </c>
      <c r="Y21">
        <v>185</v>
      </c>
      <c r="Z21" s="2">
        <f>AVERAGE(Sheet1__11[[#This Row],[00:00:00]:[23:00:00]])</f>
        <v>176.43478260869566</v>
      </c>
      <c r="AA21" t="str" cm="1">
        <f t="array" ref="AA2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2" spans="1:27" x14ac:dyDescent="0.3">
      <c r="A22" s="1">
        <v>45982</v>
      </c>
      <c r="B22">
        <v>185</v>
      </c>
      <c r="C22">
        <v>184</v>
      </c>
      <c r="D22">
        <v>184</v>
      </c>
      <c r="E22">
        <v>184</v>
      </c>
      <c r="F22">
        <v>184</v>
      </c>
      <c r="G22">
        <v>185</v>
      </c>
      <c r="H22">
        <v>185</v>
      </c>
      <c r="I22">
        <v>187</v>
      </c>
      <c r="J22">
        <v>188</v>
      </c>
      <c r="K22">
        <v>169</v>
      </c>
      <c r="L22">
        <v>170</v>
      </c>
      <c r="M22">
        <v>171</v>
      </c>
      <c r="N22">
        <v>171</v>
      </c>
      <c r="O22">
        <v>171</v>
      </c>
      <c r="P22">
        <v>171</v>
      </c>
      <c r="Q22">
        <v>170</v>
      </c>
      <c r="R22">
        <v>170</v>
      </c>
      <c r="S22">
        <v>171</v>
      </c>
      <c r="T22">
        <v>170</v>
      </c>
      <c r="U22">
        <v>171</v>
      </c>
      <c r="V22">
        <v>184</v>
      </c>
      <c r="W22">
        <v>186</v>
      </c>
      <c r="X22">
        <v>189</v>
      </c>
      <c r="Y22">
        <v>190</v>
      </c>
      <c r="Z22" s="2">
        <f>AVERAGE(Sheet1__11[[#This Row],[00:00:00]:[23:00:00]])</f>
        <v>178.75</v>
      </c>
      <c r="AA22" t="str" cm="1">
        <f t="array" ref="AA22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3" spans="1:27" x14ac:dyDescent="0.3">
      <c r="A23" s="1">
        <v>45983</v>
      </c>
      <c r="B23">
        <v>191</v>
      </c>
      <c r="C23">
        <v>192</v>
      </c>
      <c r="D23">
        <v>192</v>
      </c>
      <c r="E23">
        <v>192</v>
      </c>
      <c r="F23">
        <v>192</v>
      </c>
      <c r="G23">
        <v>192</v>
      </c>
      <c r="H23">
        <v>191</v>
      </c>
      <c r="I23">
        <v>190</v>
      </c>
      <c r="J23">
        <v>188</v>
      </c>
      <c r="K23">
        <v>187</v>
      </c>
      <c r="L23">
        <v>184</v>
      </c>
      <c r="M23">
        <v>183</v>
      </c>
      <c r="N23">
        <v>182</v>
      </c>
      <c r="O23">
        <v>182</v>
      </c>
      <c r="P23">
        <v>183</v>
      </c>
      <c r="Q23">
        <v>182</v>
      </c>
      <c r="R23">
        <v>182</v>
      </c>
      <c r="S23">
        <v>181</v>
      </c>
      <c r="T23">
        <v>178</v>
      </c>
      <c r="U23">
        <v>174</v>
      </c>
      <c r="V23">
        <v>170</v>
      </c>
      <c r="W23">
        <v>163</v>
      </c>
      <c r="X23">
        <v>155</v>
      </c>
      <c r="Y23">
        <v>148</v>
      </c>
      <c r="Z23" s="2">
        <f>AVERAGE(Sheet1__11[[#This Row],[00:00:00]:[23:00:00]])</f>
        <v>181.41666666666666</v>
      </c>
      <c r="AA23" t="str" cm="1">
        <f t="array" ref="AA23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VERY BAD</v>
      </c>
    </row>
    <row r="24" spans="1:27" x14ac:dyDescent="0.3">
      <c r="A24" s="1">
        <v>45984</v>
      </c>
      <c r="B24">
        <v>140</v>
      </c>
      <c r="C24">
        <v>135</v>
      </c>
      <c r="D24">
        <v>130</v>
      </c>
      <c r="E24">
        <v>126</v>
      </c>
      <c r="F24">
        <v>122</v>
      </c>
      <c r="G24">
        <v>120</v>
      </c>
      <c r="H24">
        <v>118</v>
      </c>
      <c r="I24">
        <v>116</v>
      </c>
      <c r="J24">
        <v>114</v>
      </c>
      <c r="K24">
        <v>113</v>
      </c>
      <c r="L24">
        <v>120</v>
      </c>
      <c r="M24">
        <v>119</v>
      </c>
      <c r="N24">
        <v>119</v>
      </c>
      <c r="O24">
        <v>117</v>
      </c>
      <c r="P24">
        <v>115</v>
      </c>
      <c r="Q24">
        <v>115</v>
      </c>
      <c r="R24">
        <v>115</v>
      </c>
      <c r="S24">
        <v>106</v>
      </c>
      <c r="T24">
        <v>105</v>
      </c>
      <c r="U24">
        <v>104</v>
      </c>
      <c r="V24">
        <v>104</v>
      </c>
      <c r="W24">
        <v>102</v>
      </c>
      <c r="X24">
        <v>102</v>
      </c>
      <c r="Y24">
        <v>99</v>
      </c>
      <c r="Z24" s="2">
        <f>AVERAGE(Sheet1__11[[#This Row],[00:00:00]:[23:00:00]])</f>
        <v>115.66666666666667</v>
      </c>
      <c r="AA24" t="str" cm="1">
        <f t="array" ref="AA24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5" spans="1:27" x14ac:dyDescent="0.3">
      <c r="A25" s="1">
        <v>45985</v>
      </c>
      <c r="B25">
        <v>99</v>
      </c>
      <c r="C25">
        <v>100</v>
      </c>
      <c r="D25">
        <v>100</v>
      </c>
      <c r="E25">
        <v>100</v>
      </c>
      <c r="F25">
        <v>100</v>
      </c>
      <c r="G25">
        <v>118</v>
      </c>
      <c r="H25">
        <v>118</v>
      </c>
      <c r="I25">
        <v>119</v>
      </c>
      <c r="J25">
        <v>120</v>
      </c>
      <c r="K25">
        <v>122</v>
      </c>
      <c r="L25">
        <v>122</v>
      </c>
      <c r="M25">
        <v>122</v>
      </c>
      <c r="N25">
        <v>118</v>
      </c>
      <c r="O25">
        <v>105</v>
      </c>
      <c r="P25">
        <v>105</v>
      </c>
      <c r="Q25">
        <v>106</v>
      </c>
      <c r="R25">
        <v>107</v>
      </c>
      <c r="S25">
        <v>109</v>
      </c>
      <c r="T25">
        <v>112</v>
      </c>
      <c r="U25">
        <v>114</v>
      </c>
      <c r="V25">
        <v>116</v>
      </c>
      <c r="W25">
        <v>118</v>
      </c>
      <c r="X25">
        <v>118</v>
      </c>
      <c r="Y25">
        <v>119</v>
      </c>
      <c r="Z25" s="2">
        <f>AVERAGE(Sheet1__11[[#This Row],[00:00:00]:[23:00:00]])</f>
        <v>111.95833333333333</v>
      </c>
      <c r="AA25" t="str" cm="1">
        <f t="array" ref="AA25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6" spans="1:27" x14ac:dyDescent="0.3">
      <c r="A26" s="1">
        <v>45986</v>
      </c>
      <c r="B26">
        <v>118</v>
      </c>
      <c r="C26">
        <v>118</v>
      </c>
      <c r="D26">
        <v>116</v>
      </c>
      <c r="E26">
        <v>116</v>
      </c>
      <c r="F26">
        <v>115</v>
      </c>
      <c r="G26">
        <v>115</v>
      </c>
      <c r="H26">
        <v>112</v>
      </c>
      <c r="I26">
        <v>110</v>
      </c>
      <c r="J26">
        <v>109</v>
      </c>
      <c r="K26">
        <v>108</v>
      </c>
      <c r="L26">
        <v>107</v>
      </c>
      <c r="M26">
        <v>106</v>
      </c>
      <c r="N26">
        <v>105</v>
      </c>
      <c r="O26">
        <v>105</v>
      </c>
      <c r="P26">
        <v>104</v>
      </c>
      <c r="Q26">
        <v>103</v>
      </c>
      <c r="R26">
        <v>102</v>
      </c>
      <c r="S26">
        <v>101</v>
      </c>
      <c r="T26">
        <v>99</v>
      </c>
      <c r="U26">
        <v>99</v>
      </c>
      <c r="V26">
        <v>100</v>
      </c>
      <c r="W26">
        <v>100</v>
      </c>
      <c r="X26">
        <v>100</v>
      </c>
      <c r="Y26">
        <v>101</v>
      </c>
      <c r="Z26" s="2">
        <f>AVERAGE(Sheet1__11[[#This Row],[00:00:00]:[23:00:00]])</f>
        <v>107.04166666666667</v>
      </c>
      <c r="AA26" t="str" cm="1">
        <f t="array" ref="AA26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7" spans="1:27" x14ac:dyDescent="0.3">
      <c r="A27" s="1">
        <v>45987</v>
      </c>
      <c r="B27">
        <v>102</v>
      </c>
      <c r="C27">
        <v>103</v>
      </c>
      <c r="D27">
        <v>103</v>
      </c>
      <c r="E27">
        <v>99</v>
      </c>
      <c r="F27">
        <v>99</v>
      </c>
      <c r="G27">
        <v>100</v>
      </c>
      <c r="H27">
        <v>100</v>
      </c>
      <c r="I27">
        <v>100</v>
      </c>
      <c r="J27">
        <v>100</v>
      </c>
      <c r="K27">
        <v>101</v>
      </c>
      <c r="L27">
        <v>101</v>
      </c>
      <c r="M27">
        <v>102</v>
      </c>
      <c r="N27">
        <v>103</v>
      </c>
      <c r="O27">
        <v>104</v>
      </c>
      <c r="P27">
        <v>104</v>
      </c>
      <c r="Q27">
        <v>105</v>
      </c>
      <c r="R27">
        <v>105</v>
      </c>
      <c r="S27">
        <v>106</v>
      </c>
      <c r="T27">
        <v>106</v>
      </c>
      <c r="U27">
        <v>106</v>
      </c>
      <c r="V27">
        <v>104</v>
      </c>
      <c r="W27">
        <v>104</v>
      </c>
      <c r="X27">
        <v>104</v>
      </c>
      <c r="Y27">
        <v>103</v>
      </c>
      <c r="Z27" s="2">
        <f>AVERAGE(Sheet1__11[[#This Row],[00:00:00]:[23:00:00]])</f>
        <v>102.66666666666667</v>
      </c>
      <c r="AA27" t="str" cm="1">
        <f t="array" ref="AA27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8" spans="1:27" x14ac:dyDescent="0.3">
      <c r="A28" s="1">
        <v>45988</v>
      </c>
      <c r="C28">
        <v>102</v>
      </c>
      <c r="D28">
        <v>102</v>
      </c>
      <c r="E28">
        <v>101</v>
      </c>
      <c r="F28">
        <v>100</v>
      </c>
      <c r="G28">
        <v>100</v>
      </c>
      <c r="H28">
        <v>100</v>
      </c>
      <c r="I28">
        <v>99</v>
      </c>
      <c r="J28">
        <v>99</v>
      </c>
      <c r="K28">
        <v>99</v>
      </c>
      <c r="L28">
        <v>99</v>
      </c>
      <c r="M28">
        <v>99</v>
      </c>
      <c r="N28">
        <v>99</v>
      </c>
      <c r="O28">
        <v>99</v>
      </c>
      <c r="P28">
        <v>100</v>
      </c>
      <c r="Q28">
        <v>101</v>
      </c>
      <c r="R28">
        <v>102</v>
      </c>
      <c r="S28">
        <v>102</v>
      </c>
      <c r="T28">
        <v>103</v>
      </c>
      <c r="U28">
        <v>103</v>
      </c>
      <c r="V28">
        <v>104</v>
      </c>
      <c r="W28">
        <v>105</v>
      </c>
      <c r="X28">
        <v>106</v>
      </c>
      <c r="Y28">
        <v>107</v>
      </c>
      <c r="Z28" s="2">
        <f>AVERAGE(Sheet1__11[[#This Row],[00:00:00]:[23:00:00]])</f>
        <v>101.34782608695652</v>
      </c>
      <c r="AA28" t="str" cm="1">
        <f t="array" ref="AA28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29" spans="1:27" x14ac:dyDescent="0.3">
      <c r="A29" s="1">
        <v>45989</v>
      </c>
      <c r="B29">
        <v>108</v>
      </c>
      <c r="C29">
        <v>110</v>
      </c>
      <c r="D29">
        <v>112</v>
      </c>
      <c r="E29">
        <v>114</v>
      </c>
      <c r="F29">
        <v>117</v>
      </c>
      <c r="G29">
        <v>119</v>
      </c>
      <c r="H29">
        <v>121</v>
      </c>
      <c r="I29">
        <v>123</v>
      </c>
      <c r="J29">
        <v>126</v>
      </c>
      <c r="K29">
        <v>130</v>
      </c>
      <c r="L29">
        <v>133</v>
      </c>
      <c r="M29">
        <v>135</v>
      </c>
      <c r="N29">
        <v>138</v>
      </c>
      <c r="O29">
        <v>140</v>
      </c>
      <c r="P29">
        <v>142</v>
      </c>
      <c r="Q29">
        <v>144</v>
      </c>
      <c r="R29">
        <v>146</v>
      </c>
      <c r="S29">
        <v>148</v>
      </c>
      <c r="T29">
        <v>150</v>
      </c>
      <c r="U29">
        <v>152</v>
      </c>
      <c r="V29">
        <v>154</v>
      </c>
      <c r="W29">
        <v>155</v>
      </c>
      <c r="X29">
        <v>157</v>
      </c>
      <c r="Y29">
        <v>158</v>
      </c>
      <c r="Z29" s="2">
        <f>AVERAGE(Sheet1__11[[#This Row],[00:00:00]:[23:00:00]])</f>
        <v>134.66666666666666</v>
      </c>
      <c r="AA29" t="str" cm="1">
        <f t="array" ref="AA29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30" spans="1:27" x14ac:dyDescent="0.3">
      <c r="A30" s="1">
        <v>45990</v>
      </c>
      <c r="B30">
        <v>160</v>
      </c>
      <c r="C30">
        <v>161</v>
      </c>
      <c r="D30">
        <v>162</v>
      </c>
      <c r="E30">
        <v>162</v>
      </c>
      <c r="F30">
        <v>162</v>
      </c>
      <c r="G30">
        <v>160</v>
      </c>
      <c r="H30">
        <v>159</v>
      </c>
      <c r="I30">
        <v>156</v>
      </c>
      <c r="J30">
        <v>153</v>
      </c>
      <c r="K30">
        <v>149</v>
      </c>
      <c r="L30">
        <v>145</v>
      </c>
      <c r="M30">
        <v>140</v>
      </c>
      <c r="N30">
        <v>137</v>
      </c>
      <c r="O30">
        <v>133</v>
      </c>
      <c r="P30">
        <v>130</v>
      </c>
      <c r="Q30">
        <v>132</v>
      </c>
      <c r="R30">
        <v>129</v>
      </c>
      <c r="S30">
        <v>126</v>
      </c>
      <c r="T30">
        <v>123</v>
      </c>
      <c r="U30">
        <v>120</v>
      </c>
      <c r="V30">
        <v>117</v>
      </c>
      <c r="W30">
        <v>114</v>
      </c>
      <c r="X30">
        <v>111</v>
      </c>
      <c r="Y30">
        <v>109</v>
      </c>
      <c r="Z30" s="2">
        <f>AVERAGE(Sheet1__11[[#This Row],[00:00:00]:[23:00:00]])</f>
        <v>139.58333333333334</v>
      </c>
      <c r="AA30" t="str" cm="1">
        <f t="array" ref="AA30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BAD</v>
      </c>
    </row>
    <row r="31" spans="1:27" x14ac:dyDescent="0.3">
      <c r="A31" s="1">
        <v>45991</v>
      </c>
      <c r="B31">
        <v>106</v>
      </c>
      <c r="C31">
        <v>104</v>
      </c>
      <c r="D31">
        <v>101</v>
      </c>
      <c r="E31">
        <v>100</v>
      </c>
      <c r="F31">
        <v>100</v>
      </c>
      <c r="G31">
        <v>99</v>
      </c>
      <c r="H31">
        <v>98</v>
      </c>
      <c r="I31">
        <v>98</v>
      </c>
      <c r="J31">
        <v>98</v>
      </c>
      <c r="K31">
        <v>98</v>
      </c>
      <c r="L31">
        <v>97</v>
      </c>
      <c r="M31">
        <v>98</v>
      </c>
      <c r="N31">
        <v>99</v>
      </c>
      <c r="O31">
        <v>100</v>
      </c>
      <c r="P31">
        <v>100</v>
      </c>
      <c r="Q31">
        <v>100</v>
      </c>
      <c r="R31">
        <v>99</v>
      </c>
      <c r="S31">
        <v>98</v>
      </c>
      <c r="T31">
        <v>98</v>
      </c>
      <c r="U31">
        <v>98</v>
      </c>
      <c r="V31">
        <v>98</v>
      </c>
      <c r="W31">
        <v>98</v>
      </c>
      <c r="X31">
        <v>99</v>
      </c>
      <c r="Y31">
        <v>99</v>
      </c>
      <c r="Z31" s="2">
        <f>AVERAGE(Sheet1__11[[#This Row],[00:00:00]:[23:00:00]])</f>
        <v>99.291666666666671</v>
      </c>
      <c r="AA31" t="str" cm="1">
        <f t="array" ref="AA31">_xlfn.IFS(Sheet1__11[[#This Row],[AVERAGE AQI]]&lt;50,"GOOD",Sheet1__11[[#This Row],[AVERAGE AQI]]&lt;=100,"MODERATE",Sheet1__11[[#This Row],[AVERAGE AQI]]&lt;=150,"BAD",Sheet1__11[[#This Row],[AVERAGE AQI]]&lt;=200,"VERY BAD",Sheet1__11[[#This Row],[AVERAGE AQI]]&lt;=300,"HAZARDOUS")</f>
        <v>MODERATE</v>
      </c>
    </row>
    <row r="32" spans="1:27" x14ac:dyDescent="0.3">
      <c r="Z32" s="2">
        <f>AVERAGE(Sheet1__11[AVERAGE AQI])</f>
        <v>114.96708937198065</v>
      </c>
      <c r="AA32" s="3"/>
    </row>
  </sheetData>
  <conditionalFormatting sqref="AA1:AA1048576">
    <cfRule type="containsText" dxfId="8" priority="4" operator="containsText" text="GOOD">
      <formula>NOT(ISERROR(SEARCH("GOOD",AA1)))</formula>
    </cfRule>
    <cfRule type="containsText" dxfId="9" priority="3" operator="containsText" text="MODERATE">
      <formula>NOT(ISERROR(SEARCH("MODERATE",AA1)))</formula>
    </cfRule>
    <cfRule type="containsText" dxfId="10" priority="2" operator="containsText" text="BAD">
      <formula>NOT(ISERROR(SEARCH("BAD",AA1)))</formula>
    </cfRule>
    <cfRule type="containsText" dxfId="11" priority="1" operator="containsText" text="VERY BAD">
      <formula>NOT(ISERROR(SEARCH("VERY BAD",AA1)))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714D-6B44-4553-AC44-940DF00185E0}">
  <dimension ref="A1:AA33"/>
  <sheetViews>
    <sheetView topLeftCell="A13" workbookViewId="0">
      <selection activeCell="Z33" sqref="Z33"/>
    </sheetView>
  </sheetViews>
  <sheetFormatPr defaultRowHeight="14.4" x14ac:dyDescent="0.3"/>
  <cols>
    <col min="1" max="25" width="10.33203125" bestFit="1" customWidth="1"/>
    <col min="26" max="26" width="14.77734375" bestFit="1" customWidth="1"/>
    <col min="27" max="27" width="16.3320312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26</v>
      </c>
      <c r="AA1" t="s">
        <v>25</v>
      </c>
    </row>
    <row r="2" spans="1:27" x14ac:dyDescent="0.3">
      <c r="A2" s="1">
        <v>45992</v>
      </c>
      <c r="B2">
        <v>99</v>
      </c>
      <c r="C2">
        <v>99</v>
      </c>
      <c r="D2">
        <v>99</v>
      </c>
      <c r="E2">
        <v>100</v>
      </c>
      <c r="F2">
        <v>100</v>
      </c>
      <c r="G2">
        <v>101</v>
      </c>
      <c r="H2">
        <v>101</v>
      </c>
      <c r="I2">
        <v>102</v>
      </c>
      <c r="J2">
        <v>103</v>
      </c>
      <c r="K2">
        <v>104</v>
      </c>
      <c r="L2">
        <v>107</v>
      </c>
      <c r="M2">
        <v>107</v>
      </c>
      <c r="N2">
        <v>108</v>
      </c>
      <c r="O2">
        <v>109</v>
      </c>
      <c r="P2">
        <v>109</v>
      </c>
      <c r="Q2">
        <v>109</v>
      </c>
      <c r="R2">
        <v>110</v>
      </c>
      <c r="S2">
        <v>110</v>
      </c>
      <c r="T2">
        <v>111</v>
      </c>
      <c r="U2">
        <v>112</v>
      </c>
      <c r="V2">
        <v>113</v>
      </c>
      <c r="W2">
        <v>114</v>
      </c>
      <c r="X2">
        <v>115</v>
      </c>
      <c r="Y2">
        <v>116</v>
      </c>
      <c r="Z2" s="2">
        <f>AVERAGE(Sheet1__12[[#This Row],[00:00:00]:[23:00:00]])</f>
        <v>106.58333333333333</v>
      </c>
      <c r="AA2" t="str" cm="1">
        <f t="array" ref="AA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" spans="1:27" x14ac:dyDescent="0.3">
      <c r="A3" s="1">
        <v>45993</v>
      </c>
      <c r="B3">
        <v>118</v>
      </c>
      <c r="C3">
        <v>128</v>
      </c>
      <c r="D3">
        <v>129</v>
      </c>
      <c r="E3">
        <v>130</v>
      </c>
      <c r="F3">
        <v>131</v>
      </c>
      <c r="G3">
        <v>130</v>
      </c>
      <c r="H3">
        <v>132</v>
      </c>
      <c r="I3">
        <v>134</v>
      </c>
      <c r="J3">
        <v>134</v>
      </c>
      <c r="K3">
        <v>134</v>
      </c>
      <c r="L3">
        <v>134</v>
      </c>
      <c r="M3">
        <v>136</v>
      </c>
      <c r="N3">
        <v>138</v>
      </c>
      <c r="O3">
        <v>139</v>
      </c>
      <c r="P3">
        <v>140</v>
      </c>
      <c r="Q3">
        <v>142</v>
      </c>
      <c r="R3">
        <v>142</v>
      </c>
      <c r="S3">
        <v>143</v>
      </c>
      <c r="T3">
        <v>143</v>
      </c>
      <c r="U3">
        <v>142</v>
      </c>
      <c r="V3">
        <v>141</v>
      </c>
      <c r="W3">
        <v>141</v>
      </c>
      <c r="X3">
        <v>140</v>
      </c>
      <c r="Y3">
        <v>138</v>
      </c>
      <c r="Z3" s="2">
        <f>AVERAGE(Sheet1__12[[#This Row],[00:00:00]:[23:00:00]])</f>
        <v>135.79166666666666</v>
      </c>
      <c r="AA3" t="str" cm="1">
        <f t="array" ref="AA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4" spans="1:27" x14ac:dyDescent="0.3">
      <c r="A4" s="1">
        <v>45994</v>
      </c>
      <c r="B4">
        <v>138</v>
      </c>
      <c r="C4">
        <v>138</v>
      </c>
      <c r="D4">
        <v>139</v>
      </c>
      <c r="E4">
        <v>139</v>
      </c>
      <c r="F4">
        <v>138</v>
      </c>
      <c r="G4">
        <v>138</v>
      </c>
      <c r="H4">
        <v>138</v>
      </c>
      <c r="I4">
        <v>137</v>
      </c>
      <c r="J4">
        <v>137</v>
      </c>
      <c r="K4">
        <v>137</v>
      </c>
      <c r="L4">
        <v>137</v>
      </c>
      <c r="M4">
        <v>136</v>
      </c>
      <c r="N4">
        <v>136</v>
      </c>
      <c r="O4">
        <v>136</v>
      </c>
      <c r="P4">
        <v>135</v>
      </c>
      <c r="Q4">
        <v>136</v>
      </c>
      <c r="R4">
        <v>136</v>
      </c>
      <c r="S4">
        <v>138</v>
      </c>
      <c r="T4">
        <v>138</v>
      </c>
      <c r="U4">
        <v>140</v>
      </c>
      <c r="V4">
        <v>141</v>
      </c>
      <c r="W4">
        <v>142</v>
      </c>
      <c r="X4">
        <v>143</v>
      </c>
      <c r="Y4">
        <v>143</v>
      </c>
      <c r="Z4" s="2">
        <f>AVERAGE(Sheet1__12[[#This Row],[00:00:00]:[23:00:00]])</f>
        <v>138.16666666666666</v>
      </c>
      <c r="AA4" t="str" cm="1">
        <f t="array" ref="AA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5" spans="1:27" x14ac:dyDescent="0.3">
      <c r="A5" s="1">
        <v>45995</v>
      </c>
      <c r="B5">
        <v>142</v>
      </c>
      <c r="C5">
        <v>142</v>
      </c>
      <c r="D5">
        <v>140</v>
      </c>
      <c r="E5">
        <v>139</v>
      </c>
      <c r="F5">
        <v>138</v>
      </c>
      <c r="G5">
        <v>137</v>
      </c>
      <c r="H5">
        <v>138</v>
      </c>
      <c r="J5">
        <v>141</v>
      </c>
      <c r="K5">
        <v>142</v>
      </c>
      <c r="L5">
        <v>141</v>
      </c>
      <c r="M5">
        <v>140</v>
      </c>
      <c r="N5">
        <v>139</v>
      </c>
      <c r="O5">
        <v>138</v>
      </c>
      <c r="P5">
        <v>136</v>
      </c>
      <c r="Q5">
        <v>136</v>
      </c>
      <c r="R5">
        <v>135</v>
      </c>
      <c r="S5">
        <v>135</v>
      </c>
      <c r="T5">
        <v>135</v>
      </c>
      <c r="U5">
        <v>134</v>
      </c>
      <c r="V5">
        <v>134</v>
      </c>
      <c r="W5">
        <v>134</v>
      </c>
      <c r="X5">
        <v>134</v>
      </c>
      <c r="Y5">
        <v>135</v>
      </c>
      <c r="Z5" s="2">
        <f>AVERAGE(Sheet1__12[[#This Row],[00:00:00]:[23:00:00]])</f>
        <v>137.60869565217391</v>
      </c>
      <c r="AA5" t="str" cm="1">
        <f t="array" ref="AA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6" spans="1:27" x14ac:dyDescent="0.3">
      <c r="A6" s="1">
        <v>45996</v>
      </c>
      <c r="B6">
        <v>134</v>
      </c>
      <c r="C6">
        <v>134</v>
      </c>
      <c r="D6">
        <v>134</v>
      </c>
      <c r="E6">
        <v>134</v>
      </c>
      <c r="F6">
        <v>133</v>
      </c>
      <c r="G6">
        <v>133</v>
      </c>
      <c r="H6">
        <v>133</v>
      </c>
      <c r="I6">
        <v>132</v>
      </c>
      <c r="J6">
        <v>131</v>
      </c>
      <c r="K6">
        <v>130</v>
      </c>
      <c r="L6">
        <v>130</v>
      </c>
      <c r="M6">
        <v>129</v>
      </c>
      <c r="N6">
        <v>129</v>
      </c>
      <c r="O6">
        <v>128</v>
      </c>
      <c r="P6">
        <v>128</v>
      </c>
      <c r="Q6">
        <v>127</v>
      </c>
      <c r="R6">
        <v>127</v>
      </c>
      <c r="S6">
        <v>126</v>
      </c>
      <c r="T6">
        <v>126</v>
      </c>
      <c r="U6">
        <v>125</v>
      </c>
      <c r="V6">
        <v>124</v>
      </c>
      <c r="W6">
        <v>123</v>
      </c>
      <c r="X6">
        <v>121</v>
      </c>
      <c r="Y6">
        <v>120</v>
      </c>
      <c r="Z6" s="2">
        <f>AVERAGE(Sheet1__12[[#This Row],[00:00:00]:[23:00:00]])</f>
        <v>128.79166666666666</v>
      </c>
      <c r="AA6" t="str" cm="1">
        <f t="array" ref="AA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7" spans="1:27" x14ac:dyDescent="0.3">
      <c r="A7" s="1">
        <v>45997</v>
      </c>
      <c r="B7">
        <v>118</v>
      </c>
      <c r="C7">
        <v>118</v>
      </c>
      <c r="D7">
        <v>118</v>
      </c>
      <c r="E7">
        <v>118</v>
      </c>
      <c r="F7">
        <v>118</v>
      </c>
      <c r="G7">
        <v>118</v>
      </c>
      <c r="H7">
        <v>118</v>
      </c>
      <c r="I7">
        <v>117</v>
      </c>
      <c r="J7">
        <v>116</v>
      </c>
      <c r="K7">
        <v>116</v>
      </c>
      <c r="L7">
        <v>116</v>
      </c>
      <c r="M7">
        <v>116</v>
      </c>
      <c r="N7">
        <v>116</v>
      </c>
      <c r="O7">
        <v>116</v>
      </c>
      <c r="P7">
        <v>116</v>
      </c>
      <c r="Q7">
        <v>116</v>
      </c>
      <c r="R7">
        <v>116</v>
      </c>
      <c r="S7">
        <v>116</v>
      </c>
      <c r="T7">
        <v>116</v>
      </c>
      <c r="U7">
        <v>116</v>
      </c>
      <c r="V7">
        <v>118</v>
      </c>
      <c r="W7">
        <v>120</v>
      </c>
      <c r="X7">
        <v>121</v>
      </c>
      <c r="Y7">
        <v>121</v>
      </c>
      <c r="Z7" s="2">
        <f>AVERAGE(Sheet1__12[[#This Row],[00:00:00]:[23:00:00]])</f>
        <v>117.29166666666667</v>
      </c>
      <c r="AA7" t="str" cm="1">
        <f t="array" ref="AA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8" spans="1:27" x14ac:dyDescent="0.3">
      <c r="A8" s="1">
        <v>45998</v>
      </c>
      <c r="B8">
        <v>122</v>
      </c>
      <c r="C8">
        <v>121</v>
      </c>
      <c r="D8">
        <v>120</v>
      </c>
      <c r="E8">
        <v>119</v>
      </c>
      <c r="F8">
        <v>118</v>
      </c>
      <c r="G8">
        <v>116</v>
      </c>
      <c r="H8">
        <v>114</v>
      </c>
      <c r="I8">
        <v>115</v>
      </c>
      <c r="J8">
        <v>114</v>
      </c>
      <c r="K8">
        <v>112</v>
      </c>
      <c r="L8">
        <v>111</v>
      </c>
      <c r="M8">
        <v>110</v>
      </c>
      <c r="N8">
        <v>108</v>
      </c>
      <c r="O8">
        <v>108</v>
      </c>
      <c r="P8">
        <v>107</v>
      </c>
      <c r="Q8">
        <v>107</v>
      </c>
      <c r="R8">
        <v>107</v>
      </c>
      <c r="S8">
        <v>106</v>
      </c>
      <c r="T8">
        <v>106</v>
      </c>
      <c r="U8">
        <v>106</v>
      </c>
      <c r="V8">
        <v>106</v>
      </c>
      <c r="W8">
        <v>105</v>
      </c>
      <c r="X8">
        <v>105</v>
      </c>
      <c r="Y8">
        <v>105</v>
      </c>
      <c r="Z8" s="2">
        <f>AVERAGE(Sheet1__12[[#This Row],[00:00:00]:[23:00:00]])</f>
        <v>111.16666666666667</v>
      </c>
      <c r="AA8" t="str" cm="1">
        <f t="array" ref="AA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9" spans="1:27" x14ac:dyDescent="0.3">
      <c r="A9" s="1">
        <v>45999</v>
      </c>
      <c r="B9">
        <v>105</v>
      </c>
      <c r="C9">
        <v>105</v>
      </c>
      <c r="D9">
        <v>105</v>
      </c>
      <c r="E9">
        <v>105</v>
      </c>
      <c r="F9">
        <v>106</v>
      </c>
      <c r="G9">
        <v>105</v>
      </c>
      <c r="H9">
        <v>105</v>
      </c>
      <c r="I9">
        <v>105</v>
      </c>
      <c r="J9">
        <v>105</v>
      </c>
      <c r="K9">
        <v>106</v>
      </c>
      <c r="L9">
        <v>107</v>
      </c>
      <c r="M9">
        <v>107</v>
      </c>
      <c r="N9">
        <v>107</v>
      </c>
      <c r="O9">
        <v>106</v>
      </c>
      <c r="P9">
        <v>106</v>
      </c>
      <c r="Q9">
        <v>105</v>
      </c>
      <c r="R9">
        <v>104</v>
      </c>
      <c r="S9">
        <v>104</v>
      </c>
      <c r="T9">
        <v>104</v>
      </c>
      <c r="U9">
        <v>104</v>
      </c>
      <c r="V9">
        <v>105</v>
      </c>
      <c r="W9">
        <v>105</v>
      </c>
      <c r="X9">
        <v>106</v>
      </c>
      <c r="Y9">
        <v>107</v>
      </c>
      <c r="Z9" s="2">
        <f>AVERAGE(Sheet1__12[[#This Row],[00:00:00]:[23:00:00]])</f>
        <v>105.375</v>
      </c>
      <c r="AA9" t="str" cm="1">
        <f t="array" ref="AA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0" spans="1:27" x14ac:dyDescent="0.3">
      <c r="A10" s="1">
        <v>46000</v>
      </c>
      <c r="B10">
        <v>106</v>
      </c>
      <c r="C10">
        <v>106</v>
      </c>
      <c r="D10">
        <v>106</v>
      </c>
      <c r="E10">
        <v>106</v>
      </c>
      <c r="F10">
        <v>105</v>
      </c>
      <c r="G10">
        <v>105</v>
      </c>
      <c r="H10">
        <v>104</v>
      </c>
      <c r="I10">
        <v>104</v>
      </c>
      <c r="J10">
        <v>104</v>
      </c>
      <c r="K10">
        <v>104</v>
      </c>
      <c r="L10">
        <v>104</v>
      </c>
      <c r="M10">
        <v>104</v>
      </c>
      <c r="N10">
        <v>104</v>
      </c>
      <c r="O10">
        <v>106</v>
      </c>
      <c r="P10">
        <v>106</v>
      </c>
      <c r="Q10">
        <v>106</v>
      </c>
      <c r="R10">
        <v>106</v>
      </c>
      <c r="S10">
        <v>106</v>
      </c>
      <c r="T10">
        <v>106</v>
      </c>
      <c r="U10">
        <v>107</v>
      </c>
      <c r="V10">
        <v>107</v>
      </c>
      <c r="W10">
        <v>107</v>
      </c>
      <c r="X10">
        <v>106</v>
      </c>
      <c r="Y10">
        <v>106</v>
      </c>
      <c r="Z10" s="2">
        <f>AVERAGE(Sheet1__12[[#This Row],[00:00:00]:[23:00:00]])</f>
        <v>105.45833333333333</v>
      </c>
      <c r="AA10" t="str" cm="1">
        <f t="array" ref="AA1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1" spans="1:27" x14ac:dyDescent="0.3">
      <c r="A11" s="1">
        <v>46001</v>
      </c>
      <c r="B11">
        <v>105</v>
      </c>
      <c r="C11">
        <v>105</v>
      </c>
      <c r="D11">
        <v>104</v>
      </c>
      <c r="E11">
        <v>103</v>
      </c>
      <c r="F11">
        <v>102</v>
      </c>
      <c r="G11">
        <v>102</v>
      </c>
      <c r="H11">
        <v>101</v>
      </c>
      <c r="I11">
        <v>100</v>
      </c>
      <c r="J11">
        <v>100</v>
      </c>
      <c r="K11">
        <v>99</v>
      </c>
      <c r="L11">
        <v>99</v>
      </c>
      <c r="M11">
        <v>99</v>
      </c>
      <c r="N11">
        <v>99</v>
      </c>
      <c r="O11">
        <v>98</v>
      </c>
      <c r="P11">
        <v>97</v>
      </c>
      <c r="Q11">
        <v>96</v>
      </c>
      <c r="R11">
        <v>95</v>
      </c>
      <c r="S11">
        <v>94</v>
      </c>
      <c r="T11">
        <v>94</v>
      </c>
      <c r="U11">
        <v>92</v>
      </c>
      <c r="V11">
        <v>92</v>
      </c>
      <c r="W11">
        <v>91</v>
      </c>
      <c r="X11">
        <v>93</v>
      </c>
      <c r="Y11">
        <v>95</v>
      </c>
      <c r="Z11" s="2">
        <f>AVERAGE(Sheet1__12[[#This Row],[00:00:00]:[23:00:00]])</f>
        <v>98.125</v>
      </c>
      <c r="AA11" t="str" cm="1">
        <f t="array" ref="AA1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12" spans="1:27" x14ac:dyDescent="0.3">
      <c r="A12" s="1">
        <v>46002</v>
      </c>
      <c r="B12">
        <v>97</v>
      </c>
      <c r="C12">
        <v>99</v>
      </c>
      <c r="D12">
        <v>101</v>
      </c>
      <c r="E12">
        <v>103</v>
      </c>
      <c r="F12">
        <v>104</v>
      </c>
      <c r="G12">
        <v>106</v>
      </c>
      <c r="H12">
        <v>108</v>
      </c>
      <c r="I12">
        <v>109</v>
      </c>
      <c r="J12">
        <v>110</v>
      </c>
      <c r="K12">
        <v>111</v>
      </c>
      <c r="L12">
        <v>112</v>
      </c>
      <c r="M12">
        <v>113</v>
      </c>
      <c r="N12">
        <v>113</v>
      </c>
      <c r="O12">
        <v>112</v>
      </c>
      <c r="P12">
        <v>112</v>
      </c>
      <c r="Q12">
        <v>112</v>
      </c>
      <c r="R12">
        <v>112</v>
      </c>
      <c r="S12">
        <v>113</v>
      </c>
      <c r="T12">
        <v>113</v>
      </c>
      <c r="U12">
        <v>114</v>
      </c>
      <c r="W12">
        <v>114</v>
      </c>
      <c r="X12">
        <v>113</v>
      </c>
      <c r="Y12">
        <v>112</v>
      </c>
      <c r="Z12" s="2">
        <f>AVERAGE(Sheet1__12[[#This Row],[00:00:00]:[23:00:00]])</f>
        <v>109.26086956521739</v>
      </c>
      <c r="AA12" t="str" cm="1">
        <f t="array" ref="AA1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3" spans="1:27" x14ac:dyDescent="0.3">
      <c r="A13" s="1">
        <v>46003</v>
      </c>
      <c r="B13">
        <v>112</v>
      </c>
      <c r="C13">
        <v>111</v>
      </c>
      <c r="D13">
        <v>110</v>
      </c>
      <c r="E13">
        <v>109</v>
      </c>
      <c r="F13">
        <v>108</v>
      </c>
      <c r="G13">
        <v>108</v>
      </c>
      <c r="H13">
        <v>106</v>
      </c>
      <c r="I13">
        <v>106</v>
      </c>
      <c r="J13">
        <v>106</v>
      </c>
      <c r="K13">
        <v>106</v>
      </c>
      <c r="L13">
        <v>105</v>
      </c>
      <c r="M13">
        <v>105</v>
      </c>
      <c r="N13">
        <v>106</v>
      </c>
      <c r="O13">
        <v>107</v>
      </c>
      <c r="P13">
        <v>108</v>
      </c>
      <c r="Q13">
        <v>110</v>
      </c>
      <c r="R13">
        <v>111</v>
      </c>
      <c r="S13">
        <v>112</v>
      </c>
      <c r="T13">
        <v>112</v>
      </c>
      <c r="U13">
        <v>113</v>
      </c>
      <c r="V13">
        <v>116</v>
      </c>
      <c r="W13">
        <v>117</v>
      </c>
      <c r="X13">
        <v>118</v>
      </c>
      <c r="Y13">
        <v>117</v>
      </c>
      <c r="Z13" s="2">
        <f>AVERAGE(Sheet1__12[[#This Row],[00:00:00]:[23:00:00]])</f>
        <v>109.95833333333333</v>
      </c>
      <c r="AA13" t="str" cm="1">
        <f t="array" ref="AA1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4" spans="1:27" x14ac:dyDescent="0.3">
      <c r="A14" s="1">
        <v>46004</v>
      </c>
      <c r="B14">
        <v>117</v>
      </c>
      <c r="C14">
        <v>116</v>
      </c>
      <c r="D14">
        <v>116</v>
      </c>
      <c r="E14">
        <v>122</v>
      </c>
      <c r="F14">
        <v>122</v>
      </c>
      <c r="G14">
        <v>121</v>
      </c>
      <c r="H14">
        <v>121</v>
      </c>
      <c r="I14">
        <v>121</v>
      </c>
      <c r="J14">
        <v>120</v>
      </c>
      <c r="K14">
        <v>121</v>
      </c>
      <c r="L14">
        <v>121</v>
      </c>
      <c r="M14">
        <v>121</v>
      </c>
      <c r="N14">
        <v>121</v>
      </c>
      <c r="O14">
        <v>122</v>
      </c>
      <c r="P14">
        <v>122</v>
      </c>
      <c r="Q14">
        <v>124</v>
      </c>
      <c r="R14">
        <v>125</v>
      </c>
      <c r="S14">
        <v>126</v>
      </c>
      <c r="T14">
        <v>126</v>
      </c>
      <c r="U14">
        <v>126</v>
      </c>
      <c r="V14">
        <v>125</v>
      </c>
      <c r="W14">
        <v>122</v>
      </c>
      <c r="X14">
        <v>119</v>
      </c>
      <c r="Y14">
        <v>117</v>
      </c>
      <c r="Z14" s="2">
        <f>AVERAGE(Sheet1__12[[#This Row],[00:00:00]:[23:00:00]])</f>
        <v>121.41666666666667</v>
      </c>
      <c r="AA14" t="str" cm="1">
        <f t="array" ref="AA1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5" spans="1:27" x14ac:dyDescent="0.3">
      <c r="A15" s="1">
        <v>46005</v>
      </c>
      <c r="B15">
        <v>116</v>
      </c>
      <c r="C15">
        <v>115</v>
      </c>
      <c r="D15">
        <v>115</v>
      </c>
      <c r="E15">
        <v>114</v>
      </c>
      <c r="F15">
        <v>114</v>
      </c>
      <c r="G15">
        <v>112</v>
      </c>
      <c r="H15">
        <v>112</v>
      </c>
      <c r="I15">
        <v>111</v>
      </c>
      <c r="J15">
        <v>111</v>
      </c>
      <c r="K15">
        <v>110</v>
      </c>
      <c r="L15">
        <v>109</v>
      </c>
      <c r="M15">
        <v>108</v>
      </c>
      <c r="N15">
        <v>108</v>
      </c>
      <c r="O15">
        <v>108</v>
      </c>
      <c r="P15">
        <v>107</v>
      </c>
      <c r="Q15">
        <v>107</v>
      </c>
      <c r="R15">
        <v>107</v>
      </c>
      <c r="S15">
        <v>106</v>
      </c>
      <c r="T15">
        <v>106</v>
      </c>
      <c r="U15">
        <v>105</v>
      </c>
      <c r="V15">
        <v>104</v>
      </c>
      <c r="W15">
        <v>105</v>
      </c>
      <c r="X15">
        <v>105</v>
      </c>
      <c r="Y15">
        <v>106</v>
      </c>
      <c r="Z15" s="2">
        <f>AVERAGE(Sheet1__12[[#This Row],[00:00:00]:[23:00:00]])</f>
        <v>109.20833333333333</v>
      </c>
      <c r="AA15" t="str" cm="1">
        <f t="array" ref="AA1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6" spans="1:27" x14ac:dyDescent="0.3">
      <c r="A16" s="1">
        <v>46006</v>
      </c>
      <c r="B16">
        <v>106</v>
      </c>
      <c r="C16">
        <v>107</v>
      </c>
      <c r="D16">
        <v>109</v>
      </c>
      <c r="E16">
        <v>110</v>
      </c>
      <c r="F16">
        <v>112</v>
      </c>
      <c r="G16">
        <v>114</v>
      </c>
      <c r="H16">
        <v>115</v>
      </c>
      <c r="I16">
        <v>116</v>
      </c>
      <c r="J16">
        <v>121</v>
      </c>
      <c r="K16">
        <v>125</v>
      </c>
      <c r="L16">
        <v>126</v>
      </c>
      <c r="M16">
        <v>126</v>
      </c>
      <c r="N16">
        <v>125</v>
      </c>
      <c r="O16">
        <v>124</v>
      </c>
      <c r="P16">
        <v>123</v>
      </c>
      <c r="Q16">
        <v>121</v>
      </c>
      <c r="R16">
        <v>120</v>
      </c>
      <c r="S16">
        <v>120</v>
      </c>
      <c r="T16">
        <v>119</v>
      </c>
      <c r="U16">
        <v>118</v>
      </c>
      <c r="V16">
        <v>116</v>
      </c>
      <c r="W16">
        <v>114</v>
      </c>
      <c r="X16">
        <v>112</v>
      </c>
      <c r="Y16">
        <v>109</v>
      </c>
      <c r="Z16" s="2">
        <f>AVERAGE(Sheet1__12[[#This Row],[00:00:00]:[23:00:00]])</f>
        <v>117</v>
      </c>
      <c r="AA16" t="str" cm="1">
        <f t="array" ref="AA1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7" spans="1:27" x14ac:dyDescent="0.3">
      <c r="A17" s="1">
        <v>46007</v>
      </c>
      <c r="B17">
        <v>106</v>
      </c>
      <c r="C17">
        <v>103</v>
      </c>
      <c r="D17">
        <v>100</v>
      </c>
      <c r="E17">
        <v>98</v>
      </c>
      <c r="F17">
        <v>96</v>
      </c>
      <c r="G17">
        <v>94</v>
      </c>
      <c r="H17">
        <v>93</v>
      </c>
      <c r="I17">
        <v>92</v>
      </c>
      <c r="J17">
        <v>88</v>
      </c>
      <c r="K17">
        <v>87</v>
      </c>
      <c r="L17">
        <v>88</v>
      </c>
      <c r="M17">
        <v>90</v>
      </c>
      <c r="N17">
        <v>91</v>
      </c>
      <c r="O17">
        <v>92</v>
      </c>
      <c r="P17">
        <v>94</v>
      </c>
      <c r="Q17">
        <v>96</v>
      </c>
      <c r="R17">
        <v>96</v>
      </c>
      <c r="S17">
        <v>98</v>
      </c>
      <c r="T17">
        <v>99</v>
      </c>
      <c r="U17">
        <v>102</v>
      </c>
      <c r="V17">
        <v>104</v>
      </c>
      <c r="W17">
        <v>106</v>
      </c>
      <c r="X17">
        <v>108</v>
      </c>
      <c r="Y17">
        <v>110</v>
      </c>
      <c r="Z17" s="2">
        <f>AVERAGE(Sheet1__12[[#This Row],[00:00:00]:[23:00:00]])</f>
        <v>97.125</v>
      </c>
      <c r="AA17" t="str" cm="1">
        <f t="array" ref="AA1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18" spans="1:27" x14ac:dyDescent="0.3">
      <c r="A18" s="1">
        <v>46008</v>
      </c>
      <c r="B18">
        <v>112</v>
      </c>
      <c r="C18">
        <v>113</v>
      </c>
      <c r="D18">
        <v>115</v>
      </c>
      <c r="E18">
        <v>116</v>
      </c>
      <c r="F18">
        <v>118</v>
      </c>
      <c r="G18">
        <v>120</v>
      </c>
      <c r="H18">
        <v>121</v>
      </c>
      <c r="I18">
        <v>123</v>
      </c>
      <c r="J18">
        <v>124</v>
      </c>
      <c r="K18">
        <v>125</v>
      </c>
      <c r="L18">
        <v>126</v>
      </c>
      <c r="M18">
        <v>126</v>
      </c>
      <c r="N18">
        <v>127</v>
      </c>
      <c r="O18">
        <v>128</v>
      </c>
      <c r="P18">
        <v>129</v>
      </c>
      <c r="Q18">
        <v>130</v>
      </c>
      <c r="R18">
        <v>131</v>
      </c>
      <c r="S18">
        <v>132</v>
      </c>
      <c r="T18">
        <v>133</v>
      </c>
      <c r="U18">
        <v>133</v>
      </c>
      <c r="V18">
        <v>135</v>
      </c>
      <c r="W18">
        <v>136</v>
      </c>
      <c r="X18">
        <v>137</v>
      </c>
      <c r="Y18">
        <v>138</v>
      </c>
      <c r="Z18" s="2">
        <f>AVERAGE(Sheet1__12[[#This Row],[00:00:00]:[23:00:00]])</f>
        <v>126.16666666666667</v>
      </c>
      <c r="AA18" t="str" cm="1">
        <f t="array" ref="AA1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19" spans="1:27" x14ac:dyDescent="0.3">
      <c r="A19" s="1">
        <v>46009</v>
      </c>
      <c r="B19">
        <v>139</v>
      </c>
      <c r="C19">
        <v>140</v>
      </c>
      <c r="D19">
        <v>142</v>
      </c>
      <c r="E19">
        <v>142</v>
      </c>
      <c r="F19">
        <v>143</v>
      </c>
      <c r="G19">
        <v>144</v>
      </c>
      <c r="H19">
        <v>144</v>
      </c>
      <c r="I19">
        <v>144</v>
      </c>
      <c r="J19">
        <v>144</v>
      </c>
      <c r="K19">
        <v>144</v>
      </c>
      <c r="L19">
        <v>144</v>
      </c>
      <c r="M19">
        <v>144</v>
      </c>
      <c r="N19">
        <v>144</v>
      </c>
      <c r="O19">
        <v>142</v>
      </c>
      <c r="P19">
        <v>141</v>
      </c>
      <c r="Q19">
        <v>139</v>
      </c>
      <c r="R19">
        <v>138</v>
      </c>
      <c r="S19">
        <v>136</v>
      </c>
      <c r="T19">
        <v>135</v>
      </c>
      <c r="U19">
        <v>135</v>
      </c>
      <c r="V19">
        <v>131</v>
      </c>
      <c r="W19">
        <v>129</v>
      </c>
      <c r="X19">
        <v>129</v>
      </c>
      <c r="Y19">
        <v>128</v>
      </c>
      <c r="Z19" s="2">
        <f>AVERAGE(Sheet1__12[[#This Row],[00:00:00]:[23:00:00]])</f>
        <v>139.20833333333334</v>
      </c>
      <c r="AA19" t="str" cm="1">
        <f t="array" ref="AA1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0" spans="1:27" x14ac:dyDescent="0.3">
      <c r="A20" s="1">
        <v>46010</v>
      </c>
      <c r="B20">
        <v>127</v>
      </c>
      <c r="C20">
        <v>127</v>
      </c>
      <c r="D20">
        <v>126</v>
      </c>
      <c r="E20">
        <v>125</v>
      </c>
      <c r="F20">
        <v>123</v>
      </c>
      <c r="G20">
        <v>122</v>
      </c>
      <c r="H20">
        <v>120</v>
      </c>
      <c r="I20">
        <v>120</v>
      </c>
      <c r="J20">
        <v>118</v>
      </c>
      <c r="K20">
        <v>118</v>
      </c>
      <c r="L20">
        <v>119</v>
      </c>
      <c r="M20">
        <v>118</v>
      </c>
      <c r="N20">
        <v>116</v>
      </c>
      <c r="O20">
        <v>114</v>
      </c>
      <c r="P20">
        <v>112</v>
      </c>
      <c r="Q20">
        <v>110</v>
      </c>
      <c r="R20">
        <v>109</v>
      </c>
      <c r="S20">
        <v>108</v>
      </c>
      <c r="T20">
        <v>107</v>
      </c>
      <c r="U20">
        <v>106</v>
      </c>
      <c r="V20">
        <v>106</v>
      </c>
      <c r="W20">
        <v>105</v>
      </c>
      <c r="X20">
        <v>105</v>
      </c>
      <c r="Y20">
        <v>104</v>
      </c>
      <c r="Z20" s="2">
        <f>AVERAGE(Sheet1__12[[#This Row],[00:00:00]:[23:00:00]])</f>
        <v>115.20833333333333</v>
      </c>
      <c r="AA20" t="str" cm="1">
        <f t="array" ref="AA2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1" spans="1:27" x14ac:dyDescent="0.3">
      <c r="A21" s="1">
        <v>46011</v>
      </c>
      <c r="B21">
        <v>100</v>
      </c>
      <c r="C21">
        <v>98</v>
      </c>
      <c r="D21">
        <v>95</v>
      </c>
      <c r="E21">
        <v>93</v>
      </c>
      <c r="F21">
        <v>92</v>
      </c>
      <c r="G21">
        <v>92</v>
      </c>
      <c r="H21">
        <v>92</v>
      </c>
      <c r="I21">
        <v>92</v>
      </c>
      <c r="J21">
        <v>91</v>
      </c>
      <c r="K21">
        <v>90</v>
      </c>
      <c r="L21">
        <v>90</v>
      </c>
      <c r="M21">
        <v>89</v>
      </c>
      <c r="N21">
        <v>89</v>
      </c>
      <c r="O21">
        <v>90</v>
      </c>
      <c r="P21">
        <v>91</v>
      </c>
      <c r="Q21">
        <v>92</v>
      </c>
      <c r="R21">
        <v>92</v>
      </c>
      <c r="S21">
        <v>92</v>
      </c>
      <c r="T21">
        <v>91</v>
      </c>
      <c r="U21">
        <v>90</v>
      </c>
      <c r="V21">
        <v>90</v>
      </c>
      <c r="W21">
        <v>88</v>
      </c>
      <c r="X21">
        <v>87</v>
      </c>
      <c r="Y21">
        <v>86</v>
      </c>
      <c r="Z21" s="2">
        <f>AVERAGE(Sheet1__12[[#This Row],[00:00:00]:[23:00:00]])</f>
        <v>91.333333333333329</v>
      </c>
      <c r="AA21" t="str" cm="1">
        <f t="array" ref="AA2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2" spans="1:27" x14ac:dyDescent="0.3">
      <c r="A22" s="1">
        <v>46012</v>
      </c>
      <c r="B22">
        <v>86</v>
      </c>
      <c r="C22">
        <v>85</v>
      </c>
      <c r="D22">
        <v>84</v>
      </c>
      <c r="E22">
        <v>83</v>
      </c>
      <c r="F22">
        <v>82</v>
      </c>
      <c r="G22">
        <v>82</v>
      </c>
      <c r="H22">
        <v>81</v>
      </c>
      <c r="I22">
        <v>81</v>
      </c>
      <c r="J22">
        <v>81</v>
      </c>
      <c r="K22">
        <v>80</v>
      </c>
      <c r="L22">
        <v>79</v>
      </c>
      <c r="M22">
        <v>78</v>
      </c>
      <c r="N22">
        <v>79</v>
      </c>
      <c r="O22">
        <v>80</v>
      </c>
      <c r="P22">
        <v>80</v>
      </c>
      <c r="Q22">
        <v>80</v>
      </c>
      <c r="R22">
        <v>81</v>
      </c>
      <c r="S22">
        <v>82</v>
      </c>
      <c r="T22">
        <v>82</v>
      </c>
      <c r="U22">
        <v>83</v>
      </c>
      <c r="V22">
        <v>84</v>
      </c>
      <c r="W22">
        <v>84</v>
      </c>
      <c r="X22">
        <v>86</v>
      </c>
      <c r="Y22">
        <v>88</v>
      </c>
      <c r="Z22" s="2">
        <f>AVERAGE(Sheet1__12[[#This Row],[00:00:00]:[23:00:00]])</f>
        <v>82.125</v>
      </c>
      <c r="AA22" t="str" cm="1">
        <f t="array" ref="AA2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3" spans="1:27" x14ac:dyDescent="0.3">
      <c r="A23" s="1">
        <v>46013</v>
      </c>
      <c r="B23">
        <v>92</v>
      </c>
      <c r="C23">
        <v>95</v>
      </c>
      <c r="D23">
        <v>97</v>
      </c>
      <c r="E23">
        <v>99</v>
      </c>
      <c r="F23">
        <v>100</v>
      </c>
      <c r="G23">
        <v>101</v>
      </c>
      <c r="H23">
        <v>102</v>
      </c>
      <c r="I23">
        <v>103</v>
      </c>
      <c r="J23">
        <v>104</v>
      </c>
      <c r="K23">
        <v>105</v>
      </c>
      <c r="L23">
        <v>108</v>
      </c>
      <c r="M23">
        <v>108</v>
      </c>
      <c r="N23">
        <v>109</v>
      </c>
      <c r="O23">
        <v>109</v>
      </c>
      <c r="P23">
        <v>109</v>
      </c>
      <c r="Q23">
        <v>109</v>
      </c>
      <c r="R23">
        <v>109</v>
      </c>
      <c r="S23">
        <v>109</v>
      </c>
      <c r="T23">
        <v>109</v>
      </c>
      <c r="U23">
        <v>109</v>
      </c>
      <c r="V23">
        <v>108</v>
      </c>
      <c r="W23">
        <v>107</v>
      </c>
      <c r="X23">
        <v>107</v>
      </c>
      <c r="Y23">
        <v>105</v>
      </c>
      <c r="Z23" s="2">
        <f>AVERAGE(Sheet1__12[[#This Row],[00:00:00]:[23:00:00]])</f>
        <v>104.70833333333333</v>
      </c>
      <c r="AA23" t="str" cm="1">
        <f t="array" ref="AA23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4" spans="1:27" x14ac:dyDescent="0.3">
      <c r="A24" s="1">
        <v>46014</v>
      </c>
      <c r="B24">
        <v>104</v>
      </c>
      <c r="C24">
        <v>104</v>
      </c>
      <c r="D24">
        <v>110</v>
      </c>
      <c r="E24">
        <v>108</v>
      </c>
      <c r="F24">
        <v>107</v>
      </c>
      <c r="G24">
        <v>106</v>
      </c>
      <c r="H24">
        <v>105</v>
      </c>
      <c r="I24">
        <v>105</v>
      </c>
      <c r="J24">
        <v>106</v>
      </c>
      <c r="K24">
        <v>105</v>
      </c>
      <c r="L24">
        <v>104</v>
      </c>
      <c r="M24">
        <v>103</v>
      </c>
      <c r="N24">
        <v>103</v>
      </c>
      <c r="O24">
        <v>102</v>
      </c>
      <c r="P24">
        <v>101</v>
      </c>
      <c r="Q24">
        <v>99</v>
      </c>
      <c r="R24">
        <v>97</v>
      </c>
      <c r="S24">
        <v>97</v>
      </c>
      <c r="T24">
        <v>95</v>
      </c>
      <c r="U24">
        <v>93</v>
      </c>
      <c r="V24">
        <v>91</v>
      </c>
      <c r="W24">
        <v>90</v>
      </c>
      <c r="X24">
        <v>88</v>
      </c>
      <c r="Y24">
        <v>87</v>
      </c>
      <c r="Z24" s="2">
        <f>AVERAGE(Sheet1__12[[#This Row],[00:00:00]:[23:00:00]])</f>
        <v>100.41666666666667</v>
      </c>
      <c r="AA24" t="str" cm="1">
        <f t="array" ref="AA24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5" spans="1:27" x14ac:dyDescent="0.3">
      <c r="A25" s="1">
        <v>46015</v>
      </c>
      <c r="B25">
        <v>84</v>
      </c>
      <c r="C25">
        <v>82</v>
      </c>
      <c r="D25">
        <v>82</v>
      </c>
      <c r="E25">
        <v>82</v>
      </c>
      <c r="F25">
        <v>83</v>
      </c>
      <c r="G25">
        <v>82</v>
      </c>
      <c r="H25">
        <v>82</v>
      </c>
      <c r="I25">
        <v>82</v>
      </c>
      <c r="J25">
        <v>80</v>
      </c>
      <c r="K25">
        <v>80</v>
      </c>
      <c r="L25">
        <v>80</v>
      </c>
      <c r="M25">
        <v>79</v>
      </c>
      <c r="N25">
        <v>78</v>
      </c>
      <c r="O25">
        <v>78</v>
      </c>
      <c r="P25">
        <v>79</v>
      </c>
      <c r="Q25">
        <v>80</v>
      </c>
      <c r="R25">
        <v>81</v>
      </c>
      <c r="S25">
        <v>81</v>
      </c>
      <c r="T25">
        <v>82</v>
      </c>
      <c r="U25">
        <v>84</v>
      </c>
      <c r="V25">
        <v>84</v>
      </c>
      <c r="W25">
        <v>84</v>
      </c>
      <c r="X25">
        <v>86</v>
      </c>
      <c r="Y25">
        <v>86</v>
      </c>
      <c r="Z25" s="2">
        <f>AVERAGE(Sheet1__12[[#This Row],[00:00:00]:[23:00:00]])</f>
        <v>81.708333333333329</v>
      </c>
      <c r="AA25" t="str" cm="1">
        <f t="array" ref="AA25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6" spans="1:27" x14ac:dyDescent="0.3">
      <c r="A26" s="1">
        <v>46016</v>
      </c>
      <c r="B26">
        <v>88</v>
      </c>
      <c r="C26">
        <v>89</v>
      </c>
      <c r="D26">
        <v>90</v>
      </c>
      <c r="E26">
        <v>90</v>
      </c>
      <c r="F26">
        <v>90</v>
      </c>
      <c r="G26">
        <v>92</v>
      </c>
      <c r="H26">
        <v>93</v>
      </c>
      <c r="I26">
        <v>93</v>
      </c>
      <c r="J26">
        <v>94</v>
      </c>
      <c r="K26">
        <v>95</v>
      </c>
      <c r="L26">
        <v>95</v>
      </c>
      <c r="M26">
        <v>96</v>
      </c>
      <c r="N26">
        <v>97</v>
      </c>
      <c r="O26">
        <v>97</v>
      </c>
      <c r="P26">
        <v>98</v>
      </c>
      <c r="Q26">
        <v>98</v>
      </c>
      <c r="R26">
        <v>98</v>
      </c>
      <c r="S26">
        <v>99</v>
      </c>
      <c r="T26">
        <v>100</v>
      </c>
      <c r="U26">
        <v>100</v>
      </c>
      <c r="V26">
        <v>100</v>
      </c>
      <c r="W26">
        <v>102</v>
      </c>
      <c r="X26">
        <v>103</v>
      </c>
      <c r="Y26">
        <v>105</v>
      </c>
      <c r="Z26" s="2">
        <f>AVERAGE(Sheet1__12[[#This Row],[00:00:00]:[23:00:00]])</f>
        <v>95.916666666666671</v>
      </c>
      <c r="AA26" t="str" cm="1">
        <f t="array" ref="AA26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MODERATE</v>
      </c>
    </row>
    <row r="27" spans="1:27" x14ac:dyDescent="0.3">
      <c r="A27" s="1">
        <v>46017</v>
      </c>
      <c r="B27">
        <v>107</v>
      </c>
      <c r="C27">
        <v>109</v>
      </c>
      <c r="D27">
        <v>111</v>
      </c>
      <c r="E27">
        <v>112</v>
      </c>
      <c r="F27">
        <v>114</v>
      </c>
      <c r="G27">
        <v>116</v>
      </c>
      <c r="H27">
        <v>118</v>
      </c>
      <c r="I27">
        <v>120</v>
      </c>
      <c r="J27">
        <v>122</v>
      </c>
      <c r="K27">
        <v>123</v>
      </c>
      <c r="L27">
        <v>124</v>
      </c>
      <c r="M27">
        <v>124</v>
      </c>
      <c r="N27">
        <v>125</v>
      </c>
      <c r="O27">
        <v>125</v>
      </c>
      <c r="P27">
        <v>125</v>
      </c>
      <c r="Q27">
        <v>125</v>
      </c>
      <c r="R27">
        <v>125</v>
      </c>
      <c r="S27">
        <v>126</v>
      </c>
      <c r="T27">
        <v>126</v>
      </c>
      <c r="U27">
        <v>127</v>
      </c>
      <c r="V27">
        <v>127</v>
      </c>
      <c r="W27">
        <v>128</v>
      </c>
      <c r="X27">
        <v>128</v>
      </c>
      <c r="Y27">
        <v>128</v>
      </c>
      <c r="Z27" s="2">
        <f>AVERAGE(Sheet1__12[[#This Row],[00:00:00]:[23:00:00]])</f>
        <v>121.45833333333333</v>
      </c>
      <c r="AA27" t="str" cm="1">
        <f t="array" ref="AA27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8" spans="1:27" x14ac:dyDescent="0.3">
      <c r="A28" s="1">
        <v>46018</v>
      </c>
      <c r="B28">
        <v>126</v>
      </c>
      <c r="C28">
        <v>125</v>
      </c>
      <c r="D28">
        <v>124</v>
      </c>
      <c r="E28">
        <v>122</v>
      </c>
      <c r="F28">
        <v>121</v>
      </c>
      <c r="G28">
        <v>119</v>
      </c>
      <c r="H28">
        <v>119</v>
      </c>
      <c r="I28">
        <v>118</v>
      </c>
      <c r="J28">
        <v>118</v>
      </c>
      <c r="K28">
        <v>118</v>
      </c>
      <c r="L28">
        <v>118</v>
      </c>
      <c r="M28">
        <v>118</v>
      </c>
      <c r="N28">
        <v>118</v>
      </c>
      <c r="O28">
        <v>118</v>
      </c>
      <c r="P28">
        <v>117</v>
      </c>
      <c r="Q28">
        <v>118</v>
      </c>
      <c r="R28">
        <v>117</v>
      </c>
      <c r="S28">
        <v>117</v>
      </c>
      <c r="T28">
        <v>117</v>
      </c>
      <c r="U28">
        <v>117</v>
      </c>
      <c r="V28">
        <v>116</v>
      </c>
      <c r="W28">
        <v>114</v>
      </c>
      <c r="X28">
        <v>114</v>
      </c>
      <c r="Y28">
        <v>114</v>
      </c>
      <c r="Z28" s="2">
        <f>AVERAGE(Sheet1__12[[#This Row],[00:00:00]:[23:00:00]])</f>
        <v>118.45833333333333</v>
      </c>
      <c r="AA28" t="str" cm="1">
        <f t="array" ref="AA28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29" spans="1:27" x14ac:dyDescent="0.3">
      <c r="A29" s="1">
        <v>46019</v>
      </c>
      <c r="B29">
        <v>114</v>
      </c>
      <c r="C29">
        <v>114</v>
      </c>
      <c r="D29">
        <v>116</v>
      </c>
      <c r="E29">
        <v>116</v>
      </c>
      <c r="F29">
        <v>116</v>
      </c>
      <c r="G29">
        <v>116</v>
      </c>
      <c r="H29">
        <v>116</v>
      </c>
      <c r="I29">
        <v>116</v>
      </c>
      <c r="J29">
        <v>111</v>
      </c>
      <c r="K29">
        <v>111</v>
      </c>
      <c r="L29">
        <v>111</v>
      </c>
      <c r="M29">
        <v>111</v>
      </c>
      <c r="N29">
        <v>111</v>
      </c>
      <c r="O29">
        <v>112</v>
      </c>
      <c r="P29">
        <v>112</v>
      </c>
      <c r="Q29">
        <v>112</v>
      </c>
      <c r="R29">
        <v>113</v>
      </c>
      <c r="S29">
        <v>113</v>
      </c>
      <c r="T29">
        <v>113</v>
      </c>
      <c r="U29">
        <v>113</v>
      </c>
      <c r="V29">
        <v>114</v>
      </c>
      <c r="W29">
        <v>114</v>
      </c>
      <c r="X29">
        <v>115</v>
      </c>
      <c r="Y29">
        <v>116</v>
      </c>
      <c r="Z29" s="2">
        <f>AVERAGE(Sheet1__12[[#This Row],[00:00:00]:[23:00:00]])</f>
        <v>113.58333333333333</v>
      </c>
      <c r="AA29" t="str" cm="1">
        <f t="array" ref="AA29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0" spans="1:27" x14ac:dyDescent="0.3">
      <c r="A30" s="1">
        <v>46020</v>
      </c>
      <c r="B30">
        <v>117</v>
      </c>
      <c r="C30">
        <v>117</v>
      </c>
      <c r="D30">
        <v>117</v>
      </c>
      <c r="E30">
        <v>117</v>
      </c>
      <c r="F30">
        <v>118</v>
      </c>
      <c r="G30">
        <v>118</v>
      </c>
      <c r="H30">
        <v>119</v>
      </c>
      <c r="I30">
        <v>120</v>
      </c>
      <c r="J30">
        <v>121</v>
      </c>
      <c r="K30">
        <v>121</v>
      </c>
      <c r="L30">
        <v>122</v>
      </c>
      <c r="M30">
        <v>121</v>
      </c>
      <c r="N30">
        <v>121</v>
      </c>
      <c r="O30">
        <v>120</v>
      </c>
      <c r="P30">
        <v>120</v>
      </c>
      <c r="Q30">
        <v>119</v>
      </c>
      <c r="R30">
        <v>120</v>
      </c>
      <c r="S30">
        <v>120</v>
      </c>
      <c r="T30">
        <v>120</v>
      </c>
      <c r="U30">
        <v>120</v>
      </c>
      <c r="V30">
        <v>120</v>
      </c>
      <c r="W30">
        <v>124</v>
      </c>
      <c r="X30">
        <v>126</v>
      </c>
      <c r="Y30">
        <v>127</v>
      </c>
      <c r="Z30" s="2">
        <f>AVERAGE(Sheet1__12[[#This Row],[00:00:00]:[23:00:00]])</f>
        <v>120.20833333333333</v>
      </c>
      <c r="AA30" t="str" cm="1">
        <f t="array" ref="AA30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1" spans="1:27" x14ac:dyDescent="0.3">
      <c r="A31" s="1">
        <v>46021</v>
      </c>
      <c r="B31">
        <v>129</v>
      </c>
      <c r="C31">
        <v>133</v>
      </c>
      <c r="D31">
        <v>135</v>
      </c>
      <c r="E31">
        <v>126</v>
      </c>
      <c r="F31">
        <v>126</v>
      </c>
      <c r="G31">
        <v>125</v>
      </c>
      <c r="H31">
        <v>124</v>
      </c>
      <c r="I31">
        <v>123</v>
      </c>
      <c r="J31">
        <v>124</v>
      </c>
      <c r="K31">
        <v>124</v>
      </c>
      <c r="L31">
        <v>124</v>
      </c>
      <c r="M31">
        <v>126</v>
      </c>
      <c r="N31">
        <v>127</v>
      </c>
      <c r="O31">
        <v>127</v>
      </c>
      <c r="P31">
        <v>128</v>
      </c>
      <c r="Q31">
        <v>128</v>
      </c>
      <c r="R31">
        <v>127</v>
      </c>
      <c r="S31">
        <v>126</v>
      </c>
      <c r="T31">
        <v>125</v>
      </c>
      <c r="U31">
        <v>125</v>
      </c>
      <c r="V31">
        <v>124</v>
      </c>
      <c r="W31">
        <v>121</v>
      </c>
      <c r="X31">
        <v>118</v>
      </c>
      <c r="Y31">
        <v>116</v>
      </c>
      <c r="Z31" s="2">
        <f>AVERAGE(Sheet1__12[[#This Row],[00:00:00]:[23:00:00]])</f>
        <v>125.45833333333333</v>
      </c>
      <c r="AA31" t="str" cm="1">
        <f t="array" ref="AA31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2" spans="1:27" x14ac:dyDescent="0.3">
      <c r="A32" s="1">
        <v>46022</v>
      </c>
      <c r="B32">
        <v>112</v>
      </c>
      <c r="C32">
        <v>108</v>
      </c>
      <c r="D32">
        <v>106</v>
      </c>
      <c r="E32">
        <v>105</v>
      </c>
      <c r="F32">
        <v>104</v>
      </c>
      <c r="G32">
        <v>106</v>
      </c>
      <c r="H32">
        <v>107</v>
      </c>
      <c r="I32">
        <v>108</v>
      </c>
      <c r="J32">
        <v>108</v>
      </c>
      <c r="K32">
        <v>109</v>
      </c>
      <c r="L32">
        <v>110</v>
      </c>
      <c r="M32">
        <v>110</v>
      </c>
      <c r="N32">
        <v>124</v>
      </c>
      <c r="O32">
        <v>125</v>
      </c>
      <c r="P32">
        <v>124</v>
      </c>
      <c r="Q32">
        <v>124</v>
      </c>
      <c r="R32">
        <v>123</v>
      </c>
      <c r="S32">
        <v>123</v>
      </c>
      <c r="T32">
        <v>122</v>
      </c>
      <c r="U32">
        <v>121</v>
      </c>
      <c r="V32">
        <v>121</v>
      </c>
      <c r="W32">
        <v>119</v>
      </c>
      <c r="X32">
        <v>118</v>
      </c>
      <c r="Y32">
        <v>117</v>
      </c>
      <c r="Z32" s="2">
        <f>AVERAGE(Sheet1__12[[#This Row],[00:00:00]:[23:00:00]])</f>
        <v>114.75</v>
      </c>
      <c r="AA32" t="str" cm="1">
        <f t="array" ref="AA32">_xlfn.IFS(Sheet1__12[[#This Row],[AVERAGE AQI]]&lt;50,"GOOD",Sheet1__12[[#This Row],[AVERAGE AQI]]&lt;=100,"MODERATE",Sheet1__12[[#This Row],[AVERAGE AQI]]&lt;=150,"BAD",Sheet1__12[[#This Row],[AVERAGE AQI]]&lt;=200,"VERY BAD",Sheet1__12[[#This Row],[AVERAGE AQI]]&lt;=300,"HAZARDOUS")</f>
        <v>BAD</v>
      </c>
    </row>
    <row r="33" spans="26:27" x14ac:dyDescent="0.3">
      <c r="Z33" s="2">
        <f>AVERAGE(Sheet1__12[AVERAGE AQI])</f>
        <v>112.87213651238899</v>
      </c>
      <c r="AA33" s="3"/>
    </row>
  </sheetData>
  <conditionalFormatting sqref="AA1:AA1048576">
    <cfRule type="containsText" dxfId="2" priority="2" operator="containsText" text="BAD">
      <formula>NOT(ISERROR(SEARCH("BAD",AA1)))</formula>
    </cfRule>
    <cfRule type="containsText" dxfId="3" priority="1" operator="containsText" text="MODERATE">
      <formula>NOT(ISERROR(SEARCH("MODERATE",AA1)))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60E71-1791-4194-9B83-B03710316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omkarkusale18@gmail.com</dc:creator>
  <cp:lastModifiedBy>omkarkusale18@gmail.com</cp:lastModifiedBy>
  <dcterms:created xsi:type="dcterms:W3CDTF">2026-09-04T09:41:42Z</dcterms:created>
  <dcterms:modified xsi:type="dcterms:W3CDTF">2026-09-04T10:25:10Z</dcterms:modified>
</cp:coreProperties>
</file>
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AQI PROJECT\"/>
    </mc:Choice>
  </mc:AlternateContent>
  <xr:revisionPtr revIDLastSave="0" documentId="8_{E42FE9CF-9221-447B-844D-583123404273}" xr6:coauthVersionLast="47" xr6:coauthVersionMax="47" xr10:uidLastSave="{00000000-0000-0000-0000-000000000000}"/>
  <bookViews>
    <workbookView xWindow="-108" yWindow="-108" windowWidth="23256" windowHeight="12456" activeTab="11" xr2:uid="{CC4488B7-F24D-4CE8-B9D2-F08EF9FDD2A2}"/>
  </bookViews>
  <sheets>
    <sheet name="JAN" sheetId="2" r:id="rId1"/>
    <sheet name="FEB" sheetId="3" r:id="rId2"/>
    <sheet name="MAR" sheetId="4" r:id="rId3"/>
    <sheet name="APR" sheetId="5" r:id="rId4"/>
    <sheet name="MAY" sheetId="6" r:id="rId5"/>
    <sheet name="JUNE" sheetId="7" r:id="rId6"/>
    <sheet name="JUL" sheetId="8" r:id="rId7"/>
    <sheet name="AUG" sheetId="9" r:id="rId8"/>
    <sheet name="SEPT" sheetId="10" r:id="rId9"/>
    <sheet name="OCT" sheetId="11" r:id="rId10"/>
    <sheet name="NOV" sheetId="12" r:id="rId11"/>
    <sheet name="DEC" sheetId="13" r:id="rId12"/>
  </sheets>
  <definedNames>
    <definedName name="ExternalData_1" localSheetId="3" hidden="1">APR!$A$1:$Y$31</definedName>
    <definedName name="ExternalData_1" localSheetId="7" hidden="1">AUG!$A$1:$Y$32</definedName>
    <definedName name="ExternalData_1" localSheetId="11" hidden="1">DEC!$A$1:$Y$32</definedName>
    <definedName name="ExternalData_1" localSheetId="1" hidden="1">FEB!$A$1:$Y$29</definedName>
    <definedName name="ExternalData_1" localSheetId="0" hidden="1">JAN!$A$1:$Y$32</definedName>
    <definedName name="ExternalData_1" localSheetId="6" hidden="1">JUL!$A$1:$Y$32</definedName>
    <definedName name="ExternalData_1" localSheetId="5" hidden="1">JUNE!$A$1:$Y$31</definedName>
    <definedName name="ExternalData_1" localSheetId="2" hidden="1">MAR!$A$1:$Y$32</definedName>
    <definedName name="ExternalData_1" localSheetId="4" hidden="1">MAY!$A$1:$Y$32</definedName>
    <definedName name="ExternalData_1" localSheetId="10" hidden="1">NOV!$A$1:$Y$31</definedName>
    <definedName name="ExternalData_1" localSheetId="9" hidden="1">OCT!$A$1:$Y$32</definedName>
    <definedName name="ExternalData_1" localSheetId="8" hidden="1">SEPT!$A$1:$Y$31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3" i="13" l="1"/>
  <c r="Z32" i="12"/>
  <c r="Z33" i="11"/>
  <c r="Z3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2" i="13"/>
  <c r="AA2" i="13" a="1"/>
  <c r="AA3" i="13" a="1"/>
  <c r="AA4" i="13" a="1"/>
  <c r="AA5" i="13" a="1"/>
  <c r="AA6" i="13" a="1"/>
  <c r="AA7" i="13" a="1"/>
  <c r="AA8" i="13" a="1"/>
  <c r="AA9" i="13" a="1"/>
  <c r="AA10" i="13" a="1"/>
  <c r="AA11" i="13" a="1"/>
  <c r="AA12" i="13" a="1"/>
  <c r="AA13" i="13" a="1"/>
  <c r="AA14" i="13" a="1"/>
  <c r="AA15" i="13" a="1"/>
  <c r="AA16" i="13" a="1"/>
  <c r="AA17" i="13" a="1"/>
  <c r="AA18" i="13" a="1"/>
  <c r="AA19" i="13" a="1"/>
  <c r="AA20" i="13" a="1"/>
  <c r="AA21" i="13" a="1"/>
  <c r="AA22" i="13" a="1"/>
  <c r="AA23" i="13" a="1"/>
  <c r="AA24" i="13" a="1"/>
  <c r="AA25" i="13" a="1"/>
  <c r="AA26" i="13" a="1"/>
  <c r="AA27" i="13" a="1"/>
  <c r="AA28" i="13" a="1"/>
  <c r="AA29" i="13" a="1"/>
  <c r="AA30" i="13" a="1"/>
  <c r="AA31" i="13" a="1"/>
  <c r="AA32" i="13" a="1"/>
  <c r="Z3" i="12"/>
  <c r="Z4" i="12"/>
  <c r="Z5" i="12"/>
  <c r="Z6" i="12"/>
  <c r="Z7" i="12"/>
  <c r="Z8" i="12"/>
  <c r="Z9" i="12"/>
  <c r="AA9" i="12" s="1" a="1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2" i="12"/>
  <c r="AA2" i="12" a="1"/>
  <c r="AA3" i="12" a="1"/>
  <c r="AA4" i="12" a="1"/>
  <c r="AA5" i="12" a="1"/>
  <c r="AA6" i="12" a="1"/>
  <c r="AA7" i="12" a="1"/>
  <c r="AA8" i="12" a="1"/>
  <c r="AA10" i="12" a="1"/>
  <c r="AA11" i="12" a="1"/>
  <c r="AA12" i="12" a="1"/>
  <c r="AA13" i="12" a="1"/>
  <c r="AA14" i="12" a="1"/>
  <c r="AA15" i="12" a="1"/>
  <c r="AA16" i="12" a="1"/>
  <c r="AA17" i="12" a="1"/>
  <c r="AA18" i="12" a="1"/>
  <c r="AA19" i="12" a="1"/>
  <c r="AA20" i="12" a="1"/>
  <c r="AA21" i="12" a="1"/>
  <c r="AA22" i="12" a="1"/>
  <c r="AA23" i="12" a="1"/>
  <c r="AA24" i="12" a="1"/>
  <c r="AA25" i="12" a="1"/>
  <c r="AA26" i="12" a="1"/>
  <c r="AA27" i="12" a="1"/>
  <c r="AA28" i="12" a="1"/>
  <c r="AA29" i="12" a="1"/>
  <c r="AA30" i="12" a="1"/>
  <c r="AA31" i="12" a="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AA2" i="11" a="1"/>
  <c r="AA3" i="11" a="1"/>
  <c r="AA4" i="11" a="1"/>
  <c r="AA5" i="11" a="1"/>
  <c r="AA6" i="11" a="1"/>
  <c r="AA7" i="11" a="1"/>
  <c r="AA8" i="11" a="1"/>
  <c r="AA9" i="11" a="1"/>
  <c r="AA10" i="11" a="1"/>
  <c r="AA11" i="11" a="1"/>
  <c r="AA12" i="11" a="1"/>
  <c r="AA13" i="11" a="1"/>
  <c r="AA14" i="11" a="1"/>
  <c r="AA15" i="11" a="1"/>
  <c r="AA16" i="11" a="1"/>
  <c r="AA17" i="11" a="1"/>
  <c r="AA18" i="11" a="1"/>
  <c r="AA19" i="11" a="1"/>
  <c r="AA20" i="11" a="1"/>
  <c r="AA21" i="11" a="1"/>
  <c r="AA22" i="11" a="1"/>
  <c r="AA23" i="11" a="1"/>
  <c r="AA24" i="11" a="1"/>
  <c r="AA25" i="11" a="1"/>
  <c r="AA26" i="11" a="1"/>
  <c r="AA27" i="11" a="1"/>
  <c r="AA28" i="11" a="1"/>
  <c r="AA29" i="11" a="1"/>
  <c r="AA30" i="11" a="1"/>
  <c r="AA31" i="11" a="1"/>
  <c r="AA32" i="11" a="1"/>
  <c r="Z3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2" i="10"/>
  <c r="AA2" i="10" a="1"/>
  <c r="AA3" i="10" a="1"/>
  <c r="AA4" i="10" a="1"/>
  <c r="AA5" i="10" a="1"/>
  <c r="AA6" i="10" a="1"/>
  <c r="AA7" i="10" a="1"/>
  <c r="AA8" i="10" a="1"/>
  <c r="AA9" i="10" a="1"/>
  <c r="AA10" i="10" a="1"/>
  <c r="AA11" i="10" a="1"/>
  <c r="AA12" i="10" a="1"/>
  <c r="AA13" i="10" a="1"/>
  <c r="AA14" i="10" a="1"/>
  <c r="AA15" i="10" a="1"/>
  <c r="AA16" i="10" a="1"/>
  <c r="AA17" i="10" a="1"/>
  <c r="AA18" i="10" a="1"/>
  <c r="AA19" i="10" a="1"/>
  <c r="AA20" i="10" a="1"/>
  <c r="AA21" i="10" a="1"/>
  <c r="AA22" i="10" a="1"/>
  <c r="AA23" i="10" a="1"/>
  <c r="AA24" i="10" a="1"/>
  <c r="AA25" i="10" a="1"/>
  <c r="AA26" i="10" a="1"/>
  <c r="AA27" i="10" a="1"/>
  <c r="AA28" i="10" a="1"/>
  <c r="AA29" i="10" a="1"/>
  <c r="AA30" i="10" a="1"/>
  <c r="AA31" i="10" a="1"/>
  <c r="Z33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2" i="9"/>
  <c r="AA2" i="9" a="1"/>
  <c r="AA3" i="9" a="1"/>
  <c r="AA4" i="9" a="1"/>
  <c r="AA5" i="9" a="1"/>
  <c r="AA6" i="9" a="1"/>
  <c r="AA7" i="9" a="1"/>
  <c r="AA8" i="9" a="1"/>
  <c r="AA9" i="9" a="1"/>
  <c r="AA10" i="9" a="1"/>
  <c r="AA11" i="9" a="1"/>
  <c r="AA12" i="9" a="1"/>
  <c r="AA13" i="9" a="1"/>
  <c r="AA14" i="9" a="1"/>
  <c r="AA15" i="9" a="1"/>
  <c r="AA16" i="9" a="1"/>
  <c r="AA17" i="9" a="1"/>
  <c r="AA18" i="9" a="1"/>
  <c r="AA19" i="9" a="1"/>
  <c r="AA20" i="9" a="1"/>
  <c r="AA21" i="9" a="1"/>
  <c r="AA22" i="9" a="1"/>
  <c r="AA23" i="9" a="1"/>
  <c r="AA24" i="9" a="1"/>
  <c r="AA25" i="9" a="1"/>
  <c r="AA26" i="9" a="1"/>
  <c r="AA27" i="9" a="1"/>
  <c r="AA28" i="9" a="1"/>
  <c r="AA29" i="9" a="1"/>
  <c r="AA30" i="9" a="1"/>
  <c r="AA31" i="9" a="1"/>
  <c r="AA32" i="9" a="1"/>
  <c r="Z33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2" i="8"/>
  <c r="AA2" i="8" a="1"/>
  <c r="AA3" i="8" a="1"/>
  <c r="AA4" i="8" a="1"/>
  <c r="AA5" i="8" a="1"/>
  <c r="AA6" i="8" a="1"/>
  <c r="AA7" i="8" a="1"/>
  <c r="AA8" i="8" a="1"/>
  <c r="AA9" i="8" a="1"/>
  <c r="AA10" i="8" a="1"/>
  <c r="AA11" i="8" a="1"/>
  <c r="AA12" i="8" a="1"/>
  <c r="AA13" i="8" a="1"/>
  <c r="AA14" i="8" a="1"/>
  <c r="AA15" i="8" a="1"/>
  <c r="AA16" i="8" a="1"/>
  <c r="AA17" i="8" a="1"/>
  <c r="AA18" i="8" a="1"/>
  <c r="AA19" i="8" a="1"/>
  <c r="AA20" i="8" a="1"/>
  <c r="AA21" i="8" a="1"/>
  <c r="AA22" i="8" a="1"/>
  <c r="AA23" i="8" a="1"/>
  <c r="AA24" i="8" a="1"/>
  <c r="AA25" i="8" a="1"/>
  <c r="AA26" i="8" a="1"/>
  <c r="AA27" i="8" a="1"/>
  <c r="AA28" i="8" a="1"/>
  <c r="AA29" i="8" a="1"/>
  <c r="AA30" i="8" a="1"/>
  <c r="AA31" i="8" a="1"/>
  <c r="AA32" i="8" a="1"/>
  <c r="Z32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2" i="7"/>
  <c r="AA2" i="7" a="1"/>
  <c r="AA3" i="7" a="1"/>
  <c r="AA4" i="7" a="1"/>
  <c r="AA5" i="7" a="1"/>
  <c r="AA6" i="7" a="1"/>
  <c r="AA7" i="7" a="1"/>
  <c r="AA8" i="7" a="1"/>
  <c r="AA9" i="7" a="1"/>
  <c r="AA10" i="7" a="1"/>
  <c r="AA11" i="7" a="1"/>
  <c r="AA12" i="7" a="1"/>
  <c r="AA13" i="7" a="1"/>
  <c r="AA14" i="7" a="1"/>
  <c r="AA15" i="7" a="1"/>
  <c r="AA16" i="7" a="1"/>
  <c r="AA17" i="7" a="1"/>
  <c r="AA18" i="7" a="1"/>
  <c r="AA19" i="7" a="1"/>
  <c r="AA20" i="7" a="1"/>
  <c r="AA21" i="7" a="1"/>
  <c r="AA22" i="7" a="1"/>
  <c r="AA23" i="7" a="1"/>
  <c r="AA24" i="7" a="1"/>
  <c r="AA25" i="7" a="1"/>
  <c r="AA26" i="7" a="1"/>
  <c r="AA27" i="7" a="1"/>
  <c r="AA28" i="7" a="1"/>
  <c r="AA29" i="7" a="1"/>
  <c r="AA30" i="7" a="1"/>
  <c r="AA31" i="7" a="1"/>
  <c r="Z3" i="6"/>
  <c r="Z4" i="6"/>
  <c r="AA4" i="6" s="1" a="1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2" i="6"/>
  <c r="Z33" i="6" s="1"/>
  <c r="AA2" i="6" a="1"/>
  <c r="AA3" i="6" a="1"/>
  <c r="AA5" i="6" a="1"/>
  <c r="AA6" i="6" a="1"/>
  <c r="AA7" i="6" a="1"/>
  <c r="AA8" i="6" a="1"/>
  <c r="AA9" i="6" a="1"/>
  <c r="AA10" i="6" a="1"/>
  <c r="AA11" i="6" a="1"/>
  <c r="AA12" i="6" a="1"/>
  <c r="AA13" i="6" a="1"/>
  <c r="AA14" i="6" a="1"/>
  <c r="AA15" i="6" a="1"/>
  <c r="AA16" i="6" a="1"/>
  <c r="AA17" i="6" a="1"/>
  <c r="AA18" i="6" a="1"/>
  <c r="AA19" i="6" a="1"/>
  <c r="AA20" i="6" a="1"/>
  <c r="AA21" i="6" a="1"/>
  <c r="AA22" i="6" a="1"/>
  <c r="AA23" i="6" a="1"/>
  <c r="AA24" i="6" a="1"/>
  <c r="AA25" i="6" a="1"/>
  <c r="AA26" i="6" a="1"/>
  <c r="AA27" i="6" a="1"/>
  <c r="AA28" i="6" a="1"/>
  <c r="AA29" i="6" a="1"/>
  <c r="AA30" i="6" a="1"/>
  <c r="AA31" i="6" a="1"/>
  <c r="AA32" i="6" a="1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2" i="5"/>
  <c r="Z32" i="5" s="1"/>
  <c r="AA2" i="5" a="1"/>
  <c r="AA3" i="5" a="1"/>
  <c r="AA4" i="5" a="1"/>
  <c r="AA5" i="5" a="1"/>
  <c r="AA6" i="5" a="1"/>
  <c r="AA7" i="5" a="1"/>
  <c r="AA8" i="5" a="1"/>
  <c r="AA9" i="5" a="1"/>
  <c r="AA10" i="5" a="1"/>
  <c r="AA11" i="5" a="1"/>
  <c r="AA12" i="5" a="1"/>
  <c r="AA13" i="5" a="1"/>
  <c r="AA14" i="5" a="1"/>
  <c r="AA15" i="5" a="1"/>
  <c r="AA16" i="5" a="1"/>
  <c r="AA17" i="5" a="1"/>
  <c r="AA18" i="5" a="1"/>
  <c r="AA19" i="5" a="1"/>
  <c r="AA20" i="5" a="1"/>
  <c r="AA21" i="5" a="1"/>
  <c r="AA22" i="5" a="1"/>
  <c r="AA23" i="5" a="1"/>
  <c r="AA24" i="5" a="1"/>
  <c r="AA25" i="5" a="1"/>
  <c r="AA26" i="5" a="1"/>
  <c r="AA27" i="5" a="1"/>
  <c r="AA28" i="5" a="1"/>
  <c r="AA29" i="5" a="1"/>
  <c r="AA30" i="5" a="1"/>
  <c r="AA31" i="5" a="1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2" i="4"/>
  <c r="Z33" i="4" s="1"/>
  <c r="AA2" i="4" a="1"/>
  <c r="AA3" i="4" a="1"/>
  <c r="AA4" i="4" a="1"/>
  <c r="AA5" i="4" a="1"/>
  <c r="AA6" i="4" a="1"/>
  <c r="AA7" i="4" a="1"/>
  <c r="AA8" i="4" a="1"/>
  <c r="AA9" i="4" a="1"/>
  <c r="AA10" i="4" a="1"/>
  <c r="AA11" i="4" a="1"/>
  <c r="AA12" i="4" a="1"/>
  <c r="AA13" i="4" a="1"/>
  <c r="AA14" i="4" a="1"/>
  <c r="AA15" i="4" a="1"/>
  <c r="AA16" i="4" a="1"/>
  <c r="AA17" i="4" a="1"/>
  <c r="AA18" i="4" a="1"/>
  <c r="AA19" i="4" a="1"/>
  <c r="AA20" i="4" a="1"/>
  <c r="AA21" i="4" a="1"/>
  <c r="AA22" i="4" a="1"/>
  <c r="AA23" i="4" a="1"/>
  <c r="AA24" i="4" a="1"/>
  <c r="AA25" i="4" a="1"/>
  <c r="AA26" i="4" a="1"/>
  <c r="AA27" i="4" a="1"/>
  <c r="AA28" i="4" a="1"/>
  <c r="AA29" i="4" a="1"/>
  <c r="AA30" i="4" a="1"/>
  <c r="AA31" i="4" a="1"/>
  <c r="AA32" i="4" a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2" i="3"/>
  <c r="Z30" i="3" s="1"/>
  <c r="AA2" i="3" a="1"/>
  <c r="AA3" i="3" a="1"/>
  <c r="AA4" i="3" a="1"/>
  <c r="AA5" i="3" a="1"/>
  <c r="AA6" i="3" a="1"/>
  <c r="AA7" i="3" a="1"/>
  <c r="AA8" i="3" a="1"/>
  <c r="AA9" i="3" a="1"/>
  <c r="AA10" i="3" a="1"/>
  <c r="AA11" i="3" a="1"/>
  <c r="AA12" i="3" a="1"/>
  <c r="AA13" i="3" a="1"/>
  <c r="AA14" i="3" a="1"/>
  <c r="AA15" i="3" a="1"/>
  <c r="AA16" i="3" a="1"/>
  <c r="AA17" i="3" a="1"/>
  <c r="AA18" i="3" a="1"/>
  <c r="AA19" i="3" a="1"/>
  <c r="AA20" i="3" a="1"/>
  <c r="AA21" i="3" a="1"/>
  <c r="AA22" i="3" a="1"/>
  <c r="AA23" i="3" a="1"/>
  <c r="AA24" i="3" a="1"/>
  <c r="AA25" i="3" a="1"/>
  <c r="AA26" i="3" a="1"/>
  <c r="AA27" i="3" a="1"/>
  <c r="AA28" i="3" a="1"/>
  <c r="AA29" i="3" a="1"/>
  <c r="Z3" i="2"/>
  <c r="AA3" i="2" s="1" a="1"/>
  <c r="Z4" i="2"/>
  <c r="AA4" i="2" s="1" a="1"/>
  <c r="Z5" i="2"/>
  <c r="AA5" i="2" s="1" a="1"/>
  <c r="Z6" i="2"/>
  <c r="AA6" i="2" s="1" a="1"/>
  <c r="Z7" i="2"/>
  <c r="AA7" i="2" s="1" a="1"/>
  <c r="Z8" i="2"/>
  <c r="AA8" i="2" s="1" a="1"/>
  <c r="Z9" i="2"/>
  <c r="AA9" i="2" s="1" a="1"/>
  <c r="Z10" i="2"/>
  <c r="AA10" i="2" s="1" a="1"/>
  <c r="Z11" i="2"/>
  <c r="AA11" i="2" s="1" a="1"/>
  <c r="Z12" i="2"/>
  <c r="AA12" i="2" s="1" a="1"/>
  <c r="Z13" i="2"/>
  <c r="AA13" i="2" s="1" a="1"/>
  <c r="Z14" i="2"/>
  <c r="AA14" i="2" s="1" a="1"/>
  <c r="Z15" i="2"/>
  <c r="AA15" i="2" s="1" a="1"/>
  <c r="Z16" i="2"/>
  <c r="AA16" i="2" s="1" a="1"/>
  <c r="Z17" i="2"/>
  <c r="AA17" i="2" s="1" a="1"/>
  <c r="Z18" i="2"/>
  <c r="AA18" i="2" s="1" a="1"/>
  <c r="Z19" i="2"/>
  <c r="AA19" i="2" s="1" a="1"/>
  <c r="Z20" i="2"/>
  <c r="AA20" i="2" s="1" a="1"/>
  <c r="Z21" i="2"/>
  <c r="AA21" i="2" s="1" a="1"/>
  <c r="Z22" i="2"/>
  <c r="AA22" i="2" s="1" a="1"/>
  <c r="Z23" i="2"/>
  <c r="AA23" i="2" s="1" a="1"/>
  <c r="Z24" i="2"/>
  <c r="AA24" i="2" s="1" a="1"/>
  <c r="Z25" i="2"/>
  <c r="AA25" i="2" s="1" a="1"/>
  <c r="Z26" i="2"/>
  <c r="AA26" i="2" s="1" a="1"/>
  <c r="Z27" i="2"/>
  <c r="AA27" i="2" s="1" a="1"/>
  <c r="Z28" i="2"/>
  <c r="AA28" i="2" s="1" a="1"/>
  <c r="Z29" i="2"/>
  <c r="AA29" i="2" s="1" a="1"/>
  <c r="Z30" i="2"/>
  <c r="AA30" i="2" s="1" a="1"/>
  <c r="Z31" i="2"/>
  <c r="AA31" i="2" s="1" a="1"/>
  <c r="Z32" i="2"/>
  <c r="AA32" i="2" s="1" a="1"/>
  <c r="Z2" i="2"/>
  <c r="AA2" i="2" s="1" a="1"/>
  <c r="Z3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267D58-6A7B-4FFF-9BF4-FB295CAFCD0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65F8F439-0BEE-413B-8DD1-AF75B4E9CCBC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4BC47782-53B8-4550-BFA9-B17082FB212D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567F1291-3FD3-4737-92C8-2CC55527543E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B1BE6F4A-F3B9-45A1-B1DE-CD440EE6B4FF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6" xr16:uid="{81AC0481-A001-41D6-9F84-367025F77E49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7" xr16:uid="{B438C59B-7618-4938-8FD1-60C2A9A14E86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8" xr16:uid="{858DEF14-3745-4B1F-9D48-5911BAEADE43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9" xr16:uid="{066B9029-8173-4094-838D-0EDBA1BDC3DB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0" xr16:uid="{2A7C0AA9-06A2-4CD0-8A0B-172B985EA841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11" xr16:uid="{AFDF97BB-5383-475D-AA9B-1C9E524AE91C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12" xr16:uid="{D81357BD-7BFD-4FDF-BDEA-95F77FA62450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<sst xmlns="http://schemas.openxmlformats.org/spreadsheetml/2006/main" count="324" uniqueCount="27">
  <si>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</si>
  <si>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</si>
  <si>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</si>
  <si>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</si>
  <si>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</si>
  <si>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</si>
  <si>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</si>
  <si>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</si>
  <si>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</si>
  <si>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</si>
  <si>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</si>
  <si>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</si>
  <si>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</si>
  <si>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</si>
  <si>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</si>
  <si>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</si>
  <si>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</si>
  <si>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</si>
  <si>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</si>
  <si>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</si>
  <si>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</si>
  <si>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</si>
  <si>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</si>
  <si>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</si>
  <si>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</si>
  <si>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AVERAGE AQI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</si>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</sst>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8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E4F134-F03C-4832-A93C-7E5C41716123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CE09301-1D0A-4F05-92B3-28FCF7805B77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3DAFC09-26A0-4D8F-A56F-7EE9B8930B37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FCA5F51-B0A5-4559-8BF3-EECA4F3FED2D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8FE6E52-FE6C-4658-8DCB-E26B45191379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0D2BFD0-DD69-40CA-A7B0-8DEE62AD3E77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8E51E74-A5C1-4A98-AA87-DD1966ECC9CD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E29C432-717E-42FB-8E73-D7036DF48660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2A2DAD6-220D-4871-8FF1-175F41426851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0269BBA-BCBE-435A-99CB-A38A6F93CCAF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ABC3B2A-E13C-4C00-A89F-E0B2D542A01B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434FDF8-9FEE-4D01-B7AF-A9ABD1BA9F27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A5201-05CD-4192-A358-13E9E7FE0B87}" name="Sheet1" displayName="Sheet1" ref="A1:AA33" tableType="queryTable" totalsRowCount="1">
  <autoFilter ref="A1:AA32" xr:uid="{545A5201-05CD-4192-A358-13E9E7FE0B87}"/>
  <tableColumns count="27">
    <tableColumn id="1" xr3:uid="{B3432D4E-BF82-4477-9D37-23C6CD058773}" uniqueName="1" name="Date" queryTableFieldId="1"/>
    <tableColumn id="2" xr3:uid="{1EE22768-74F5-484E-B782-DB3934862492}" uniqueName="2" name="00:00:00" queryTableFieldId="2"/>
    <tableColumn id="3" xr3:uid="{FCFC3249-A852-46BF-BEB4-15442630735B}" uniqueName="3" name="01:00:00" queryTableFieldId="3"/>
    <tableColumn id="4" xr3:uid="{AA39E677-67BB-450A-BE89-3C64C8DD1148}" uniqueName="4" name="02:00:00" queryTableFieldId="4"/>
    <tableColumn id="5" xr3:uid="{6B63B514-F3C3-4DD2-AF19-2483622CF27C}" uniqueName="5" name="03:00:00" queryTableFieldId="5"/>
    <tableColumn id="6" xr3:uid="{EFB8BFAA-16A6-4304-BBE9-56EA1FB6D6DB}" uniqueName="6" name="04:00:00" queryTableFieldId="6"/>
    <tableColumn id="7" xr3:uid="{974C8363-B50D-45F8-B6C3-94D025CAF54E}" uniqueName="7" name="05:00:00" queryTableFieldId="7"/>
    <tableColumn id="8" xr3:uid="{80896590-6171-458A-8BF8-AD5A586BBB71}" uniqueName="8" name="06:00:00" queryTableFieldId="8"/>
    <tableColumn id="9" xr3:uid="{8B502706-6F11-41CD-A07D-A63953949337}" uniqueName="9" name="07:00:00" queryTableFieldId="9"/>
    <tableColumn id="10" xr3:uid="{C133BCF3-8DD5-4F60-8EF6-C7B8EC7E9BAD}" uniqueName="10" name="08:00:00" queryTableFieldId="10"/>
    <tableColumn id="11" xr3:uid="{33C98B29-29E8-46C5-8C61-F600B3B7B131}" uniqueName="11" name="09:00:00" queryTableFieldId="11"/>
    <tableColumn id="12" xr3:uid="{012DEB05-ECEE-4DCA-AE10-63AC022EBBCF}" uniqueName="12" name="10:00:00" queryTableFieldId="12"/>
    <tableColumn id="13" xr3:uid="{89259E98-2B13-49A7-9315-14089D556539}" uniqueName="13" name="11:00:00" queryTableFieldId="13"/>
    <tableColumn id="14" xr3:uid="{05A43829-C350-4C9D-8202-FC7565A3CD11}" uniqueName="14" name="12:00:00" queryTableFieldId="14"/>
    <tableColumn id="15" xr3:uid="{1DFC4471-3862-4F20-B11E-E1F303322BEE}" uniqueName="15" name="13:00:00" queryTableFieldId="15"/>
    <tableColumn id="16" xr3:uid="{D262BD96-5A64-491E-8A9F-6D46A98CEA05}" uniqueName="16" name="14:00:00" queryTableFieldId="16"/>
    <tableColumn id="17" xr3:uid="{80904E31-20EC-489D-86CC-1C313B606551}" uniqueName="17" name="15:00:00" queryTableFieldId="17"/>
    <tableColumn id="18" xr3:uid="{44329C51-C588-4AFB-94C1-BDB94D6535FA}" uniqueName="18" name="16:00:00" queryTableFieldId="18"/>
    <tableColumn id="19" xr3:uid="{8DECD8D6-CF83-4FD9-B248-59335CF2F843}" uniqueName="19" name="17:00:00" queryTableFieldId="19"/>
    <tableColumn id="20" xr3:uid="{1F70B959-E6F2-4F9F-9F39-92B188C02879}" uniqueName="20" name="18:00:00" queryTableFieldId="20"/>
    <tableColumn id="21" xr3:uid="{B05AC1D3-F336-45A2-948F-EAB873342ED4}" uniqueName="21" name="19:00:00" queryTableFieldId="21"/>
    <tableColumn id="22" xr3:uid="{A548EE3C-9DA1-4592-9FFD-2048CFC4CB62}" uniqueName="22" name="20:00:00" queryTableFieldId="22"/>
    <tableColumn id="23" xr3:uid="{6770636F-6A9D-4A12-9F44-767C8F43A4BE}" uniqueName="23" name="21:00:00" queryTableFieldId="23"/>
    <tableColumn id="24" xr3:uid="{AE74AA51-6DDE-4EEB-A40B-117F601F03F6}" uniqueName="24" name="22:00:00" queryTableFieldId="24"/>
    <tableColumn id="25" xr3:uid="{7C98A227-E64D-4844-B154-8936C60CC939}" uniqueName="25" name="23:00:00" queryTableFieldId="25"/>
    <tableColumn id="26" xr3:uid="{59AE3349-0B97-4C9B-8CD8-057BE6A198BF}" uniqueName="26" name="AVERAGE AQI" totalsRowFunction="custom" queryTableFieldId="26" dataDxfId="87" totalsRowDxfId="86">
      <calculatedColumnFormula>AVERAGE(Sheet1[[#This Row],[00:00:00]:[23:00:00]])</calculatedColumnFormula>
      <totalsRowFormula>AVERAGE(Sheet1[AVERAGE AQI])</totalsRowFormula>
    </tableColumn>
    <tableColumn id="27" xr3:uid="{03A420A0-D969-4874-8AA8-B3BF177AD569}" uniqueName="27" name="QUALITY" queryTableFieldId="27" dataDxfId="85">
      <calculatedColumnFormula array="1">_xlfn.IFS(Sheet1[[#This Row],[AVERAGE AQI]]&lt;50,"GOOD",Sheet1[[#This Row],[AVERAGE AQI]]&lt;=100,"MODERATE",Sheet1[[#This Row],[AVERAGE AQI]]&lt;=150,"BAD",Sheet1[[#This Row],[AVERAGE AQI]]&lt;=200,"VERY BAD",Sheet1[[#This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08E6A2-7AAE-4CF7-940F-B078F2F8FCEC}" name="Sheet1__2" displayName="Sheet1__2" ref="A1:AA30" tableType="queryTable" totalsRowCount="1">
  <autoFilter ref="A1:AA29" xr:uid="{4708E6A2-7AAE-4CF7-940F-B078F2F8FCEC}"/>
  <tableColumns count="27">
    <tableColumn id="1" xr3:uid="{4E3CCDAD-9597-4C2A-B7BA-A965C1CF6DF4}" uniqueName="1" name="Date" queryTableFieldId="1"/>
    <tableColumn id="2" xr3:uid="{54358CC4-68F3-4740-90B5-F7268DB62E73}" uniqueName="2" name="00:00:00" queryTableFieldId="2"/>
    <tableColumn id="3" xr3:uid="{A4BA5D1F-1CC4-4BFA-8F77-50F4EECC8C30}" uniqueName="3" name="01:00:00" queryTableFieldId="3"/>
    <tableColumn id="4" xr3:uid="{AB291A2E-16D5-4558-A6E5-BEFD6863C3B6}" uniqueName="4" name="02:00:00" queryTableFieldId="4"/>
    <tableColumn id="5" xr3:uid="{16F2DD36-9411-4D41-A7E6-6D51ADAC9833}" uniqueName="5" name="03:00:00" queryTableFieldId="5"/>
    <tableColumn id="6" xr3:uid="{B6677114-F351-4780-A9BC-B010C88434C4}" uniqueName="6" name="04:00:00" queryTableFieldId="6"/>
    <tableColumn id="7" xr3:uid="{D4091683-9422-4178-A5B2-EA40F40E5E9B}" uniqueName="7" name="05:00:00" queryTableFieldId="7"/>
    <tableColumn id="8" xr3:uid="{B4124BBA-0CCF-4CCB-BCD6-EC4B8F012668}" uniqueName="8" name="06:00:00" queryTableFieldId="8"/>
    <tableColumn id="9" xr3:uid="{723BE35D-1F88-4AAE-A42E-5508A2B3E7DB}" uniqueName="9" name="07:00:00" queryTableFieldId="9"/>
    <tableColumn id="10" xr3:uid="{F40B2CB1-E402-4448-97D5-A5C069414BF0}" uniqueName="10" name="08:00:00" queryTableFieldId="10"/>
    <tableColumn id="11" xr3:uid="{B9FD3B89-894A-4502-95B5-4299F6A2D01F}" uniqueName="11" name="09:00:00" queryTableFieldId="11"/>
    <tableColumn id="12" xr3:uid="{750ED655-0622-4FB2-AA86-C5197C8F2F34}" uniqueName="12" name="10:00:00" queryTableFieldId="12"/>
    <tableColumn id="13" xr3:uid="{EEE42262-CABC-4C42-9198-BD713AA9273E}" uniqueName="13" name="11:00:00" queryTableFieldId="13"/>
    <tableColumn id="14" xr3:uid="{1FB535B7-B268-4D53-8EA7-172DA78F5259}" uniqueName="14" name="12:00:00" queryTableFieldId="14"/>
    <tableColumn id="15" xr3:uid="{C94041FE-82DB-4193-A5A9-DD79710F80C5}" uniqueName="15" name="13:00:00" queryTableFieldId="15"/>
    <tableColumn id="16" xr3:uid="{F851AAA8-11C1-4A2A-A5F9-0EAE40FC5725}" uniqueName="16" name="14:00:00" queryTableFieldId="16"/>
    <tableColumn id="17" xr3:uid="{BFB630E8-AEC7-402F-B280-A89BCB311B43}" uniqueName="17" name="15:00:00" queryTableFieldId="17"/>
    <tableColumn id="18" xr3:uid="{1FECD602-0107-45D1-9D33-F72CE92A777C}" uniqueName="18" name="16:00:00" queryTableFieldId="18"/>
    <tableColumn id="19" xr3:uid="{F47676EF-56C9-41B3-B29A-4E42E92F809D}" uniqueName="19" name="17:00:00" queryTableFieldId="19"/>
    <tableColumn id="20" xr3:uid="{12299A5B-0179-478A-9CC0-C1CDF51B1035}" uniqueName="20" name="18:00:00" queryTableFieldId="20"/>
    <tableColumn id="21" xr3:uid="{41738814-0F3F-4B31-A7F9-07AE8C99B529}" uniqueName="21" name="19:00:00" queryTableFieldId="21"/>
    <tableColumn id="22" xr3:uid="{6F0FA44C-E60B-4634-8431-FECF12BC67A8}" uniqueName="22" name="20:00:00" queryTableFieldId="22"/>
    <tableColumn id="23" xr3:uid="{7D2014D2-3697-4725-B377-04381CABE309}" uniqueName="23" name="21:00:00" queryTableFieldId="23"/>
    <tableColumn id="24" xr3:uid="{274325EE-9433-4DC9-B56B-04DFC0C1FF7D}" uniqueName="24" name="22:00:00" queryTableFieldId="24"/>
    <tableColumn id="25" xr3:uid="{B91F30A7-5840-4A5C-B2ED-1A9B1FD9C80A}" uniqueName="25" name="23:00:00" queryTableFieldId="25"/>
    <tableColumn id="26" xr3:uid="{0FAFA80C-CC7F-440A-AEF8-D4321931E9EC}" uniqueName="26" name="AVERAGE AQI" totalsRowFunction="custom" queryTableFieldId="26" dataDxfId="80" totalsRowDxfId="76">
      <calculatedColumnFormula>AVERAGE(Sheet1__2[[#This Row],[00:00:00]:[23:00:00]])</calculatedColumnFormula>
      <totalsRowFormula>AVERAGE(Sheet1__2[AVERAGE AQI])</totalsRowFormula>
    </tableColumn>
    <tableColumn id="27" xr3:uid="{3B181511-AABD-4502-BF22-D21DC5EB4BD1}" uniqueName="27" name="QUALITY" queryTableFieldId="27" dataDxfId="81" totalsRowDxfId="77">
      <calculatedColumnFormula array="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48DAD7-2003-4617-86B1-0B321BB64E8D}" name="Sheet1__3" displayName="Sheet1__3" ref="A1:AA33" tableType="queryTable" totalsRowCount="1">
  <autoFilter ref="A1:AA32" xr:uid="{8348DAD7-2003-4617-86B1-0B321BB64E8D}"/>
  <tableColumns count="27">
    <tableColumn id="1" xr3:uid="{6112C16D-5E8E-48E7-B328-AFB7C8882903}" uniqueName="1" name="Date" queryTableFieldId="1"/>
    <tableColumn id="2" xr3:uid="{90ECB015-8918-4FB0-A9B5-00FB1969BD8B}" uniqueName="2" name="00:00:00" queryTableFieldId="2"/>
    <tableColumn id="3" xr3:uid="{BFBD0D7F-1E2E-414E-9F9A-D3BBD9E45A5F}" uniqueName="3" name="01:00:00" queryTableFieldId="3"/>
    <tableColumn id="4" xr3:uid="{EBBC63BF-8EFE-44F3-A811-D5EBFC118604}" uniqueName="4" name="02:00:00" queryTableFieldId="4"/>
    <tableColumn id="5" xr3:uid="{6182DA7D-553F-4DC3-A006-41C85F7563DE}" uniqueName="5" name="03:00:00" queryTableFieldId="5"/>
    <tableColumn id="6" xr3:uid="{4073311C-4831-4F43-9625-0070A6309BA5}" uniqueName="6" name="04:00:00" queryTableFieldId="6"/>
    <tableColumn id="7" xr3:uid="{2C682FAF-47D0-467F-98B3-25CAE803577F}" uniqueName="7" name="05:00:00" queryTableFieldId="7"/>
    <tableColumn id="8" xr3:uid="{A00D36CC-6F5A-4362-B152-757663C74A87}" uniqueName="8" name="06:00:00" queryTableFieldId="8"/>
    <tableColumn id="9" xr3:uid="{6D42EF04-D207-48B9-91A8-3BF214C66626}" uniqueName="9" name="07:00:00" queryTableFieldId="9"/>
    <tableColumn id="10" xr3:uid="{4C7B5A86-C03F-431A-8829-FC247FE32AEE}" uniqueName="10" name="08:00:00" queryTableFieldId="10"/>
    <tableColumn id="11" xr3:uid="{642138E0-D45A-42A2-8C57-2DCF98E373CF}" uniqueName="11" name="09:00:00" queryTableFieldId="11"/>
    <tableColumn id="12" xr3:uid="{16402B23-40A5-47AB-9BDD-D0ACA51DA436}" uniqueName="12" name="10:00:00" queryTableFieldId="12"/>
    <tableColumn id="13" xr3:uid="{5002988F-AB23-4C39-8B33-C96FFF5C0C1D}" uniqueName="13" name="11:00:00" queryTableFieldId="13"/>
    <tableColumn id="14" xr3:uid="{7B972737-BA2F-412E-A3BA-F818098AE535}" uniqueName="14" name="12:00:00" queryTableFieldId="14"/>
    <tableColumn id="15" xr3:uid="{0BDA072D-3394-492F-81D9-5CFA2EB96B94}" uniqueName="15" name="13:00:00" queryTableFieldId="15"/>
    <tableColumn id="16" xr3:uid="{49FE17B0-7F56-41F1-9C37-CF0DEC096596}" uniqueName="16" name="14:00:00" queryTableFieldId="16"/>
    <tableColumn id="17" xr3:uid="{C3545304-DF3A-4213-ADCC-07374A5D12F8}" uniqueName="17" name="15:00:00" queryTableFieldId="17"/>
    <tableColumn id="18" xr3:uid="{4DC2A39A-D9A4-4D92-9FE4-66FE2A45B5CB}" uniqueName="18" name="16:00:00" queryTableFieldId="18"/>
    <tableColumn id="19" xr3:uid="{CDB4B6AA-0487-4C4E-A39B-4C22160F9C87}" uniqueName="19" name="17:00:00" queryTableFieldId="19"/>
    <tableColumn id="20" xr3:uid="{0FF671BE-7E17-4C03-9433-4FD78A18443B}" uniqueName="20" name="18:00:00" queryTableFieldId="20"/>
    <tableColumn id="21" xr3:uid="{BA09E1E7-FD3E-4CD9-AC28-01C5DAF47D34}" uniqueName="21" name="19:00:00" queryTableFieldId="21"/>
    <tableColumn id="22" xr3:uid="{A72A93E8-FE0F-41DB-B548-C9841A7FD5C1}" uniqueName="22" name="20:00:00" queryTableFieldId="22"/>
    <tableColumn id="23" xr3:uid="{F96BE37F-D175-41D1-907C-72A49ABEF953}" uniqueName="23" name="21:00:00" queryTableFieldId="23"/>
    <tableColumn id="24" xr3:uid="{8A4EBC6C-DD83-4679-BB75-224B9ABFD742}" uniqueName="24" name="22:00:00" queryTableFieldId="24"/>
    <tableColumn id="25" xr3:uid="{EFA339A1-05B3-4B79-813C-AF1E6A37B35B}" uniqueName="25" name="23:00:00" queryTableFieldId="25"/>
    <tableColumn id="26" xr3:uid="{F90C1BBC-F18D-45DE-81B7-4F47988B6A90}" uniqueName="26" name="AVERAGE AQI" totalsRowFunction="custom" queryTableFieldId="26" dataDxfId="74" totalsRowDxfId="69">
      <calculatedColumnFormula>AVERAGE(Sheet1__3[[#This Row],[00:00:00]:[23:00:00]])</calculatedColumnFormula>
      <totalsRowFormula>AVERAGE(Sheet1__3[AVERAGE AQI])</totalsRowFormula>
    </tableColumn>
    <tableColumn id="27" xr3:uid="{6425621B-0C39-4C0A-B8B5-35786632DAAC}" uniqueName="27" name="QUALITY" queryTableFieldId="27" dataDxfId="75" totalsRowDxfId="70">
      <calculatedColumnFormula array="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01E5E3-0597-482B-A6BE-4EE4411A4344}" name="Sheet1__4" displayName="Sheet1__4" ref="A1:AA32" tableType="queryTable" totalsRowCount="1">
  <autoFilter ref="A1:AA31" xr:uid="{1101E5E3-0597-482B-A6BE-4EE4411A4344}"/>
  <tableColumns count="27">
    <tableColumn id="1" xr3:uid="{B74055DB-ADA2-4E6E-AB7A-DDFD6DC9954D}" uniqueName="1" name="Date" queryTableFieldId="1"/>
    <tableColumn id="2" xr3:uid="{22ABBC49-59FA-46E6-B351-A2E21C1F7B82}" uniqueName="2" name="00:00:00" queryTableFieldId="2"/>
    <tableColumn id="3" xr3:uid="{D613C712-19B7-4D46-8A5B-59C7DF469B5C}" uniqueName="3" name="01:00:00" queryTableFieldId="3"/>
    <tableColumn id="4" xr3:uid="{169BAAFF-0957-433A-A8E0-A85DB2261165}" uniqueName="4" name="02:00:00" queryTableFieldId="4"/>
    <tableColumn id="5" xr3:uid="{5E31DD99-77FD-42A6-A62F-97D64DF2CED2}" uniqueName="5" name="03:00:00" queryTableFieldId="5"/>
    <tableColumn id="6" xr3:uid="{74F6C9F8-E948-4234-8D57-D1FCC0D32990}" uniqueName="6" name="04:00:00" queryTableFieldId="6"/>
    <tableColumn id="7" xr3:uid="{AE6091B4-B6A0-41B3-8CF5-18681C3E7BD5}" uniqueName="7" name="05:00:00" queryTableFieldId="7"/>
    <tableColumn id="8" xr3:uid="{C54977BF-AA90-4E33-97D1-99F7D943CB47}" uniqueName="8" name="06:00:00" queryTableFieldId="8"/>
    <tableColumn id="9" xr3:uid="{FF3FC27E-439E-4FB4-8598-E6106363938E}" uniqueName="9" name="07:00:00" queryTableFieldId="9"/>
    <tableColumn id="10" xr3:uid="{221E2748-882C-4008-88A0-7EFF211D189B}" uniqueName="10" name="08:00:00" queryTableFieldId="10"/>
    <tableColumn id="11" xr3:uid="{23D34FC6-59EF-4027-9679-347801225553}" uniqueName="11" name="09:00:00" queryTableFieldId="11"/>
    <tableColumn id="12" xr3:uid="{CC7912B1-6DFD-4864-9029-949F6F8A2AB6}" uniqueName="12" name="10:00:00" queryTableFieldId="12"/>
    <tableColumn id="13" xr3:uid="{8A77F3A4-64B6-4A4C-86AA-1FEBB05E9D8D}" uniqueName="13" name="11:00:00" queryTableFieldId="13"/>
    <tableColumn id="14" xr3:uid="{876C4D63-7C4C-4083-A898-910015B80793}" uniqueName="14" name="12:00:00" queryTableFieldId="14"/>
    <tableColumn id="15" xr3:uid="{6A9758D3-6338-4E08-A249-B6C69CE6ADC9}" uniqueName="15" name="13:00:00" queryTableFieldId="15"/>
    <tableColumn id="16" xr3:uid="{FD44B340-B7AD-4E47-B294-6545244BEDD7}" uniqueName="16" name="14:00:00" queryTableFieldId="16"/>
    <tableColumn id="17" xr3:uid="{1DC5F665-5CE2-448B-BA7C-B6B6D22003BE}" uniqueName="17" name="15:00:00" queryTableFieldId="17"/>
    <tableColumn id="18" xr3:uid="{23F8E5E7-0BB0-420F-96B1-0B50C12F0DFF}" uniqueName="18" name="16:00:00" queryTableFieldId="18"/>
    <tableColumn id="19" xr3:uid="{9C15151B-EA8F-42F1-9357-0609B972493C}" uniqueName="19" name="17:00:00" queryTableFieldId="19"/>
    <tableColumn id="20" xr3:uid="{C4FC6D3A-BCCA-4061-AC7B-902078B8B23E}" uniqueName="20" name="18:00:00" queryTableFieldId="20"/>
    <tableColumn id="21" xr3:uid="{5304CF0C-4CA7-49E0-87B2-928265754B64}" uniqueName="21" name="19:00:00" queryTableFieldId="21"/>
    <tableColumn id="22" xr3:uid="{FD2B31EB-1088-40BB-AC9F-8A750533F17A}" uniqueName="22" name="20:00:00" queryTableFieldId="22"/>
    <tableColumn id="23" xr3:uid="{C53F42A7-A18D-4775-BB73-0DE7D899E2E0}" uniqueName="23" name="21:00:00" queryTableFieldId="23"/>
    <tableColumn id="24" xr3:uid="{60FA4D43-187C-4513-84BA-12DD7771F253}" uniqueName="24" name="22:00:00" queryTableFieldId="24"/>
    <tableColumn id="25" xr3:uid="{7343ECCF-35C9-4CD2-B624-B7434B42B3EF}" uniqueName="25" name="23:00:00" queryTableFieldId="25"/>
    <tableColumn id="26" xr3:uid="{50E1C6FC-D0A0-44F1-BE67-63690F3FD27F}" uniqueName="26" name="AVERAGE AQI" totalsRowFunction="custom" queryTableFieldId="26" dataDxfId="67" totalsRowDxfId="62">
      <calculatedColumnFormula>AVERAGE(Sheet1__4[[#This Row],[00:00:00]:[23:00:00]])</calculatedColumnFormula>
      <totalsRowFormula>AVERAGE(Sheet1__4[AVERAGE AQI])</totalsRowFormula>
    </tableColumn>
    <tableColumn id="27" xr3:uid="{5B6959F9-B945-4003-92B8-5E3E4F3EAAC5}" uniqueName="27" name="QUALITY" queryTableFieldId="27" dataDxfId="68" totalsRowDxfId="63">
      <calculatedColumnFormula array="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334DC9-2D55-42A3-A3AA-19F537FD9D0A}" name="Sheet1__5" displayName="Sheet1__5" ref="A1:AA33" tableType="queryTable" totalsRowCount="1">
  <autoFilter ref="A1:AA32" xr:uid="{D3334DC9-2D55-42A3-A3AA-19F537FD9D0A}"/>
  <tableColumns count="27">
    <tableColumn id="1" xr3:uid="{A7E97CE2-A4B2-4C66-AFAF-2EE10A9619A3}" uniqueName="1" name="Date" queryTableFieldId="1"/>
    <tableColumn id="2" xr3:uid="{0B8EBBEE-3C81-45B1-A1A3-EFCF53AD1723}" uniqueName="2" name="00:00:00" queryTableFieldId="2"/>
    <tableColumn id="3" xr3:uid="{A7319455-D01D-4A7E-94D8-8799D86B2D8C}" uniqueName="3" name="01:00:00" queryTableFieldId="3"/>
    <tableColumn id="4" xr3:uid="{05E37732-EA6F-464B-8471-1F989D5C3D35}" uniqueName="4" name="02:00:00" queryTableFieldId="4"/>
    <tableColumn id="5" xr3:uid="{377CFD2E-A322-4496-A711-B6F808A46938}" uniqueName="5" name="03:00:00" queryTableFieldId="5"/>
    <tableColumn id="6" xr3:uid="{B459EB03-3091-4EA1-B174-3DFDC8D164EB}" uniqueName="6" name="04:00:00" queryTableFieldId="6"/>
    <tableColumn id="7" xr3:uid="{0C6687BA-E1F4-48B0-8952-5161CEA4FA6D}" uniqueName="7" name="05:00:00" queryTableFieldId="7"/>
    <tableColumn id="8" xr3:uid="{A3123F1B-0BB0-4C4B-9143-D12B787864E1}" uniqueName="8" name="06:00:00" queryTableFieldId="8"/>
    <tableColumn id="9" xr3:uid="{1A92488B-FEB7-42DF-ABC6-D19F3C022CF0}" uniqueName="9" name="07:00:00" queryTableFieldId="9"/>
    <tableColumn id="10" xr3:uid="{F0EA91EC-8C1A-48F5-AFC1-0221103F06CB}" uniqueName="10" name="08:00:00" queryTableFieldId="10"/>
    <tableColumn id="11" xr3:uid="{CE225A3E-5A8B-4AC3-8D04-44D436413912}" uniqueName="11" name="09:00:00" queryTableFieldId="11"/>
    <tableColumn id="12" xr3:uid="{13FF93DF-96C9-40D9-A54B-24A40D6712A1}" uniqueName="12" name="10:00:00" queryTableFieldId="12"/>
    <tableColumn id="13" xr3:uid="{D48F8DBC-51E3-4955-923E-FC1D33C9DB18}" uniqueName="13" name="11:00:00" queryTableFieldId="13"/>
    <tableColumn id="14" xr3:uid="{B2C68E5B-FD77-4B52-ABCB-E234A55E5A77}" uniqueName="14" name="12:00:00" queryTableFieldId="14"/>
    <tableColumn id="15" xr3:uid="{A0558818-54A0-4B5B-8E44-A17EF6BF4E4A}" uniqueName="15" name="13:00:00" queryTableFieldId="15"/>
    <tableColumn id="16" xr3:uid="{46C1E261-996E-4EFE-B993-0B35BE8BFD32}" uniqueName="16" name="14:00:00" queryTableFieldId="16"/>
    <tableColumn id="17" xr3:uid="{5B607202-A92B-4ACD-8AA9-10AB24FB5D66}" uniqueName="17" name="15:00:00" queryTableFieldId="17"/>
    <tableColumn id="18" xr3:uid="{008BDB28-1F0C-4624-91D9-4A7EE2BE0445}" uniqueName="18" name="16:00:00" queryTableFieldId="18"/>
    <tableColumn id="19" xr3:uid="{7F34F382-A2EA-48A6-BB4F-FC7E777FD178}" uniqueName="19" name="17:00:00" queryTableFieldId="19"/>
    <tableColumn id="20" xr3:uid="{8C62DB1B-3DAA-423E-B812-C06806313B7A}" uniqueName="20" name="18:00:00" queryTableFieldId="20"/>
    <tableColumn id="21" xr3:uid="{C1A1B587-F284-4D7E-AAA7-5B8363104A22}" uniqueName="21" name="19:00:00" queryTableFieldId="21"/>
    <tableColumn id="22" xr3:uid="{53215F34-EACA-49E9-AA0D-C28AD8B5A31F}" uniqueName="22" name="20:00:00" queryTableFieldId="22"/>
    <tableColumn id="23" xr3:uid="{6B219E9C-71CD-457C-B2D3-87B2BC6D5A9D}" uniqueName="23" name="21:00:00" queryTableFieldId="23"/>
    <tableColumn id="24" xr3:uid="{9AB5CAA1-1879-4F03-8A05-23EAB1D2FAB6}" uniqueName="24" name="22:00:00" queryTableFieldId="24"/>
    <tableColumn id="25" xr3:uid="{06BFEEB8-8E74-4F0A-A924-EF027E8B2BEE}" uniqueName="25" name="23:00:00" queryTableFieldId="25"/>
    <tableColumn id="26" xr3:uid="{1397CFFA-09D9-4C22-9A74-A4B7698255AE}" uniqueName="26" name="AVERAGE AQI" totalsRowFunction="custom" queryTableFieldId="26" dataDxfId="60" totalsRowDxfId="56">
      <calculatedColumnFormula>AVERAGE(Sheet1__5[[#This Row],[00:00:00]:[23:00:00]])</calculatedColumnFormula>
      <totalsRowFormula>AVERAGE(Sheet1__5[AVERAGE AQI])</totalsRowFormula>
    </tableColumn>
    <tableColumn id="27" xr3:uid="{11029D30-51B9-4016-8851-24A20E4371BC}" uniqueName="27" name="QUALITY" queryTableFieldId="27" dataDxfId="61" totalsRowDxfId="57">
      <calculatedColumnFormula array="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A6C594-9F2B-4B5E-BB7D-547D547A657F}" name="Sheet1__6" displayName="Sheet1__6" ref="A1:AA32" tableType="queryTable" totalsRowCount="1">
  <autoFilter ref="A1:AA31" xr:uid="{2AA6C594-9F2B-4B5E-BB7D-547D547A657F}"/>
  <tableColumns count="27">
    <tableColumn id="1" xr3:uid="{218A2E75-C74D-4C3E-A3ED-4490D1858C85}" uniqueName="1" name="Date" queryTableFieldId="1"/>
    <tableColumn id="2" xr3:uid="{C865235C-817D-41B6-A719-0AB74E886C61}" uniqueName="2" name="00:00:00" queryTableFieldId="2"/>
    <tableColumn id="3" xr3:uid="{2831A0B0-D51A-428A-B333-A43CED5F577B}" uniqueName="3" name="01:00:00" queryTableFieldId="3"/>
    <tableColumn id="4" xr3:uid="{C8FA4245-6D0B-4B88-81D6-B25080C69C6D}" uniqueName="4" name="02:00:00" queryTableFieldId="4"/>
    <tableColumn id="5" xr3:uid="{23ED04ED-2F59-4715-BCA8-23F08A9A605F}" uniqueName="5" name="03:00:00" queryTableFieldId="5"/>
    <tableColumn id="6" xr3:uid="{69950E66-A1E9-4C40-A76C-E283EA306547}" uniqueName="6" name="04:00:00" queryTableFieldId="6"/>
    <tableColumn id="7" xr3:uid="{6C64E728-21C1-4E9E-A669-1D651078A63C}" uniqueName="7" name="05:00:00" queryTableFieldId="7"/>
    <tableColumn id="8" xr3:uid="{56278101-6B4C-4F0B-8FC2-5334EEB0C887}" uniqueName="8" name="06:00:00" queryTableFieldId="8"/>
    <tableColumn id="9" xr3:uid="{7E949E00-878B-4F95-A5B6-1A21EEA35042}" uniqueName="9" name="07:00:00" queryTableFieldId="9"/>
    <tableColumn id="10" xr3:uid="{734A384D-F840-4106-AEBD-D3848208B1FB}" uniqueName="10" name="08:00:00" queryTableFieldId="10"/>
    <tableColumn id="11" xr3:uid="{55DB29D6-1CCD-40A9-93A6-36B5CB3FED27}" uniqueName="11" name="09:00:00" queryTableFieldId="11"/>
    <tableColumn id="12" xr3:uid="{F5EB891C-210B-42A2-AE1A-E7DCA8FE3CB1}" uniqueName="12" name="10:00:00" queryTableFieldId="12"/>
    <tableColumn id="13" xr3:uid="{42B25334-0370-4D24-BEF5-4FEA0DBDB728}" uniqueName="13" name="11:00:00" queryTableFieldId="13"/>
    <tableColumn id="14" xr3:uid="{3929151D-0C40-4056-9C34-9D60573391C5}" uniqueName="14" name="12:00:00" queryTableFieldId="14"/>
    <tableColumn id="15" xr3:uid="{46BFE40A-24EF-41C1-A1A0-ECEEEE19EB45}" uniqueName="15" name="13:00:00" queryTableFieldId="15"/>
    <tableColumn id="16" xr3:uid="{4FBDED3E-9BEE-42E8-BD99-EA536E80B45C}" uniqueName="16" name="14:00:00" queryTableFieldId="16"/>
    <tableColumn id="17" xr3:uid="{CFAEC733-BC6F-4F44-97C2-EFFECE721AF2}" uniqueName="17" name="15:00:00" queryTableFieldId="17"/>
    <tableColumn id="18" xr3:uid="{AF0EE1C6-66F5-411A-B54A-6659C801C9DD}" uniqueName="18" name="16:00:00" queryTableFieldId="18"/>
    <tableColumn id="19" xr3:uid="{7613ED0E-5D4D-4AA3-8921-9B09DFC4164F}" uniqueName="19" name="17:00:00" queryTableFieldId="19"/>
    <tableColumn id="20" xr3:uid="{A5352F5E-5547-4B86-9A34-AB79EE6786F3}" uniqueName="20" name="18:00:00" queryTableFieldId="20"/>
    <tableColumn id="21" xr3:uid="{9A893279-81BD-44FE-B2BF-ECB2C2F76560}" uniqueName="21" name="19:00:00" queryTableFieldId="21"/>
    <tableColumn id="22" xr3:uid="{4AC8A63C-77A3-41C9-AFE3-E4BC2A26167C}" uniqueName="22" name="20:00:00" queryTableFieldId="22"/>
    <tableColumn id="23" xr3:uid="{EFAD3143-B59C-47EC-B013-18796FFCFDA0}" uniqueName="23" name="21:00:00" queryTableFieldId="23"/>
    <tableColumn id="24" xr3:uid="{5E66EF0F-4BEA-4064-98A1-95685DC80FEB}" uniqueName="24" name="22:00:00" queryTableFieldId="24"/>
    <tableColumn id="25" xr3:uid="{9AEF6170-67B3-40B4-9546-5DFAFB0264AE}" uniqueName="25" name="23:00:00" queryTableFieldId="25"/>
    <tableColumn id="26" xr3:uid="{A852ADFB-5233-498B-9A66-A289C793C290}" uniqueName="26" name="AVERAGE AQI" totalsRowFunction="average" queryTableFieldId="26" dataDxfId="54" totalsRowDxfId="53">
      <calculatedColumnFormula>AVERAGE(Sheet1__6[[#This Row],[00:00:00]:[23:00:00]])</calculatedColumnFormula>
    </tableColumn>
    <tableColumn id="27" xr3:uid="{8179D2AE-3CA0-4A0E-91CF-C06DD0F4DDDC}" uniqueName="27" name="QUALITY" queryTableFieldId="27" dataDxfId="55" totalsRowDxfId="52">
      <calculatedColumnFormula array="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0345DC-9034-4E28-91AD-32F2ED4BA74B}" name="Sheet1__7" displayName="Sheet1__7" ref="A1:AA33" tableType="queryTable" totalsRowCount="1">
  <autoFilter ref="A1:AA32" xr:uid="{D30345DC-9034-4E28-91AD-32F2ED4BA74B}"/>
  <tableColumns count="27">
    <tableColumn id="1" xr3:uid="{F4E03C24-D958-4FFE-87DB-FDB6E945BA20}" uniqueName="1" name="Date" queryTableFieldId="1"/>
    <tableColumn id="2" xr3:uid="{4B911681-3735-42A5-A60B-BB82857A026F}" uniqueName="2" name="00:00:00" queryTableFieldId="2"/>
    <tableColumn id="3" xr3:uid="{996CF54E-1B16-4BF3-9AC2-8DBCC13CFEE7}" uniqueName="3" name="01:00:00" queryTableFieldId="3"/>
    <tableColumn id="4" xr3:uid="{EC1CB010-90B4-4B25-BFC3-DBB55DA542DD}" uniqueName="4" name="02:00:00" queryTableFieldId="4"/>
    <tableColumn id="5" xr3:uid="{327409F3-F8C9-4763-85BE-285379C7F885}" uniqueName="5" name="03:00:00" queryTableFieldId="5"/>
    <tableColumn id="6" xr3:uid="{5057F268-5A83-4AE6-86F5-803665536823}" uniqueName="6" name="04:00:00" queryTableFieldId="6"/>
    <tableColumn id="7" xr3:uid="{5C03BFB3-83AF-4085-AA51-2F3E4CDD0632}" uniqueName="7" name="05:00:00" queryTableFieldId="7"/>
    <tableColumn id="8" xr3:uid="{4920D84D-ECA2-473F-9CCC-04BD179D8019}" uniqueName="8" name="06:00:00" queryTableFieldId="8"/>
    <tableColumn id="9" xr3:uid="{8B80C77B-426F-4AE9-AF43-62EBFA3DB021}" uniqueName="9" name="07:00:00" queryTableFieldId="9"/>
    <tableColumn id="10" xr3:uid="{B5BDB0E1-DCE8-4204-B5CD-7A579A5FE6EC}" uniqueName="10" name="08:00:00" queryTableFieldId="10"/>
    <tableColumn id="11" xr3:uid="{AB5E1D61-EC92-40D2-AB0D-2418D7325E05}" uniqueName="11" name="09:00:00" queryTableFieldId="11"/>
    <tableColumn id="12" xr3:uid="{6392F960-1D3F-43FE-A171-82AAE2ED0C97}" uniqueName="12" name="10:00:00" queryTableFieldId="12"/>
    <tableColumn id="13" xr3:uid="{E766B689-13A5-4529-A0DB-FE8C90633A97}" uniqueName="13" name="11:00:00" queryTableFieldId="13"/>
    <tableColumn id="14" xr3:uid="{8F77AF9D-59D2-4337-BBB6-DDA7E7ED3D12}" uniqueName="14" name="12:00:00" queryTableFieldId="14"/>
    <tableColumn id="15" xr3:uid="{CBC5EFEE-E096-49A8-86B9-BEB5194BF9A3}" uniqueName="15" name="13:00:00" queryTableFieldId="15"/>
    <tableColumn id="16" xr3:uid="{E71C0982-C233-4E55-A057-48DE18920E20}" uniqueName="16" name="14:00:00" queryTableFieldId="16"/>
    <tableColumn id="17" xr3:uid="{4F707228-D3C3-4150-8A10-6CE784E378F8}" uniqueName="17" name="15:00:00" queryTableFieldId="17"/>
    <tableColumn id="18" xr3:uid="{A0BDE758-DBBF-4185-8EA1-5E1743BFC65E}" uniqueName="18" name="16:00:00" queryTableFieldId="18"/>
    <tableColumn id="19" xr3:uid="{E268034F-C060-429C-8136-C5376E6AE75F}" uniqueName="19" name="17:00:00" queryTableFieldId="19"/>
    <tableColumn id="20" xr3:uid="{084E1B6D-C740-43E6-88F7-7B750569A811}" uniqueName="20" name="18:00:00" queryTableFieldId="20"/>
    <tableColumn id="21" xr3:uid="{5D366911-E4F6-4EA2-B728-6B695B3E8C2E}" uniqueName="21" name="19:00:00" queryTableFieldId="21"/>
    <tableColumn id="22" xr3:uid="{6CEACC70-DA54-48FB-9B67-F147DFC08416}" uniqueName="22" name="20:00:00" queryTableFieldId="22"/>
    <tableColumn id="23" xr3:uid="{911BDF0F-C364-4FC2-9B9F-65B1F86980F8}" uniqueName="23" name="21:00:00" queryTableFieldId="23"/>
    <tableColumn id="24" xr3:uid="{42EF5995-0FDB-4584-B9D2-BB18BC2B8952}" uniqueName="24" name="22:00:00" queryTableFieldId="24"/>
    <tableColumn id="25" xr3:uid="{F82EBF6A-36C0-4146-B334-62E58442B885}" uniqueName="25" name="23:00:00" queryTableFieldId="25"/>
    <tableColumn id="26" xr3:uid="{39B0CE62-AEAA-40D3-8A01-8CF7856955B1}" uniqueName="26" name="AVERAGE AQI" totalsRowFunction="average" queryTableFieldId="26" dataDxfId="48" totalsRowDxfId="47">
      <calculatedColumnFormula>AVERAGE(Sheet1__7[[#This Row],[00:00:00]:[23:00:00]])</calculatedColumnFormula>
    </tableColumn>
    <tableColumn id="27" xr3:uid="{9D9451E3-2B50-42BF-9F2B-FE9110250A5E}" uniqueName="27" name="QUALITY" queryTableFieldId="27" dataDxfId="49" totalsRowDxfId="46">
      <calculatedColumnFormula array="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B2E3E4-53D2-4C03-ABC2-9C1490320131}" name="Sheet1__8" displayName="Sheet1__8" ref="A1:AA33" tableType="queryTable" totalsRowCount="1">
  <autoFilter ref="A1:AA32" xr:uid="{ECB2E3E4-53D2-4C03-ABC2-9C1490320131}"/>
  <tableColumns count="27">
    <tableColumn id="1" xr3:uid="{4B3348D7-F9CC-4F61-9161-05FA1642119A}" uniqueName="1" name="Date" queryTableFieldId="1"/>
    <tableColumn id="2" xr3:uid="{D73717E4-5BA7-4426-AEC3-CC3749FB86D6}" uniqueName="2" name="00:00:00" queryTableFieldId="2"/>
    <tableColumn id="3" xr3:uid="{9BE1F2D9-99FB-4830-AC9C-CA890855FE38}" uniqueName="3" name="01:00:00" queryTableFieldId="3"/>
    <tableColumn id="4" xr3:uid="{AD3D71AA-7061-46AA-8861-B1C7A0803A4F}" uniqueName="4" name="02:00:00" queryTableFieldId="4"/>
    <tableColumn id="5" xr3:uid="{8A12370A-9841-4DC5-8838-3BF7A47D08C8}" uniqueName="5" name="03:00:00" queryTableFieldId="5"/>
    <tableColumn id="6" xr3:uid="{C45E9179-D9F9-482E-BC11-0652E80FE524}" uniqueName="6" name="04:00:00" queryTableFieldId="6"/>
    <tableColumn id="7" xr3:uid="{961B4E84-DAC2-4704-8ED9-9E8F12EB7243}" uniqueName="7" name="05:00:00" queryTableFieldId="7"/>
    <tableColumn id="8" xr3:uid="{FE6068D8-875F-4E42-889F-7A9C7C6E3A3D}" uniqueName="8" name="06:00:00" queryTableFieldId="8"/>
    <tableColumn id="9" xr3:uid="{702DE6BC-269D-4873-8031-77FD57D11DE7}" uniqueName="9" name="07:00:00" queryTableFieldId="9"/>
    <tableColumn id="10" xr3:uid="{B3BFE362-2031-4F5D-B7D6-827BF0770821}" uniqueName="10" name="08:00:00" queryTableFieldId="10"/>
    <tableColumn id="11" xr3:uid="{17E42013-D7F3-4472-ABFE-CC926B66F656}" uniqueName="11" name="09:00:00" queryTableFieldId="11"/>
    <tableColumn id="12" xr3:uid="{AAD987C9-8E05-41C8-B696-2D079F4EE779}" uniqueName="12" name="10:00:00" queryTableFieldId="12"/>
    <tableColumn id="13" xr3:uid="{74172993-3534-4921-AB3B-CA11A8E9FB61}" uniqueName="13" name="11:00:00" queryTableFieldId="13"/>
    <tableColumn id="14" xr3:uid="{13B466AE-0AF8-462A-9628-143CCBE95169}" uniqueName="14" name="12:00:00" queryTableFieldId="14"/>
    <tableColumn id="15" xr3:uid="{72D6568D-A2E9-41FB-985A-EC64D6656F7D}" uniqueName="15" name="13:00:00" queryTableFieldId="15"/>
    <tableColumn id="16" xr3:uid="{4B2FA69B-36A6-4FC5-ABE1-CA34390A599A}" uniqueName="16" name="14:00:00" queryTableFieldId="16"/>
    <tableColumn id="17" xr3:uid="{FECCD1CF-72FB-4089-AA6F-EB24066B3890}" uniqueName="17" name="15:00:00" queryTableFieldId="17"/>
    <tableColumn id="18" xr3:uid="{5F9ECBDC-5726-40E7-97AE-308BAF6D8293}" uniqueName="18" name="16:00:00" queryTableFieldId="18"/>
    <tableColumn id="19" xr3:uid="{1435BF1D-FB00-47B7-BE08-CD87F04D0552}" uniqueName="19" name="17:00:00" queryTableFieldId="19"/>
    <tableColumn id="20" xr3:uid="{6088CC78-27FD-493B-B964-F54FF2B1C93F}" uniqueName="20" name="18:00:00" queryTableFieldId="20"/>
    <tableColumn id="21" xr3:uid="{E4C8169D-5C89-48BD-8751-4F46A41E1030}" uniqueName="21" name="19:00:00" queryTableFieldId="21"/>
    <tableColumn id="22" xr3:uid="{0266F3F4-B3AD-4414-96FC-84CA45A00679}" uniqueName="22" name="20:00:00" queryTableFieldId="22"/>
    <tableColumn id="23" xr3:uid="{A124EF43-87F2-4429-A7D0-BFF6D469D4FE}" uniqueName="23" name="21:00:00" queryTableFieldId="23"/>
    <tableColumn id="24" xr3:uid="{DD94F6AC-92A9-4392-901D-A735144F472A}" uniqueName="24" name="22:00:00" queryTableFieldId="24"/>
    <tableColumn id="25" xr3:uid="{3D1A6718-3DE2-4425-BDF9-78898638B1F9}" uniqueName="25" name="23:00:00" queryTableFieldId="25"/>
    <tableColumn id="26" xr3:uid="{7F7DE809-97A3-4578-8B98-1248C50C6862}" uniqueName="26" name="AVERAGE AQI" totalsRowFunction="average" queryTableFieldId="26" dataDxfId="42" totalsRowDxfId="41">
      <calculatedColumnFormula>AVERAGE(Sheet1__8[[#This Row],[00:00:00]:[23:00:00]])</calculatedColumnFormula>
    </tableColumn>
    <tableColumn id="27" xr3:uid="{12949A51-56EF-47CF-AD7E-B555CE916057}" uniqueName="27" name="QUALITY" queryTableFieldId="27" dataDxfId="43" totalsRowDxfId="40">
      <calculatedColumnFormula array="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8B39FE-2DDB-4BA3-AE0B-803A7DCE6FAD}" name="Sheet1__9" displayName="Sheet1__9" ref="A1:AA32" tableType="queryTable" totalsRowCount="1">
  <autoFilter ref="A1:AA31" xr:uid="{7B8B39FE-2DDB-4BA3-AE0B-803A7DCE6FAD}"/>
  <tableColumns count="27">
    <tableColumn id="1" xr3:uid="{8F100B7A-2041-422D-BB0F-782AE74B07E2}" uniqueName="1" name="Date" queryTableFieldId="1"/>
    <tableColumn id="2" xr3:uid="{48F85D01-A55E-4B43-A50F-FE2D94275D0C}" uniqueName="2" name="00:00:00" queryTableFieldId="2"/>
    <tableColumn id="3" xr3:uid="{BC3A034A-B03F-4C52-8525-917A6B779EFE}" uniqueName="3" name="01:00:00" queryTableFieldId="3"/>
    <tableColumn id="4" xr3:uid="{4EBBB166-6CE2-495F-B3A4-6B4CE9C4DABB}" uniqueName="4" name="02:00:00" queryTableFieldId="4"/>
    <tableColumn id="5" xr3:uid="{527EFE82-DCD1-40DB-94AE-CA3FEC143896}" uniqueName="5" name="03:00:00" queryTableFieldId="5"/>
    <tableColumn id="6" xr3:uid="{C780BD9F-F072-4C0F-9165-20C7A67923BB}" uniqueName="6" name="04:00:00" queryTableFieldId="6"/>
    <tableColumn id="7" xr3:uid="{BB35753F-5AC0-4CF4-96AC-93CB8946111C}" uniqueName="7" name="05:00:00" queryTableFieldId="7"/>
    <tableColumn id="8" xr3:uid="{B1BC3B70-87AB-4FA3-897E-FAD8363042FE}" uniqueName="8" name="06:00:00" queryTableFieldId="8"/>
    <tableColumn id="9" xr3:uid="{ACAA93D0-5CB6-4C59-BA04-E662DD1E1C35}" uniqueName="9" name="07:00:00" queryTableFieldId="9"/>
    <tableColumn id="10" xr3:uid="{2F7B0DEE-5708-46D9-983D-3527CF10E734}" uniqueName="10" name="08:00:00" queryTableFieldId="10"/>
    <tableColumn id="11" xr3:uid="{54EA0274-FA66-4293-9248-BD4894AAE684}" uniqueName="11" name="09:00:00" queryTableFieldId="11"/>
    <tableColumn id="12" xr3:uid="{3C39A4D8-DD3A-4850-A3C0-DCEAFCBC10B7}" uniqueName="12" name="10:00:00" queryTableFieldId="12"/>
    <tableColumn id="13" xr3:uid="{0EFD4A9C-CF3D-4DBC-AA85-CCC960B6B796}" uniqueName="13" name="11:00:00" queryTableFieldId="13"/>
    <tableColumn id="14" xr3:uid="{BAF16087-FF1E-4D8C-932A-909A6C129551}" uniqueName="14" name="12:00:00" queryTableFieldId="14"/>
    <tableColumn id="15" xr3:uid="{74F4D11B-BD1A-41C2-9C31-766A095625E8}" uniqueName="15" name="13:00:00" queryTableFieldId="15"/>
    <tableColumn id="16" xr3:uid="{65E133A9-3249-42A8-8D80-5714BB5334E9}" uniqueName="16" name="14:00:00" queryTableFieldId="16"/>
    <tableColumn id="17" xr3:uid="{5E093265-BFD4-42C4-85D8-925E8DE30C0D}" uniqueName="17" name="15:00:00" queryTableFieldId="17"/>
    <tableColumn id="18" xr3:uid="{99C375D2-0926-41F5-A151-E6616D54DC64}" uniqueName="18" name="16:00:00" queryTableFieldId="18"/>
    <tableColumn id="19" xr3:uid="{D63B4162-5B6B-4D6C-9608-8B3BEDDC1440}" uniqueName="19" name="17:00:00" queryTableFieldId="19"/>
    <tableColumn id="20" xr3:uid="{8DE78A34-8959-44AF-A49D-2AEC400F7DE0}" uniqueName="20" name="18:00:00" queryTableFieldId="20"/>
    <tableColumn id="21" xr3:uid="{E20A5BD9-0204-46A2-B220-686ED67C3DF3}" uniqueName="21" name="19:00:00" queryTableFieldId="21"/>
    <tableColumn id="22" xr3:uid="{129AF3DB-A645-41C5-AEA2-65CC407423C0}" uniqueName="22" name="20:00:00" queryTableFieldId="22"/>
    <tableColumn id="23" xr3:uid="{A55DD920-9EF5-4B4B-86C9-58AD27959447}" uniqueName="23" name="21:00:00" queryTableFieldId="23"/>
    <tableColumn id="24" xr3:uid="{3404E1E7-5FA8-4E7E-BA34-0E7E2619FEA6}" uniqueName="24" name="22:00:00" queryTableFieldId="24"/>
    <tableColumn id="25" xr3:uid="{2F19C084-ADE4-4822-96B3-7C9A5363B7BF}" uniqueName="25" name="23:00:00" queryTableFieldId="25"/>
    <tableColumn id="26" xr3:uid="{2A3DE783-D0AA-4D5F-8585-8FC17E1717DC}" uniqueName="26" name="AVERAGE AQI" totalsRowFunction="average" queryTableFieldId="26" dataDxfId="36" totalsRowDxfId="35">
      <calculatedColumnFormula>AVERAGE(Sheet1__9[[#This Row],[00:00:00]:[23:00:00]])</calculatedColumnFormula>
    </tableColumn>
    <tableColumn id="27" xr3:uid="{55101FAC-72A2-433B-894A-771EFB5D5B5E}" uniqueName="27" name="QUALITY" queryTableFieldId="27" dataDxfId="37" totalsRowDxfId="34">
      <calculatedColumnFormula array="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03D3D3-2A38-45A2-93E4-EB6762ABF07E}" name="Sheet1__10" displayName="Sheet1__10" ref="A1:AA33" tableType="queryTable" totalsRowCount="1">
  <autoFilter ref="A1:AA32" xr:uid="{8803D3D3-2A38-45A2-93E4-EB6762ABF07E}"/>
  <tableColumns count="27">
    <tableColumn id="1" xr3:uid="{E8A3237C-B8EE-4695-952A-8120EF58C766}" uniqueName="1" name="Date" queryTableFieldId="1"/>
    <tableColumn id="2" xr3:uid="{7B259699-0828-4CA2-9786-D1A8AD16A2CF}" uniqueName="2" name="00:00:00" queryTableFieldId="2"/>
    <tableColumn id="3" xr3:uid="{116E8CEB-12CC-428F-9191-25867F317B48}" uniqueName="3" name="01:00:00" queryTableFieldId="3"/>
    <tableColumn id="4" xr3:uid="{7567BB59-0EFA-46E0-B6AE-7F53EAD0ECD3}" uniqueName="4" name="02:00:00" queryTableFieldId="4"/>
    <tableColumn id="5" xr3:uid="{31FA07A2-B533-405F-B0B0-EAB648AE781F}" uniqueName="5" name="03:00:00" queryTableFieldId="5"/>
    <tableColumn id="6" xr3:uid="{58BB04CB-B8F9-4A3B-9C1E-C499C3C04850}" uniqueName="6" name="04:00:00" queryTableFieldId="6"/>
    <tableColumn id="7" xr3:uid="{4D4ADF47-6289-43B5-A9E6-9CFE8068EC5C}" uniqueName="7" name="05:00:00" queryTableFieldId="7"/>
    <tableColumn id="8" xr3:uid="{4E2C80F9-FBBF-4C50-AE7D-5D4261571CEE}" uniqueName="8" name="06:00:00" queryTableFieldId="8"/>
    <tableColumn id="9" xr3:uid="{CB43A6C0-17AD-4966-AA81-E3A88A9E0E3C}" uniqueName="9" name="07:00:00" queryTableFieldId="9"/>
    <tableColumn id="10" xr3:uid="{6CA5A240-E278-45DD-B2AA-F7DCD81959BD}" uniqueName="10" name="08:00:00" queryTableFieldId="10"/>
    <tableColumn id="11" xr3:uid="{08DB49E1-4ACD-4AD0-ABC8-6EB70D45B017}" uniqueName="11" name="09:00:00" queryTableFieldId="11"/>
    <tableColumn id="12" xr3:uid="{0ECA8084-DC26-43DA-99A4-B4AEC781A52C}" uniqueName="12" name="10:00:00" queryTableFieldId="12"/>
    <tableColumn id="13" xr3:uid="{E5434F27-7378-410D-91B7-579520AD0AC3}" uniqueName="13" name="11:00:00" queryTableFieldId="13"/>
    <tableColumn id="14" xr3:uid="{692DF1BF-24F3-4880-9E1E-4CA25972D8E0}" uniqueName="14" name="12:00:00" queryTableFieldId="14"/>
    <tableColumn id="15" xr3:uid="{F76D6493-A6C1-4039-A821-6D968DAE6D44}" uniqueName="15" name="13:00:00" queryTableFieldId="15"/>
    <tableColumn id="16" xr3:uid="{5B409C3C-A320-4CF6-BCDD-C5616D72D79E}" uniqueName="16" name="14:00:00" queryTableFieldId="16"/>
    <tableColumn id="17" xr3:uid="{EE199C29-B4E8-4DB0-920B-A2E3D4AA459B}" uniqueName="17" name="15:00:00" queryTableFieldId="17"/>
    <tableColumn id="18" xr3:uid="{77268BCD-76E1-4971-BC8A-D9CFCA10808F}" uniqueName="18" name="16:00:00" queryTableFieldId="18"/>
    <tableColumn id="19" xr3:uid="{8C3F0987-426C-435C-8D59-FE33889BD195}" uniqueName="19" name="17:00:00" queryTableFieldId="19"/>
    <tableColumn id="20" xr3:uid="{50EC2E37-22D2-46B8-8026-E320FE2C49C1}" uniqueName="20" name="18:00:00" queryTableFieldId="20"/>
    <tableColumn id="21" xr3:uid="{70539D6C-E9C8-42B2-BB30-16D424BE7108}" uniqueName="21" name="19:00:00" queryTableFieldId="21"/>
    <tableColumn id="22" xr3:uid="{00E543E8-429F-4779-BD12-0269796BDE72}" uniqueName="22" name="20:00:00" queryTableFieldId="22"/>
    <tableColumn id="23" xr3:uid="{7645D53F-1696-4268-9FF6-98A2CBF21A40}" uniqueName="23" name="21:00:00" queryTableFieldId="23"/>
    <tableColumn id="24" xr3:uid="{234B5BB1-04C6-4055-BFAE-88611B99E128}" uniqueName="24" name="22:00:00" queryTableFieldId="24"/>
    <tableColumn id="25" xr3:uid="{406C4561-9C4E-4D11-8680-3B7BF499F90F}" uniqueName="25" name="23:00:00" queryTableFieldId="25"/>
    <tableColumn id="26" xr3:uid="{C3A42ABF-1E92-4F12-B79A-490C8EB3A3DD}" uniqueName="26" name="AVERAGE AQI" totalsRowFunction="average" queryTableFieldId="26" dataDxfId="29" totalsRowDxfId="5">
      <calculatedColumnFormula>AVERAGE(Sheet1__10[[#This Row],[00:00:00]:[23:00:00]])</calculatedColumnFormula>
    </tableColumn>
    <tableColumn id="27" xr3:uid="{CA28E0E3-4712-4E66-9E47-D87A2BA9556D}" uniqueName="27" name="QUALITY" queryTableFieldId="27" dataDxfId="30" totalsRowDxfId="4">
      <calculatedColumnFormula array="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EE8BE2-D80F-4AFB-B0E8-C2E0421F1A3E}" name="Sheet1__11" displayName="Sheet1__11" ref="A1:AA32" tableType="queryTable" totalsRowCount="1">
  <autoFilter ref="A1:AA31" xr:uid="{7AEE8BE2-D80F-4AFB-B0E8-C2E0421F1A3E}"/>
  <tableColumns count="27">
    <tableColumn id="1" xr3:uid="{66EE3BF9-AB0D-4DFC-A3D0-BF0D6496A152}" uniqueName="1" name="Date" queryTableFieldId="1"/>
    <tableColumn id="2" xr3:uid="{4588742A-1AA0-4AE7-879A-C019D5CF9C80}" uniqueName="2" name="00:00:00" queryTableFieldId="2"/>
    <tableColumn id="3" xr3:uid="{878C7F39-21B4-4D0B-BAE3-06BA0C02A81D}" uniqueName="3" name="01:00:00" queryTableFieldId="3"/>
    <tableColumn id="4" xr3:uid="{05E1724F-91E5-4FE2-8779-EEDC109C31E2}" uniqueName="4" name="02:00:00" queryTableFieldId="4"/>
    <tableColumn id="5" xr3:uid="{1A7FB8C0-4D99-410F-9E66-38B932239A2B}" uniqueName="5" name="03:00:00" queryTableFieldId="5"/>
    <tableColumn id="6" xr3:uid="{331B921D-A29C-4CDF-BCC2-B171B2F4C0B4}" uniqueName="6" name="04:00:00" queryTableFieldId="6"/>
    <tableColumn id="7" xr3:uid="{FFDF0997-DFF5-4482-9CBA-56C06AC4050C}" uniqueName="7" name="05:00:00" queryTableFieldId="7"/>
    <tableColumn id="8" xr3:uid="{B96F38A0-D9E5-4597-8CF5-11FF88112A70}" uniqueName="8" name="06:00:00" queryTableFieldId="8"/>
    <tableColumn id="9" xr3:uid="{9BD104A1-7C03-41D8-A0A8-0A37458EEC5F}" uniqueName="9" name="07:00:00" queryTableFieldId="9"/>
    <tableColumn id="10" xr3:uid="{11CCA423-5929-4F38-A5BA-216FE69CF835}" uniqueName="10" name="08:00:00" queryTableFieldId="10"/>
    <tableColumn id="11" xr3:uid="{C70EB807-FA49-47A2-A4A2-20F9D547513C}" uniqueName="11" name="09:00:00" queryTableFieldId="11"/>
    <tableColumn id="12" xr3:uid="{C0B156EA-9B41-4244-89BE-21F63FA46111}" uniqueName="12" name="10:00:00" queryTableFieldId="12"/>
    <tableColumn id="13" xr3:uid="{1AEC1DE6-5F7D-447C-94D3-D5A12A63C953}" uniqueName="13" name="11:00:00" queryTableFieldId="13"/>
    <tableColumn id="14" xr3:uid="{D89EFCBB-683E-4773-85AB-491072B8D9D7}" uniqueName="14" name="12:00:00" queryTableFieldId="14"/>
    <tableColumn id="15" xr3:uid="{4482C904-44C8-465F-9526-987CFA6EC487}" uniqueName="15" name="13:00:00" queryTableFieldId="15"/>
    <tableColumn id="16" xr3:uid="{27E63CAB-F05A-4A44-974A-2A435D33BE3E}" uniqueName="16" name="14:00:00" queryTableFieldId="16"/>
    <tableColumn id="17" xr3:uid="{AB1430E9-87E1-40D2-8168-D669CD557D44}" uniqueName="17" name="15:00:00" queryTableFieldId="17"/>
    <tableColumn id="18" xr3:uid="{58EFA254-EBA9-41E4-9026-A658B29140A1}" uniqueName="18" name="16:00:00" queryTableFieldId="18"/>
    <tableColumn id="19" xr3:uid="{7DA2256F-9B15-4609-B1A9-2A7090B6A503}" uniqueName="19" name="17:00:00" queryTableFieldId="19"/>
    <tableColumn id="20" xr3:uid="{2A67F863-E0E4-4B01-81A2-61113B7CDAA6}" uniqueName="20" name="18:00:00" queryTableFieldId="20"/>
    <tableColumn id="21" xr3:uid="{06783B03-6567-4817-B190-A8CCC13BC724}" uniqueName="21" name="19:00:00" queryTableFieldId="21"/>
    <tableColumn id="22" xr3:uid="{C6D4A68A-DAFF-44AC-8340-DBBE566E18CA}" uniqueName="22" name="20:00:00" queryTableFieldId="22"/>
    <tableColumn id="23" xr3:uid="{2E8D6E72-2E48-4E58-9285-38FE7A58CA6B}" uniqueName="23" name="21:00:00" queryTableFieldId="23"/>
    <tableColumn id="24" xr3:uid="{8ED8158C-B588-4605-907A-25AA83AC90DE}" uniqueName="24" name="22:00:00" queryTableFieldId="24"/>
    <tableColumn id="25" xr3:uid="{A75EF49A-912A-4C03-9EE6-9980725A8BCF}" uniqueName="25" name="23:00:00" queryTableFieldId="25"/>
    <tableColumn id="26" xr3:uid="{18E8EC5F-8F45-49C2-9717-356F7F1495F5}" uniqueName="26" name="AVERAGE AQI" totalsRowFunction="average" queryTableFieldId="26" dataDxfId="17" totalsRowDxfId="3">
      <calculatedColumnFormula>AVERAGE(Sheet1__11[[#This Row],[00:00:00]:[23:00:00]])</calculatedColumnFormula>
    </tableColumn>
    <tableColumn id="27" xr3:uid="{4CE36AD5-97B9-4E54-AE91-022A5D664C8C}" uniqueName="27" name="QUALITY" queryTableFieldId="27" dataDxfId="18" totalsRowDxfId="2">
      <calculatedColumnFormula array="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39B9075-75A4-4B87-B47A-D335C0E646C5}" name="Sheet1__12" displayName="Sheet1__12" ref="A1:AA33" tableType="queryTable" totalsRowCount="1">
  <autoFilter ref="A1:AA32" xr:uid="{539B9075-75A4-4B87-B47A-D335C0E646C5}"/>
  <tableColumns count="27">
    <tableColumn id="1" xr3:uid="{8D884E80-8A96-4118-B871-E3EECA692873}" uniqueName="1" name="Date" queryTableFieldId="1"/>
    <tableColumn id="2" xr3:uid="{56C752B1-B532-4681-8DE4-BE24047579EB}" uniqueName="2" name="00:00:00" queryTableFieldId="2"/>
    <tableColumn id="3" xr3:uid="{9D337301-9F99-4793-A6F3-03E149D9A194}" uniqueName="3" name="01:00:00" queryTableFieldId="3"/>
    <tableColumn id="4" xr3:uid="{3154C9EC-B5F0-4E24-B669-AF6E64DFF06A}" uniqueName="4" name="02:00:00" queryTableFieldId="4"/>
    <tableColumn id="5" xr3:uid="{ADD0770D-5E57-4469-AB37-5D9A6AEF6C73}" uniqueName="5" name="03:00:00" queryTableFieldId="5"/>
    <tableColumn id="6" xr3:uid="{9624DFBD-5584-42AF-9DEA-89AEC8F22AB5}" uniqueName="6" name="04:00:00" queryTableFieldId="6"/>
    <tableColumn id="7" xr3:uid="{D5E6953A-8075-4117-B292-5A0466375A52}" uniqueName="7" name="05:00:00" queryTableFieldId="7"/>
    <tableColumn id="8" xr3:uid="{B00201D1-D929-49B0-B06E-9C889F162E9C}" uniqueName="8" name="06:00:00" queryTableFieldId="8"/>
    <tableColumn id="9" xr3:uid="{A6AA2E2E-2F59-4095-860D-8986AA8F21A7}" uniqueName="9" name="07:00:00" queryTableFieldId="9"/>
    <tableColumn id="10" xr3:uid="{FAC633FB-BF28-40A9-A2FC-7380C88E5B47}" uniqueName="10" name="08:00:00" queryTableFieldId="10"/>
    <tableColumn id="11" xr3:uid="{AAC4962E-8F5B-4A75-9F4F-D81E3B74CBE3}" uniqueName="11" name="09:00:00" queryTableFieldId="11"/>
    <tableColumn id="12" xr3:uid="{7FE472A5-968F-4D34-BD9D-491820FCCE0D}" uniqueName="12" name="10:00:00" queryTableFieldId="12"/>
    <tableColumn id="13" xr3:uid="{AF16BC85-B48E-45D2-956D-9E8AC5CC78D3}" uniqueName="13" name="11:00:00" queryTableFieldId="13"/>
    <tableColumn id="14" xr3:uid="{4699A12E-8E1A-4FFD-9435-F64DB3B31F0A}" uniqueName="14" name="12:00:00" queryTableFieldId="14"/>
    <tableColumn id="15" xr3:uid="{B5B6B9CC-ACB1-4948-8296-65E8E0762E7A}" uniqueName="15" name="13:00:00" queryTableFieldId="15"/>
    <tableColumn id="16" xr3:uid="{FAAA9032-FF42-4EAE-8106-07906EEB367C}" uniqueName="16" name="14:00:00" queryTableFieldId="16"/>
    <tableColumn id="17" xr3:uid="{38268E06-F4BD-4FB4-B500-AB78FD50125E}" uniqueName="17" name="15:00:00" queryTableFieldId="17"/>
    <tableColumn id="18" xr3:uid="{4D3370B4-DD1B-40F6-8DC4-E0AB9C2D3F23}" uniqueName="18" name="16:00:00" queryTableFieldId="18"/>
    <tableColumn id="19" xr3:uid="{C908CD6C-5914-4532-8D13-A2708152EA25}" uniqueName="19" name="17:00:00" queryTableFieldId="19"/>
    <tableColumn id="20" xr3:uid="{8B725CEF-B3E0-4D61-A4D5-166B710C75B6}" uniqueName="20" name="18:00:00" queryTableFieldId="20"/>
    <tableColumn id="21" xr3:uid="{0E059712-D6FE-4150-95DE-74A1FE4DE99D}" uniqueName="21" name="19:00:00" queryTableFieldId="21"/>
    <tableColumn id="22" xr3:uid="{66EF2502-CC40-4478-8A4A-D823D266E8E9}" uniqueName="22" name="20:00:00" queryTableFieldId="22"/>
    <tableColumn id="23" xr3:uid="{A514F410-06DD-4AE7-B911-953C5A228CDF}" uniqueName="23" name="21:00:00" queryTableFieldId="23"/>
    <tableColumn id="24" xr3:uid="{F5758694-F953-4197-BE6F-1D4E1F37B7A8}" uniqueName="24" name="22:00:00" queryTableFieldId="24"/>
    <tableColumn id="25" xr3:uid="{B81EC877-6F78-475E-8299-75F18284D012}" uniqueName="25" name="23:00:00" queryTableFieldId="25"/>
    <tableColumn id="26" xr3:uid="{46DCAEB9-E445-4E47-ADBE-120453EF1038}" uniqueName="26" name="AVERAGE AQI" totalsRowFunction="average" queryTableFieldId="26" dataDxfId="9" totalsRowDxfId="1">
      <calculatedColumnFormula>AVERAGE(Sheet1__12[[#This Row],[00:00:00]:[23:00:00]])</calculatedColumnFormula>
    </tableColumn>
    <tableColumn id="27" xr3:uid="{F759D023-A319-430D-90FB-03EC8BEA65EC}" uniqueName="27" name="QUALITY" queryTableFieldId="27" dataDxfId="10" totalsRowDxfId="0">
      <calculatedColumnFormula array="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C42B-D5D1-47A1-A119-9E0F251066E2}">
  <dimension ref="A1:AA33"/>
  <sheetViews>
    <sheetView topLeftCell="A8" workbookViewId="0">
      <selection activeCell="AB21" sqref="AB21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45658</v>
      </c>
      <c r="B2">
        <v>87</v>
      </c>
      <c r="C2">
        <v>88</v>
      </c>
      <c r="D2">
        <v>92</v>
      </c>
      <c r="E2">
        <v>94</v>
      </c>
      <c r="F2">
        <v>96</v>
      </c>
      <c r="G2">
        <v>98</v>
      </c>
      <c r="H2">
        <v>98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101</v>
      </c>
      <c r="P2">
        <v>102</v>
      </c>
      <c r="Q2">
        <v>102</v>
      </c>
      <c r="R2">
        <v>102</v>
      </c>
      <c r="S2">
        <v>102</v>
      </c>
      <c r="T2">
        <v>103</v>
      </c>
      <c r="U2">
        <v>106</v>
      </c>
      <c r="V2">
        <v>105</v>
      </c>
      <c r="W2">
        <v>104</v>
      </c>
      <c r="X2">
        <v>103</v>
      </c>
      <c r="Y2">
        <v>100</v>
      </c>
      <c r="Z2" s="2">
        <f>AVERAGE(Sheet1[[#This Row],[00:00:00]:[23:00:00]])</f>
        <v>99.291666666666671</v>
      </c>
      <c r="AA2" s="4" t="str" cm="1">
        <f t="array" ref="AA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3" spans="1:27" x14ac:dyDescent="0.3">
      <c r="A3" s="1">
        <v>45659</v>
      </c>
      <c r="B3">
        <v>100</v>
      </c>
      <c r="C3">
        <v>98</v>
      </c>
      <c r="D3">
        <v>94</v>
      </c>
      <c r="E3">
        <v>90</v>
      </c>
      <c r="F3">
        <v>88</v>
      </c>
      <c r="G3">
        <v>84</v>
      </c>
      <c r="H3">
        <v>83</v>
      </c>
      <c r="I3">
        <v>82</v>
      </c>
      <c r="J3">
        <v>80</v>
      </c>
      <c r="K3">
        <v>78</v>
      </c>
      <c r="L3">
        <v>76</v>
      </c>
      <c r="M3">
        <v>75</v>
      </c>
      <c r="N3">
        <v>75</v>
      </c>
      <c r="O3">
        <v>76</v>
      </c>
      <c r="P3">
        <v>76</v>
      </c>
      <c r="Q3">
        <v>78</v>
      </c>
      <c r="R3">
        <v>79</v>
      </c>
      <c r="S3">
        <v>80</v>
      </c>
      <c r="T3">
        <v>84</v>
      </c>
      <c r="U3">
        <v>87</v>
      </c>
      <c r="V3">
        <v>88</v>
      </c>
      <c r="W3">
        <v>87</v>
      </c>
      <c r="X3">
        <v>88</v>
      </c>
      <c r="Y3">
        <v>89</v>
      </c>
      <c r="Z3" s="2">
        <f>AVERAGE(Sheet1[[#This Row],[00:00:00]:[23:00:00]])</f>
        <v>83.958333333333329</v>
      </c>
      <c r="AA3" t="str" cm="1">
        <f t="array" ref="AA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4" spans="1:27" x14ac:dyDescent="0.3">
      <c r="A4" s="1">
        <v>45660</v>
      </c>
      <c r="B4">
        <v>90</v>
      </c>
      <c r="C4">
        <v>92</v>
      </c>
      <c r="D4">
        <v>92</v>
      </c>
      <c r="E4">
        <v>94</v>
      </c>
      <c r="F4">
        <v>96</v>
      </c>
      <c r="G4">
        <v>98</v>
      </c>
      <c r="H4">
        <v>99</v>
      </c>
      <c r="I4">
        <v>100</v>
      </c>
      <c r="J4">
        <v>100</v>
      </c>
      <c r="K4">
        <v>100</v>
      </c>
      <c r="L4">
        <v>100</v>
      </c>
      <c r="M4">
        <v>98</v>
      </c>
      <c r="N4">
        <v>98</v>
      </c>
      <c r="O4">
        <v>96</v>
      </c>
      <c r="P4">
        <v>95</v>
      </c>
      <c r="Q4">
        <v>94</v>
      </c>
      <c r="R4">
        <v>92</v>
      </c>
      <c r="S4">
        <v>92</v>
      </c>
      <c r="T4">
        <v>90</v>
      </c>
      <c r="U4">
        <v>90</v>
      </c>
      <c r="V4">
        <v>88</v>
      </c>
      <c r="W4">
        <v>88</v>
      </c>
      <c r="X4">
        <v>88</v>
      </c>
      <c r="Y4">
        <v>88</v>
      </c>
      <c r="Z4" s="2">
        <f>AVERAGE(Sheet1[[#This Row],[00:00:00]:[23:00:00]])</f>
        <v>94.083333333333329</v>
      </c>
      <c r="AA4" t="str" cm="1">
        <f t="array" ref="AA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5" spans="1:27" x14ac:dyDescent="0.3">
      <c r="A5" s="1">
        <v>45661</v>
      </c>
      <c r="B5">
        <v>88</v>
      </c>
      <c r="C5">
        <v>88</v>
      </c>
      <c r="D5">
        <v>89</v>
      </c>
      <c r="E5">
        <v>89</v>
      </c>
      <c r="F5">
        <v>89</v>
      </c>
      <c r="G5">
        <v>88</v>
      </c>
      <c r="H5">
        <v>86</v>
      </c>
      <c r="I5">
        <v>87</v>
      </c>
      <c r="K5">
        <v>88</v>
      </c>
      <c r="L5">
        <v>88</v>
      </c>
      <c r="M5">
        <v>90</v>
      </c>
      <c r="N5">
        <v>90</v>
      </c>
      <c r="O5">
        <v>90</v>
      </c>
      <c r="P5">
        <v>92</v>
      </c>
      <c r="Q5">
        <v>92</v>
      </c>
      <c r="R5">
        <v>198</v>
      </c>
      <c r="S5">
        <v>243</v>
      </c>
      <c r="T5">
        <v>228</v>
      </c>
      <c r="U5">
        <v>168</v>
      </c>
      <c r="V5">
        <v>142</v>
      </c>
      <c r="W5">
        <v>138</v>
      </c>
      <c r="X5">
        <v>134</v>
      </c>
      <c r="Y5">
        <v>128</v>
      </c>
      <c r="Z5" s="2">
        <f>AVERAGE(Sheet1[[#This Row],[00:00:00]:[23:00:00]])</f>
        <v>117.95652173913044</v>
      </c>
      <c r="AA5" t="str" cm="1">
        <f t="array" ref="AA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6" spans="1:27" x14ac:dyDescent="0.3">
      <c r="A6" s="1">
        <v>45662</v>
      </c>
      <c r="B6">
        <v>119</v>
      </c>
      <c r="C6">
        <v>108</v>
      </c>
      <c r="D6">
        <v>100</v>
      </c>
      <c r="E6">
        <v>101</v>
      </c>
      <c r="F6">
        <v>102</v>
      </c>
      <c r="G6">
        <v>103</v>
      </c>
      <c r="H6">
        <v>105</v>
      </c>
      <c r="I6">
        <v>104</v>
      </c>
      <c r="J6">
        <v>106</v>
      </c>
      <c r="K6">
        <v>106</v>
      </c>
      <c r="L6">
        <v>107</v>
      </c>
      <c r="M6">
        <v>108</v>
      </c>
      <c r="N6">
        <v>108</v>
      </c>
      <c r="O6">
        <v>108</v>
      </c>
      <c r="P6">
        <v>130</v>
      </c>
      <c r="Q6">
        <v>142</v>
      </c>
      <c r="R6">
        <v>134</v>
      </c>
      <c r="S6">
        <v>130</v>
      </c>
      <c r="T6">
        <v>130</v>
      </c>
      <c r="U6">
        <v>122</v>
      </c>
      <c r="V6">
        <v>122</v>
      </c>
      <c r="W6">
        <v>126</v>
      </c>
      <c r="X6">
        <v>124</v>
      </c>
      <c r="Y6">
        <v>120</v>
      </c>
      <c r="Z6" s="2">
        <f>AVERAGE(Sheet1[[#This Row],[00:00:00]:[23:00:00]])</f>
        <v>115.20833333333333</v>
      </c>
      <c r="AA6" t="str" cm="1">
        <f t="array" ref="AA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7" spans="1:27" x14ac:dyDescent="0.3">
      <c r="A7" s="1">
        <v>45663</v>
      </c>
      <c r="B7">
        <v>122</v>
      </c>
      <c r="C7">
        <v>122</v>
      </c>
      <c r="D7">
        <v>124</v>
      </c>
      <c r="E7">
        <v>124</v>
      </c>
      <c r="F7">
        <v>124</v>
      </c>
      <c r="G7">
        <v>124</v>
      </c>
      <c r="H7">
        <v>123</v>
      </c>
      <c r="I7">
        <v>121</v>
      </c>
      <c r="J7">
        <v>120</v>
      </c>
      <c r="K7">
        <v>118</v>
      </c>
      <c r="L7">
        <v>106</v>
      </c>
      <c r="M7">
        <v>104</v>
      </c>
      <c r="N7">
        <v>112</v>
      </c>
      <c r="O7">
        <v>110</v>
      </c>
      <c r="P7">
        <v>110</v>
      </c>
      <c r="Q7">
        <v>109</v>
      </c>
      <c r="R7">
        <v>108</v>
      </c>
      <c r="S7">
        <v>106</v>
      </c>
      <c r="T7">
        <v>105</v>
      </c>
      <c r="U7">
        <v>105</v>
      </c>
      <c r="V7">
        <v>106</v>
      </c>
      <c r="W7">
        <v>104</v>
      </c>
      <c r="X7">
        <v>104</v>
      </c>
      <c r="Y7">
        <v>100</v>
      </c>
      <c r="Z7" s="2">
        <f>AVERAGE(Sheet1[[#This Row],[00:00:00]:[23:00:00]])</f>
        <v>112.95833333333333</v>
      </c>
      <c r="AA7" t="str" cm="1">
        <f t="array" ref="AA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8" spans="1:27" x14ac:dyDescent="0.3">
      <c r="A8" s="1">
        <v>45664</v>
      </c>
      <c r="B8">
        <v>96</v>
      </c>
      <c r="C8">
        <v>96</v>
      </c>
      <c r="D8">
        <v>94</v>
      </c>
      <c r="E8">
        <v>94</v>
      </c>
      <c r="F8">
        <v>92</v>
      </c>
      <c r="G8">
        <v>92</v>
      </c>
      <c r="H8">
        <v>92</v>
      </c>
      <c r="I8">
        <v>94</v>
      </c>
      <c r="J8">
        <v>95</v>
      </c>
      <c r="K8">
        <v>98</v>
      </c>
      <c r="L8">
        <v>100</v>
      </c>
      <c r="M8">
        <v>104</v>
      </c>
      <c r="N8">
        <v>106</v>
      </c>
      <c r="O8">
        <v>109</v>
      </c>
      <c r="P8">
        <v>112</v>
      </c>
      <c r="Q8">
        <v>112</v>
      </c>
      <c r="R8">
        <v>114</v>
      </c>
      <c r="S8">
        <v>116</v>
      </c>
      <c r="T8">
        <v>118</v>
      </c>
      <c r="U8">
        <v>117</v>
      </c>
      <c r="V8">
        <v>117</v>
      </c>
      <c r="W8">
        <v>116</v>
      </c>
      <c r="X8">
        <v>116</v>
      </c>
      <c r="Y8">
        <v>114</v>
      </c>
      <c r="Z8" s="2">
        <f>AVERAGE(Sheet1[[#This Row],[00:00:00]:[23:00:00]])</f>
        <v>104.75</v>
      </c>
      <c r="AA8" t="str" cm="1">
        <f t="array" ref="AA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9" spans="1:27" x14ac:dyDescent="0.3">
      <c r="A9" s="1">
        <v>45665</v>
      </c>
      <c r="B9">
        <v>113</v>
      </c>
      <c r="C9">
        <v>112</v>
      </c>
      <c r="D9">
        <v>112</v>
      </c>
      <c r="E9">
        <v>111</v>
      </c>
      <c r="F9">
        <v>111</v>
      </c>
      <c r="G9">
        <v>110</v>
      </c>
      <c r="H9">
        <v>110</v>
      </c>
      <c r="I9">
        <v>110</v>
      </c>
      <c r="J9">
        <v>110</v>
      </c>
      <c r="K9">
        <v>109</v>
      </c>
      <c r="L9">
        <v>108</v>
      </c>
      <c r="M9">
        <v>108</v>
      </c>
      <c r="N9">
        <v>107</v>
      </c>
      <c r="O9">
        <v>106</v>
      </c>
      <c r="P9">
        <v>106</v>
      </c>
      <c r="Q9">
        <v>104</v>
      </c>
      <c r="R9">
        <v>105</v>
      </c>
      <c r="S9">
        <v>105</v>
      </c>
      <c r="T9">
        <v>105</v>
      </c>
      <c r="U9">
        <v>105</v>
      </c>
      <c r="V9">
        <v>106</v>
      </c>
      <c r="W9">
        <v>108</v>
      </c>
      <c r="X9">
        <v>114</v>
      </c>
      <c r="Y9">
        <v>135</v>
      </c>
      <c r="Z9" s="2">
        <f>AVERAGE(Sheet1[[#This Row],[00:00:00]:[23:00:00]])</f>
        <v>109.58333333333333</v>
      </c>
      <c r="AA9" t="str" cm="1">
        <f t="array" ref="AA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0" spans="1:27" x14ac:dyDescent="0.3">
      <c r="A10" s="1">
        <v>45666</v>
      </c>
      <c r="B10">
        <v>122</v>
      </c>
      <c r="C10">
        <v>126</v>
      </c>
      <c r="D10">
        <v>129</v>
      </c>
      <c r="E10">
        <v>134</v>
      </c>
      <c r="F10">
        <v>138</v>
      </c>
      <c r="G10">
        <v>142</v>
      </c>
      <c r="H10">
        <v>146</v>
      </c>
      <c r="I10">
        <v>150</v>
      </c>
      <c r="J10">
        <v>152</v>
      </c>
      <c r="K10">
        <v>154</v>
      </c>
      <c r="L10">
        <v>155</v>
      </c>
      <c r="M10">
        <v>156</v>
      </c>
      <c r="N10">
        <v>155</v>
      </c>
      <c r="O10">
        <v>155</v>
      </c>
      <c r="P10">
        <v>153</v>
      </c>
      <c r="Q10">
        <v>152</v>
      </c>
      <c r="R10">
        <v>150</v>
      </c>
      <c r="S10">
        <v>148</v>
      </c>
      <c r="T10">
        <v>148</v>
      </c>
      <c r="U10">
        <v>147</v>
      </c>
      <c r="V10">
        <v>146</v>
      </c>
      <c r="W10">
        <v>144</v>
      </c>
      <c r="X10">
        <v>142</v>
      </c>
      <c r="Y10">
        <v>141</v>
      </c>
      <c r="Z10" s="2">
        <f>AVERAGE(Sheet1[[#This Row],[00:00:00]:[23:00:00]])</f>
        <v>145.20833333333334</v>
      </c>
      <c r="AA10" t="str" cm="1">
        <f t="array" ref="AA1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1" spans="1:27" x14ac:dyDescent="0.3">
      <c r="A11" s="1">
        <v>45667</v>
      </c>
      <c r="B11">
        <v>141</v>
      </c>
      <c r="C11">
        <v>140</v>
      </c>
      <c r="D11">
        <v>140</v>
      </c>
      <c r="E11">
        <v>138</v>
      </c>
      <c r="F11">
        <v>138</v>
      </c>
      <c r="G11">
        <v>138</v>
      </c>
      <c r="H11">
        <v>138</v>
      </c>
      <c r="I11">
        <v>138</v>
      </c>
      <c r="J11">
        <v>138</v>
      </c>
      <c r="K11">
        <v>138</v>
      </c>
      <c r="L11">
        <v>137</v>
      </c>
      <c r="M11">
        <v>136</v>
      </c>
      <c r="N11">
        <v>136</v>
      </c>
      <c r="O11">
        <v>137</v>
      </c>
      <c r="P11">
        <v>138</v>
      </c>
      <c r="Q11">
        <v>137</v>
      </c>
      <c r="R11">
        <v>137</v>
      </c>
      <c r="S11">
        <v>264</v>
      </c>
      <c r="T11">
        <v>264</v>
      </c>
      <c r="U11">
        <v>182</v>
      </c>
      <c r="V11">
        <v>146</v>
      </c>
      <c r="W11">
        <v>150</v>
      </c>
      <c r="X11">
        <v>154</v>
      </c>
      <c r="Y11">
        <v>158</v>
      </c>
      <c r="Z11" s="2">
        <f>AVERAGE(Sheet1[[#This Row],[00:00:00]:[23:00:00]])</f>
        <v>152.625</v>
      </c>
      <c r="AA11" t="str" cm="1">
        <f t="array" ref="AA1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2" spans="1:27" x14ac:dyDescent="0.3">
      <c r="A12" s="1">
        <v>45668</v>
      </c>
      <c r="B12">
        <v>168</v>
      </c>
      <c r="C12">
        <v>184</v>
      </c>
      <c r="D12">
        <v>156</v>
      </c>
      <c r="E12">
        <v>152</v>
      </c>
      <c r="F12">
        <v>160</v>
      </c>
      <c r="G12">
        <v>150</v>
      </c>
      <c r="H12">
        <v>149</v>
      </c>
      <c r="I12">
        <v>150</v>
      </c>
      <c r="J12">
        <v>152</v>
      </c>
      <c r="K12">
        <v>155</v>
      </c>
      <c r="L12">
        <v>160</v>
      </c>
      <c r="M12">
        <v>164</v>
      </c>
      <c r="N12">
        <v>166</v>
      </c>
      <c r="O12">
        <v>166</v>
      </c>
      <c r="P12">
        <v>168</v>
      </c>
      <c r="Q12">
        <v>168</v>
      </c>
      <c r="R12">
        <v>170</v>
      </c>
      <c r="S12">
        <v>170</v>
      </c>
      <c r="T12">
        <v>170</v>
      </c>
      <c r="U12">
        <v>170</v>
      </c>
      <c r="V12">
        <v>170</v>
      </c>
      <c r="W12">
        <v>170</v>
      </c>
      <c r="X12">
        <v>170</v>
      </c>
      <c r="Y12">
        <v>170</v>
      </c>
      <c r="Z12" s="2">
        <f>AVERAGE(Sheet1[[#This Row],[00:00:00]:[23:00:00]])</f>
        <v>163.66666666666666</v>
      </c>
      <c r="AA12" t="str" cm="1">
        <f t="array" ref="AA1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3" spans="1:27" x14ac:dyDescent="0.3">
      <c r="A13" s="1">
        <v>45669</v>
      </c>
      <c r="B13">
        <v>167</v>
      </c>
      <c r="C13">
        <v>166</v>
      </c>
      <c r="D13">
        <v>164</v>
      </c>
      <c r="E13">
        <v>162</v>
      </c>
      <c r="F13">
        <v>162</v>
      </c>
      <c r="G13">
        <v>160</v>
      </c>
      <c r="H13">
        <v>159</v>
      </c>
      <c r="I13">
        <v>157</v>
      </c>
      <c r="J13">
        <v>153</v>
      </c>
      <c r="K13">
        <v>149</v>
      </c>
      <c r="L13">
        <v>145</v>
      </c>
      <c r="M13">
        <v>144</v>
      </c>
      <c r="N13">
        <v>143</v>
      </c>
      <c r="O13">
        <v>144</v>
      </c>
      <c r="P13">
        <v>144</v>
      </c>
      <c r="Q13">
        <v>144</v>
      </c>
      <c r="R13">
        <v>144</v>
      </c>
      <c r="S13">
        <v>142</v>
      </c>
      <c r="T13">
        <v>140</v>
      </c>
      <c r="U13">
        <v>140</v>
      </c>
      <c r="V13">
        <v>138</v>
      </c>
      <c r="W13">
        <v>137</v>
      </c>
      <c r="X13">
        <v>137</v>
      </c>
      <c r="Y13">
        <v>138</v>
      </c>
      <c r="Z13" s="2">
        <f>AVERAGE(Sheet1[[#This Row],[00:00:00]:[23:00:00]])</f>
        <v>149.125</v>
      </c>
      <c r="AA13" t="str" cm="1">
        <f t="array" ref="AA1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4" spans="1:27" x14ac:dyDescent="0.3">
      <c r="A14" s="1">
        <v>45670</v>
      </c>
      <c r="B14">
        <v>138</v>
      </c>
      <c r="C14">
        <v>138</v>
      </c>
      <c r="D14">
        <v>137</v>
      </c>
      <c r="E14">
        <v>136</v>
      </c>
      <c r="F14">
        <v>134</v>
      </c>
      <c r="G14">
        <v>133</v>
      </c>
      <c r="H14">
        <v>132</v>
      </c>
      <c r="I14">
        <v>133</v>
      </c>
      <c r="J14">
        <v>134</v>
      </c>
      <c r="K14">
        <v>134</v>
      </c>
      <c r="L14">
        <v>134</v>
      </c>
      <c r="M14">
        <v>131</v>
      </c>
      <c r="N14">
        <v>130</v>
      </c>
      <c r="O14">
        <v>127</v>
      </c>
      <c r="P14">
        <v>125</v>
      </c>
      <c r="Q14">
        <v>124</v>
      </c>
      <c r="R14">
        <v>124</v>
      </c>
      <c r="S14">
        <v>124</v>
      </c>
      <c r="T14">
        <v>124</v>
      </c>
      <c r="U14">
        <v>124</v>
      </c>
      <c r="V14">
        <v>124</v>
      </c>
      <c r="W14">
        <v>124</v>
      </c>
      <c r="X14">
        <v>123</v>
      </c>
      <c r="Y14">
        <v>122</v>
      </c>
      <c r="Z14" s="2">
        <f>AVERAGE(Sheet1[[#This Row],[00:00:00]:[23:00:00]])</f>
        <v>129.54166666666666</v>
      </c>
      <c r="AA14" t="str" cm="1">
        <f t="array" ref="AA1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5" spans="1:27" x14ac:dyDescent="0.3">
      <c r="A15" s="1">
        <v>45671</v>
      </c>
      <c r="B15">
        <v>122</v>
      </c>
      <c r="C15">
        <v>123</v>
      </c>
      <c r="D15">
        <v>124</v>
      </c>
      <c r="E15">
        <v>125</v>
      </c>
      <c r="F15">
        <v>126</v>
      </c>
      <c r="G15">
        <v>128</v>
      </c>
      <c r="H15">
        <v>130</v>
      </c>
      <c r="I15">
        <v>131</v>
      </c>
      <c r="J15">
        <v>132</v>
      </c>
      <c r="K15">
        <v>132</v>
      </c>
      <c r="L15">
        <v>134</v>
      </c>
      <c r="M15">
        <v>135</v>
      </c>
      <c r="N15">
        <v>137</v>
      </c>
      <c r="O15">
        <v>138</v>
      </c>
      <c r="P15">
        <v>140</v>
      </c>
      <c r="Q15">
        <v>139</v>
      </c>
      <c r="R15">
        <v>143</v>
      </c>
      <c r="S15">
        <v>175</v>
      </c>
      <c r="T15">
        <v>148</v>
      </c>
      <c r="U15">
        <v>150</v>
      </c>
      <c r="V15">
        <v>142</v>
      </c>
      <c r="W15">
        <v>143</v>
      </c>
      <c r="X15">
        <v>144</v>
      </c>
      <c r="Y15">
        <v>144</v>
      </c>
      <c r="Z15" s="2">
        <f>AVERAGE(Sheet1[[#This Row],[00:00:00]:[23:00:00]])</f>
        <v>136.875</v>
      </c>
      <c r="AA15" t="str" cm="1">
        <f t="array" ref="AA1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6" spans="1:27" x14ac:dyDescent="0.3">
      <c r="A16" s="1">
        <v>45672</v>
      </c>
      <c r="B16">
        <v>145</v>
      </c>
      <c r="C16">
        <v>145</v>
      </c>
      <c r="D16">
        <v>146</v>
      </c>
      <c r="E16">
        <v>146</v>
      </c>
      <c r="F16">
        <v>146</v>
      </c>
      <c r="G16">
        <v>147</v>
      </c>
      <c r="H16">
        <v>148</v>
      </c>
      <c r="I16">
        <v>148</v>
      </c>
      <c r="J16">
        <v>150</v>
      </c>
      <c r="K16">
        <v>152</v>
      </c>
      <c r="L16">
        <v>152</v>
      </c>
      <c r="M16">
        <v>153</v>
      </c>
      <c r="N16">
        <v>157</v>
      </c>
      <c r="O16">
        <v>160</v>
      </c>
      <c r="P16">
        <v>162</v>
      </c>
      <c r="Q16">
        <v>164</v>
      </c>
      <c r="R16">
        <v>167</v>
      </c>
      <c r="S16">
        <v>169</v>
      </c>
      <c r="T16">
        <v>170</v>
      </c>
      <c r="U16">
        <v>170</v>
      </c>
      <c r="V16">
        <v>170</v>
      </c>
      <c r="W16">
        <v>170</v>
      </c>
      <c r="X16">
        <v>173</v>
      </c>
      <c r="Y16">
        <v>177</v>
      </c>
      <c r="Z16" s="2">
        <f>AVERAGE(Sheet1[[#This Row],[00:00:00]:[23:00:00]])</f>
        <v>157.79166666666666</v>
      </c>
      <c r="AA16" t="str" cm="1">
        <f t="array" ref="AA1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7" spans="1:27" x14ac:dyDescent="0.3">
      <c r="A17" s="1">
        <v>45673</v>
      </c>
      <c r="B17">
        <v>181</v>
      </c>
      <c r="C17">
        <v>185</v>
      </c>
      <c r="D17">
        <v>188</v>
      </c>
      <c r="E17">
        <v>192</v>
      </c>
      <c r="F17">
        <v>194</v>
      </c>
      <c r="G17">
        <v>196</v>
      </c>
      <c r="H17">
        <v>200</v>
      </c>
      <c r="I17">
        <v>204</v>
      </c>
      <c r="J17">
        <v>208</v>
      </c>
      <c r="K17">
        <v>210</v>
      </c>
      <c r="L17">
        <v>212</v>
      </c>
      <c r="M17">
        <v>212</v>
      </c>
      <c r="N17">
        <v>207</v>
      </c>
      <c r="O17">
        <v>201</v>
      </c>
      <c r="P17">
        <v>196</v>
      </c>
      <c r="Q17">
        <v>190</v>
      </c>
      <c r="R17">
        <v>186</v>
      </c>
      <c r="S17">
        <v>181</v>
      </c>
      <c r="T17">
        <v>178</v>
      </c>
      <c r="U17">
        <v>176</v>
      </c>
      <c r="V17">
        <v>176</v>
      </c>
      <c r="W17">
        <v>175</v>
      </c>
      <c r="X17">
        <v>174</v>
      </c>
      <c r="Y17">
        <v>173</v>
      </c>
      <c r="Z17" s="2">
        <f>AVERAGE(Sheet1[[#This Row],[00:00:00]:[23:00:00]])</f>
        <v>191.45833333333334</v>
      </c>
      <c r="AA17" t="str" cm="1">
        <f t="array" ref="AA1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8" spans="1:27" x14ac:dyDescent="0.3">
      <c r="A18" s="1">
        <v>45674</v>
      </c>
      <c r="B18">
        <v>170</v>
      </c>
      <c r="C18">
        <v>169</v>
      </c>
      <c r="D18">
        <v>167</v>
      </c>
      <c r="E18">
        <v>164</v>
      </c>
      <c r="F18">
        <v>163</v>
      </c>
      <c r="G18">
        <v>161</v>
      </c>
      <c r="H18">
        <v>158</v>
      </c>
      <c r="I18">
        <v>156</v>
      </c>
      <c r="J18">
        <v>152</v>
      </c>
      <c r="K18">
        <v>150</v>
      </c>
      <c r="L18">
        <v>149</v>
      </c>
      <c r="M18">
        <v>146</v>
      </c>
      <c r="N18">
        <v>146</v>
      </c>
      <c r="O18">
        <v>144</v>
      </c>
      <c r="P18">
        <v>145</v>
      </c>
      <c r="Q18">
        <v>143</v>
      </c>
      <c r="R18">
        <v>140</v>
      </c>
      <c r="S18">
        <v>136</v>
      </c>
      <c r="T18">
        <v>132</v>
      </c>
      <c r="U18">
        <v>129</v>
      </c>
      <c r="V18">
        <v>126</v>
      </c>
      <c r="W18">
        <v>123</v>
      </c>
      <c r="X18">
        <v>121</v>
      </c>
      <c r="Y18">
        <v>120</v>
      </c>
      <c r="Z18" s="2">
        <f>AVERAGE(Sheet1[[#This Row],[00:00:00]:[23:00:00]])</f>
        <v>146.25</v>
      </c>
      <c r="AA18" t="str" cm="1">
        <f t="array" ref="AA1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9" spans="1:27" x14ac:dyDescent="0.3">
      <c r="A19" s="1">
        <v>45675</v>
      </c>
      <c r="B19">
        <v>120</v>
      </c>
      <c r="C19">
        <v>120</v>
      </c>
      <c r="D19">
        <v>120</v>
      </c>
      <c r="E19">
        <v>120</v>
      </c>
      <c r="F19">
        <v>120</v>
      </c>
      <c r="G19">
        <v>120</v>
      </c>
      <c r="H19">
        <v>119</v>
      </c>
      <c r="I19">
        <v>118</v>
      </c>
      <c r="J19">
        <v>117</v>
      </c>
      <c r="K19">
        <v>116</v>
      </c>
      <c r="L19">
        <v>114</v>
      </c>
      <c r="M19">
        <v>114</v>
      </c>
      <c r="N19">
        <v>112</v>
      </c>
      <c r="O19">
        <v>112</v>
      </c>
      <c r="P19">
        <v>112</v>
      </c>
      <c r="Q19">
        <v>112</v>
      </c>
      <c r="R19">
        <v>112</v>
      </c>
      <c r="S19">
        <v>112</v>
      </c>
      <c r="T19">
        <v>110</v>
      </c>
      <c r="U19">
        <v>110</v>
      </c>
      <c r="V19">
        <v>110</v>
      </c>
      <c r="W19">
        <v>109</v>
      </c>
      <c r="X19">
        <v>108</v>
      </c>
      <c r="Y19">
        <v>108</v>
      </c>
      <c r="Z19" s="2">
        <f>AVERAGE(Sheet1[[#This Row],[00:00:00]:[23:00:00]])</f>
        <v>114.375</v>
      </c>
      <c r="AA19" t="str" cm="1">
        <f t="array" ref="AA1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0" spans="1:27" x14ac:dyDescent="0.3">
      <c r="A20" s="1">
        <v>45676</v>
      </c>
      <c r="B20">
        <v>106</v>
      </c>
      <c r="C20">
        <v>107</v>
      </c>
      <c r="D20">
        <v>107</v>
      </c>
      <c r="E20">
        <v>108</v>
      </c>
      <c r="F20">
        <v>108</v>
      </c>
      <c r="G20">
        <v>107</v>
      </c>
      <c r="H20">
        <v>107</v>
      </c>
      <c r="I20">
        <v>106</v>
      </c>
      <c r="J20">
        <v>106</v>
      </c>
      <c r="K20">
        <v>106</v>
      </c>
      <c r="L20">
        <v>106</v>
      </c>
      <c r="M20">
        <v>106</v>
      </c>
      <c r="N20">
        <v>107</v>
      </c>
      <c r="O20">
        <v>108</v>
      </c>
      <c r="P20">
        <v>108</v>
      </c>
      <c r="Q20">
        <v>109</v>
      </c>
      <c r="R20">
        <v>110</v>
      </c>
      <c r="S20">
        <v>111</v>
      </c>
      <c r="T20">
        <v>112</v>
      </c>
      <c r="U20">
        <v>112</v>
      </c>
      <c r="V20">
        <v>114</v>
      </c>
      <c r="W20">
        <v>114</v>
      </c>
      <c r="X20">
        <v>114</v>
      </c>
      <c r="Y20">
        <v>114</v>
      </c>
      <c r="Z20" s="2">
        <f>AVERAGE(Sheet1[[#This Row],[00:00:00]:[23:00:00]])</f>
        <v>108.875</v>
      </c>
      <c r="AA20" t="str" cm="1">
        <f t="array" ref="AA2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1" spans="1:27" x14ac:dyDescent="0.3">
      <c r="A21" s="1">
        <v>45677</v>
      </c>
      <c r="B21">
        <v>113</v>
      </c>
      <c r="C21">
        <v>112</v>
      </c>
      <c r="D21">
        <v>112</v>
      </c>
      <c r="E21">
        <v>112</v>
      </c>
      <c r="F21">
        <v>112</v>
      </c>
      <c r="G21">
        <v>114</v>
      </c>
      <c r="H21">
        <v>116</v>
      </c>
      <c r="I21">
        <v>118</v>
      </c>
      <c r="J21">
        <v>122</v>
      </c>
      <c r="K21">
        <v>124</v>
      </c>
      <c r="L21">
        <v>125</v>
      </c>
      <c r="M21">
        <v>124</v>
      </c>
      <c r="N21">
        <v>124</v>
      </c>
      <c r="O21">
        <v>123</v>
      </c>
      <c r="P21">
        <v>123</v>
      </c>
      <c r="Q21">
        <v>121</v>
      </c>
      <c r="R21">
        <v>120</v>
      </c>
      <c r="S21">
        <v>120</v>
      </c>
      <c r="T21">
        <v>118</v>
      </c>
      <c r="U21">
        <v>118</v>
      </c>
      <c r="V21">
        <v>118</v>
      </c>
      <c r="W21">
        <v>116</v>
      </c>
      <c r="X21">
        <v>116</v>
      </c>
      <c r="Y21">
        <v>115</v>
      </c>
      <c r="Z21" s="2">
        <f>AVERAGE(Sheet1[[#This Row],[00:00:00]:[23:00:00]])</f>
        <v>118.16666666666667</v>
      </c>
      <c r="AA21" t="str" cm="1">
        <f t="array" ref="AA2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2" spans="1:27" x14ac:dyDescent="0.3">
      <c r="A22" s="1">
        <v>45678</v>
      </c>
      <c r="B22">
        <v>114</v>
      </c>
      <c r="C22">
        <v>113</v>
      </c>
      <c r="D22">
        <v>112</v>
      </c>
      <c r="E22">
        <v>112</v>
      </c>
      <c r="F22">
        <v>110</v>
      </c>
      <c r="G22">
        <v>109</v>
      </c>
      <c r="H22">
        <v>107</v>
      </c>
      <c r="I22">
        <v>104</v>
      </c>
      <c r="J22">
        <v>104</v>
      </c>
      <c r="K22">
        <v>104</v>
      </c>
      <c r="L22">
        <v>104</v>
      </c>
      <c r="M22">
        <v>92</v>
      </c>
      <c r="N22">
        <v>103</v>
      </c>
      <c r="O22">
        <v>103</v>
      </c>
      <c r="P22">
        <v>108</v>
      </c>
      <c r="Q22">
        <v>110</v>
      </c>
      <c r="R22">
        <v>105</v>
      </c>
      <c r="S22">
        <v>105</v>
      </c>
      <c r="T22">
        <v>107</v>
      </c>
      <c r="U22">
        <v>113</v>
      </c>
      <c r="V22">
        <v>114</v>
      </c>
      <c r="W22">
        <v>116</v>
      </c>
      <c r="X22">
        <v>116</v>
      </c>
      <c r="Y22">
        <v>117</v>
      </c>
      <c r="Z22" s="2">
        <f>AVERAGE(Sheet1[[#This Row],[00:00:00]:[23:00:00]])</f>
        <v>108.41666666666667</v>
      </c>
      <c r="AA22" t="str" cm="1">
        <f t="array" ref="AA2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3" spans="1:27" x14ac:dyDescent="0.3">
      <c r="A23" s="1">
        <v>45679</v>
      </c>
      <c r="B23">
        <v>120</v>
      </c>
      <c r="C23">
        <v>122</v>
      </c>
      <c r="D23">
        <v>126</v>
      </c>
      <c r="E23">
        <v>128</v>
      </c>
      <c r="F23">
        <v>131</v>
      </c>
      <c r="G23">
        <v>134</v>
      </c>
      <c r="H23">
        <v>136</v>
      </c>
      <c r="I23">
        <v>140</v>
      </c>
      <c r="J23">
        <v>145</v>
      </c>
      <c r="K23">
        <v>152</v>
      </c>
      <c r="L23">
        <v>156</v>
      </c>
      <c r="M23">
        <v>159</v>
      </c>
      <c r="N23">
        <v>161</v>
      </c>
      <c r="O23">
        <v>158</v>
      </c>
      <c r="P23">
        <v>155</v>
      </c>
      <c r="Q23">
        <v>153</v>
      </c>
      <c r="R23">
        <v>152</v>
      </c>
      <c r="S23">
        <v>150</v>
      </c>
      <c r="T23">
        <v>150</v>
      </c>
      <c r="U23">
        <v>148</v>
      </c>
      <c r="V23">
        <v>148</v>
      </c>
      <c r="W23">
        <v>148</v>
      </c>
      <c r="X23">
        <v>148</v>
      </c>
      <c r="Y23">
        <v>144</v>
      </c>
      <c r="Z23" s="2">
        <f>AVERAGE(Sheet1[[#This Row],[00:00:00]:[23:00:00]])</f>
        <v>144.33333333333334</v>
      </c>
      <c r="AA23" t="str" cm="1">
        <f t="array" ref="AA2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4" spans="1:27" x14ac:dyDescent="0.3">
      <c r="A24" s="1">
        <v>45680</v>
      </c>
      <c r="B24">
        <v>142</v>
      </c>
      <c r="C24">
        <v>138</v>
      </c>
      <c r="D24">
        <v>135</v>
      </c>
      <c r="E24">
        <v>132</v>
      </c>
      <c r="F24">
        <v>127</v>
      </c>
      <c r="G24">
        <v>124</v>
      </c>
      <c r="H24">
        <v>122</v>
      </c>
      <c r="I24">
        <v>119</v>
      </c>
      <c r="J24">
        <v>116</v>
      </c>
      <c r="K24">
        <v>112</v>
      </c>
      <c r="L24">
        <v>108</v>
      </c>
      <c r="M24">
        <v>107</v>
      </c>
      <c r="N24">
        <v>106</v>
      </c>
      <c r="O24">
        <v>105</v>
      </c>
      <c r="P24">
        <v>104</v>
      </c>
      <c r="Q24">
        <v>104</v>
      </c>
      <c r="R24">
        <v>104</v>
      </c>
      <c r="S24">
        <v>104</v>
      </c>
      <c r="T24">
        <v>108</v>
      </c>
      <c r="U24">
        <v>111</v>
      </c>
      <c r="V24">
        <v>112</v>
      </c>
      <c r="W24">
        <v>114</v>
      </c>
      <c r="X24">
        <v>112</v>
      </c>
      <c r="Y24">
        <v>111</v>
      </c>
      <c r="Z24" s="2">
        <f>AVERAGE(Sheet1[[#This Row],[00:00:00]:[23:00:00]])</f>
        <v>115.70833333333333</v>
      </c>
      <c r="AA24" t="str" cm="1">
        <f t="array" ref="AA2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5" spans="1:27" x14ac:dyDescent="0.3">
      <c r="A25" s="1">
        <v>45681</v>
      </c>
      <c r="B25">
        <v>111</v>
      </c>
      <c r="C25">
        <v>107</v>
      </c>
      <c r="D25">
        <v>102</v>
      </c>
      <c r="E25">
        <v>102</v>
      </c>
      <c r="F25">
        <v>100</v>
      </c>
      <c r="G25">
        <v>100</v>
      </c>
      <c r="H25">
        <v>102</v>
      </c>
      <c r="I25">
        <v>102</v>
      </c>
      <c r="J25">
        <v>104</v>
      </c>
      <c r="K25">
        <v>106</v>
      </c>
      <c r="L25">
        <v>106</v>
      </c>
      <c r="M25">
        <v>107</v>
      </c>
      <c r="N25">
        <v>107</v>
      </c>
      <c r="O25">
        <v>108</v>
      </c>
      <c r="P25">
        <v>108</v>
      </c>
      <c r="Q25">
        <v>108</v>
      </c>
      <c r="R25">
        <v>140</v>
      </c>
      <c r="S25">
        <v>138</v>
      </c>
      <c r="T25">
        <v>141</v>
      </c>
      <c r="U25">
        <v>126</v>
      </c>
      <c r="V25">
        <v>128</v>
      </c>
      <c r="W25">
        <v>128</v>
      </c>
      <c r="X25">
        <v>126</v>
      </c>
      <c r="Y25">
        <v>123</v>
      </c>
      <c r="Z25" s="2">
        <f>AVERAGE(Sheet1[[#This Row],[00:00:00]:[23:00:00]])</f>
        <v>113.75</v>
      </c>
      <c r="AA25" t="str" cm="1">
        <f t="array" ref="AA2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6" spans="1:27" x14ac:dyDescent="0.3">
      <c r="A26" s="1">
        <v>45682</v>
      </c>
      <c r="B26">
        <v>120</v>
      </c>
      <c r="C26">
        <v>116</v>
      </c>
      <c r="D26">
        <v>117</v>
      </c>
      <c r="E26">
        <v>117</v>
      </c>
      <c r="F26">
        <v>121</v>
      </c>
      <c r="G26">
        <v>122</v>
      </c>
      <c r="H26">
        <v>124</v>
      </c>
      <c r="I26">
        <v>125</v>
      </c>
      <c r="J26">
        <v>126</v>
      </c>
      <c r="K26">
        <v>128</v>
      </c>
      <c r="L26">
        <v>128</v>
      </c>
      <c r="M26">
        <v>130</v>
      </c>
      <c r="N26">
        <v>132</v>
      </c>
      <c r="O26">
        <v>134</v>
      </c>
      <c r="P26">
        <v>134</v>
      </c>
      <c r="Q26">
        <v>200</v>
      </c>
      <c r="R26">
        <v>184</v>
      </c>
      <c r="S26">
        <v>180</v>
      </c>
      <c r="T26">
        <v>170</v>
      </c>
      <c r="U26">
        <v>190</v>
      </c>
      <c r="V26">
        <v>151</v>
      </c>
      <c r="W26">
        <v>152</v>
      </c>
      <c r="X26">
        <v>150</v>
      </c>
      <c r="Y26">
        <v>145</v>
      </c>
      <c r="Z26" s="2">
        <f>AVERAGE(Sheet1[[#This Row],[00:00:00]:[23:00:00]])</f>
        <v>141.5</v>
      </c>
      <c r="AA26" t="str" cm="1">
        <f t="array" ref="AA2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7" spans="1:27" x14ac:dyDescent="0.3">
      <c r="A27" s="1">
        <v>45683</v>
      </c>
      <c r="B27">
        <v>135</v>
      </c>
      <c r="C27">
        <v>130</v>
      </c>
      <c r="D27">
        <v>128</v>
      </c>
      <c r="E27">
        <v>126</v>
      </c>
      <c r="F27">
        <v>124</v>
      </c>
      <c r="G27">
        <v>123</v>
      </c>
      <c r="H27">
        <v>122</v>
      </c>
      <c r="I27">
        <v>121</v>
      </c>
      <c r="J27">
        <v>121</v>
      </c>
      <c r="K27">
        <v>121</v>
      </c>
      <c r="L27">
        <v>122</v>
      </c>
      <c r="M27">
        <v>122</v>
      </c>
      <c r="N27">
        <v>120</v>
      </c>
      <c r="O27">
        <v>120</v>
      </c>
      <c r="P27">
        <v>120</v>
      </c>
      <c r="Q27">
        <v>119</v>
      </c>
      <c r="R27">
        <v>117</v>
      </c>
      <c r="S27">
        <v>113</v>
      </c>
      <c r="T27">
        <v>110</v>
      </c>
      <c r="U27">
        <v>108</v>
      </c>
      <c r="V27">
        <v>110</v>
      </c>
      <c r="W27">
        <v>108</v>
      </c>
      <c r="X27">
        <v>104</v>
      </c>
      <c r="Y27">
        <v>99</v>
      </c>
      <c r="Z27" s="2">
        <f>AVERAGE(Sheet1[[#This Row],[00:00:00]:[23:00:00]])</f>
        <v>118.45833333333333</v>
      </c>
      <c r="AA27" t="str" cm="1">
        <f t="array" ref="AA2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8" spans="1:27" x14ac:dyDescent="0.3">
      <c r="A28" s="1">
        <v>45684</v>
      </c>
      <c r="B28">
        <v>98</v>
      </c>
      <c r="C28">
        <v>98</v>
      </c>
      <c r="D28">
        <v>97</v>
      </c>
      <c r="E28">
        <v>96</v>
      </c>
      <c r="F28">
        <v>96</v>
      </c>
      <c r="G28">
        <v>95</v>
      </c>
      <c r="H28">
        <v>94</v>
      </c>
      <c r="I28">
        <v>92</v>
      </c>
      <c r="J28">
        <v>90</v>
      </c>
      <c r="K28">
        <v>89</v>
      </c>
      <c r="L28">
        <v>88</v>
      </c>
      <c r="M28">
        <v>87</v>
      </c>
      <c r="N28">
        <v>86</v>
      </c>
      <c r="O28">
        <v>86</v>
      </c>
      <c r="P28">
        <v>88</v>
      </c>
      <c r="Q28">
        <v>150</v>
      </c>
      <c r="R28">
        <v>94</v>
      </c>
      <c r="S28">
        <v>101</v>
      </c>
      <c r="T28">
        <v>104</v>
      </c>
      <c r="U28">
        <v>105</v>
      </c>
      <c r="V28">
        <v>105</v>
      </c>
      <c r="W28">
        <v>100</v>
      </c>
      <c r="X28">
        <v>100</v>
      </c>
      <c r="Y28">
        <v>96</v>
      </c>
      <c r="Z28" s="2">
        <f>AVERAGE(Sheet1[[#This Row],[00:00:00]:[23:00:00]])</f>
        <v>97.291666666666671</v>
      </c>
      <c r="AA28" t="str" cm="1">
        <f t="array" ref="AA2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29" spans="1:27" x14ac:dyDescent="0.3">
      <c r="A29" s="1">
        <v>45685</v>
      </c>
      <c r="B29">
        <v>96</v>
      </c>
      <c r="C29">
        <v>95</v>
      </c>
      <c r="D29">
        <v>96</v>
      </c>
      <c r="E29">
        <v>95</v>
      </c>
      <c r="F29">
        <v>96</v>
      </c>
      <c r="G29">
        <v>96</v>
      </c>
      <c r="H29">
        <v>96</v>
      </c>
      <c r="I29">
        <v>96</v>
      </c>
      <c r="J29">
        <v>96</v>
      </c>
      <c r="K29">
        <v>96</v>
      </c>
      <c r="L29">
        <v>95</v>
      </c>
      <c r="M29">
        <v>94</v>
      </c>
      <c r="N29">
        <v>94</v>
      </c>
      <c r="O29">
        <v>93</v>
      </c>
      <c r="P29">
        <v>94</v>
      </c>
      <c r="Q29">
        <v>98</v>
      </c>
      <c r="R29">
        <v>98</v>
      </c>
      <c r="S29">
        <v>96</v>
      </c>
      <c r="T29">
        <v>96</v>
      </c>
      <c r="U29">
        <v>104</v>
      </c>
      <c r="V29">
        <v>106</v>
      </c>
      <c r="W29">
        <v>106</v>
      </c>
      <c r="X29">
        <v>103</v>
      </c>
      <c r="Y29">
        <v>99</v>
      </c>
      <c r="Z29" s="2">
        <f>AVERAGE(Sheet1[[#This Row],[00:00:00]:[23:00:00]])</f>
        <v>97.25</v>
      </c>
      <c r="AA29" t="str" cm="1">
        <f t="array" ref="AA2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30" spans="1:27" x14ac:dyDescent="0.3">
      <c r="A30" s="1">
        <v>45686</v>
      </c>
      <c r="B30">
        <v>95</v>
      </c>
      <c r="C30">
        <v>93</v>
      </c>
      <c r="D30">
        <v>92</v>
      </c>
      <c r="E30">
        <v>92</v>
      </c>
      <c r="F30">
        <v>90</v>
      </c>
      <c r="G30">
        <v>90</v>
      </c>
      <c r="H30">
        <v>90</v>
      </c>
      <c r="I30">
        <v>88</v>
      </c>
      <c r="J30">
        <v>88</v>
      </c>
      <c r="K30">
        <v>86</v>
      </c>
      <c r="L30">
        <v>86</v>
      </c>
      <c r="M30">
        <v>86</v>
      </c>
      <c r="N30">
        <v>86</v>
      </c>
      <c r="O30">
        <v>86</v>
      </c>
      <c r="P30">
        <v>86</v>
      </c>
      <c r="Q30">
        <v>85</v>
      </c>
      <c r="R30">
        <v>86</v>
      </c>
      <c r="S30">
        <v>88</v>
      </c>
      <c r="T30">
        <v>90</v>
      </c>
      <c r="U30">
        <v>91</v>
      </c>
      <c r="V30">
        <v>91</v>
      </c>
      <c r="W30">
        <v>89</v>
      </c>
      <c r="X30">
        <v>86</v>
      </c>
      <c r="Y30">
        <v>82</v>
      </c>
      <c r="Z30" s="2">
        <f>AVERAGE(Sheet1[[#This Row],[00:00:00]:[23:00:00]])</f>
        <v>88.416666666666671</v>
      </c>
      <c r="AA30" t="str" cm="1">
        <f t="array" ref="AA3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31" spans="1:27" x14ac:dyDescent="0.3">
      <c r="A31" s="1">
        <v>45687</v>
      </c>
      <c r="B31">
        <v>82</v>
      </c>
      <c r="C31">
        <v>82</v>
      </c>
      <c r="D31">
        <v>82</v>
      </c>
      <c r="E31">
        <v>82</v>
      </c>
      <c r="F31">
        <v>84</v>
      </c>
      <c r="G31">
        <v>84</v>
      </c>
      <c r="H31">
        <v>86</v>
      </c>
      <c r="I31">
        <v>88</v>
      </c>
      <c r="J31">
        <v>89</v>
      </c>
      <c r="K31">
        <v>91</v>
      </c>
      <c r="L31">
        <v>92</v>
      </c>
      <c r="M31">
        <v>94</v>
      </c>
      <c r="N31">
        <v>94</v>
      </c>
      <c r="O31">
        <v>95</v>
      </c>
      <c r="P31">
        <v>96</v>
      </c>
      <c r="Q31">
        <v>96</v>
      </c>
      <c r="R31">
        <v>128</v>
      </c>
      <c r="S31">
        <v>102</v>
      </c>
      <c r="U31">
        <v>111</v>
      </c>
      <c r="V31">
        <v>111</v>
      </c>
      <c r="W31">
        <v>112</v>
      </c>
      <c r="X31">
        <v>113</v>
      </c>
      <c r="Y31">
        <v>108</v>
      </c>
      <c r="Z31" s="2">
        <f>AVERAGE(Sheet1[[#This Row],[00:00:00]:[23:00:00]])</f>
        <v>95.739130434782609</v>
      </c>
      <c r="AA31" t="str" cm="1">
        <f t="array" ref="AA3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32" spans="1:27" x14ac:dyDescent="0.3">
      <c r="A32" s="1">
        <v>45688</v>
      </c>
      <c r="B32">
        <v>107</v>
      </c>
      <c r="C32">
        <v>108</v>
      </c>
      <c r="D32">
        <v>109</v>
      </c>
      <c r="E32">
        <v>110</v>
      </c>
      <c r="F32">
        <v>110</v>
      </c>
      <c r="G32">
        <v>111</v>
      </c>
      <c r="H32">
        <v>110</v>
      </c>
      <c r="I32">
        <v>110</v>
      </c>
      <c r="J32">
        <v>110</v>
      </c>
      <c r="K32">
        <v>109</v>
      </c>
      <c r="L32">
        <v>108</v>
      </c>
      <c r="M32">
        <v>107</v>
      </c>
      <c r="N32">
        <v>106</v>
      </c>
      <c r="O32">
        <v>106</v>
      </c>
      <c r="P32">
        <v>104</v>
      </c>
      <c r="Q32">
        <v>103</v>
      </c>
      <c r="R32">
        <v>102</v>
      </c>
      <c r="S32">
        <v>100</v>
      </c>
      <c r="T32">
        <v>99</v>
      </c>
      <c r="U32">
        <v>97</v>
      </c>
      <c r="V32">
        <v>94</v>
      </c>
      <c r="W32">
        <v>92</v>
      </c>
      <c r="X32">
        <v>90</v>
      </c>
      <c r="Y32">
        <v>88</v>
      </c>
      <c r="Z32" s="2">
        <f>AVERAGE(Sheet1[[#This Row],[00:00:00]:[23:00:00]])</f>
        <v>103.75</v>
      </c>
      <c r="AA32" t="str" cm="1">
        <f t="array" ref="AA3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3" spans="26:26" x14ac:dyDescent="0.3">
      <c r="Z33" s="2">
        <f>AVERAGE(Sheet1[AVERAGE AQI])</f>
        <v>121.81813931743805</v>
      </c>
    </row>
  </sheetData>
  <conditionalFormatting sqref="AA1:AA1048576">
    <cfRule type="containsText" dxfId="82" priority="3" operator="containsText" text="MODERATE">
      <formula>NOT(ISERROR(SEARCH("MODERATE",AA1)))</formula>
    </cfRule>
    <cfRule type="containsText" dxfId="83" priority="2" operator="containsText" text="BAD">
      <formula>NOT(ISERROR(SEARCH("BAD",AA1)))</formula>
    </cfRule>
    <cfRule type="containsText" dxfId="84" priority="1" operator="containsText" text="VERY BAD">
      <formula>NOT(ISERROR(SEARCH("VERY BAD",AA1)))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D2FF-1357-44A1-ACBF-E615131A4A5F}">
  <dimension ref="A1:AA30"/>
  <sheetViews>
    <sheetView topLeftCell="A12" workbookViewId="0">
      <selection activeCell="Z30" sqref="Z30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6.2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45689</v>
      </c>
      <c r="B2">
        <v>85</v>
      </c>
      <c r="C2">
        <v>82</v>
      </c>
      <c r="D2">
        <v>80</v>
      </c>
      <c r="E2">
        <v>78</v>
      </c>
      <c r="F2">
        <v>76</v>
      </c>
      <c r="G2">
        <v>74</v>
      </c>
      <c r="H2">
        <v>72</v>
      </c>
      <c r="I2">
        <v>70</v>
      </c>
      <c r="J2">
        <v>70</v>
      </c>
      <c r="K2">
        <v>68</v>
      </c>
      <c r="L2">
        <v>66</v>
      </c>
      <c r="M2">
        <v>65</v>
      </c>
      <c r="N2">
        <v>64</v>
      </c>
      <c r="O2">
        <v>63</v>
      </c>
      <c r="P2">
        <v>62</v>
      </c>
      <c r="Q2">
        <v>62</v>
      </c>
      <c r="R2">
        <v>66</v>
      </c>
      <c r="S2">
        <v>66</v>
      </c>
      <c r="T2">
        <v>84</v>
      </c>
      <c r="U2">
        <v>88</v>
      </c>
      <c r="V2">
        <v>89</v>
      </c>
      <c r="W2">
        <v>88</v>
      </c>
      <c r="X2">
        <v>86</v>
      </c>
      <c r="Y2">
        <v>85</v>
      </c>
      <c r="Z2" s="2">
        <f>AVERAGE(Sheet1__2[[#This Row],[00:00:00]:[23:00:00]])</f>
        <v>74.541666666666671</v>
      </c>
      <c r="AA2" t="str" cm="1">
        <f t="array" ref="AA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3" spans="1:27" x14ac:dyDescent="0.3">
      <c r="A3" s="1">
        <v>45690</v>
      </c>
      <c r="B3">
        <v>84</v>
      </c>
      <c r="C3">
        <v>83</v>
      </c>
      <c r="D3">
        <v>81</v>
      </c>
      <c r="E3">
        <v>83</v>
      </c>
      <c r="F3">
        <v>84</v>
      </c>
      <c r="G3">
        <v>86</v>
      </c>
      <c r="H3">
        <v>87</v>
      </c>
      <c r="I3">
        <v>88</v>
      </c>
      <c r="J3">
        <v>88</v>
      </c>
      <c r="K3">
        <v>88</v>
      </c>
      <c r="L3">
        <v>88</v>
      </c>
      <c r="M3">
        <v>89</v>
      </c>
      <c r="N3">
        <v>90</v>
      </c>
      <c r="O3">
        <v>91</v>
      </c>
      <c r="P3">
        <v>92</v>
      </c>
      <c r="Q3">
        <v>94</v>
      </c>
      <c r="R3">
        <v>94</v>
      </c>
      <c r="S3">
        <v>94</v>
      </c>
      <c r="T3">
        <v>94</v>
      </c>
      <c r="U3">
        <v>95</v>
      </c>
      <c r="V3">
        <v>96</v>
      </c>
      <c r="W3">
        <v>97</v>
      </c>
      <c r="X3">
        <v>96</v>
      </c>
      <c r="Y3">
        <v>96</v>
      </c>
      <c r="Z3" s="2">
        <f>AVERAGE(Sheet1__2[[#This Row],[00:00:00]:[23:00:00]])</f>
        <v>89.916666666666671</v>
      </c>
      <c r="AA3" t="str" cm="1">
        <f t="array" ref="AA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4" spans="1:27" x14ac:dyDescent="0.3">
      <c r="A4" s="1">
        <v>45691</v>
      </c>
      <c r="B4">
        <v>92</v>
      </c>
      <c r="C4">
        <v>92</v>
      </c>
      <c r="D4">
        <v>92</v>
      </c>
      <c r="E4">
        <v>92</v>
      </c>
      <c r="F4">
        <v>92</v>
      </c>
      <c r="G4">
        <v>92</v>
      </c>
      <c r="H4">
        <v>92</v>
      </c>
      <c r="I4">
        <v>93</v>
      </c>
      <c r="J4">
        <v>94</v>
      </c>
      <c r="K4">
        <v>94</v>
      </c>
      <c r="L4">
        <v>95</v>
      </c>
      <c r="M4">
        <v>96</v>
      </c>
      <c r="N4">
        <v>98</v>
      </c>
      <c r="O4">
        <v>98</v>
      </c>
      <c r="P4">
        <v>99</v>
      </c>
      <c r="Q4">
        <v>99</v>
      </c>
      <c r="R4">
        <v>100</v>
      </c>
      <c r="S4">
        <v>100</v>
      </c>
      <c r="T4">
        <v>100</v>
      </c>
      <c r="U4">
        <v>100</v>
      </c>
      <c r="V4">
        <v>100</v>
      </c>
      <c r="W4">
        <v>98</v>
      </c>
      <c r="X4">
        <v>98</v>
      </c>
      <c r="Y4">
        <v>96</v>
      </c>
      <c r="Z4" s="2">
        <f>AVERAGE(Sheet1__2[[#This Row],[00:00:00]:[23:00:00]])</f>
        <v>95.916666666666671</v>
      </c>
      <c r="AA4" t="str" cm="1">
        <f t="array" ref="AA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5" spans="1:27" x14ac:dyDescent="0.3">
      <c r="A5" s="1">
        <v>45692</v>
      </c>
      <c r="B5">
        <v>94</v>
      </c>
      <c r="C5">
        <v>94</v>
      </c>
      <c r="D5">
        <v>94</v>
      </c>
      <c r="E5">
        <v>93</v>
      </c>
      <c r="F5">
        <v>92</v>
      </c>
      <c r="G5">
        <v>92</v>
      </c>
      <c r="H5">
        <v>91</v>
      </c>
      <c r="I5">
        <v>90</v>
      </c>
      <c r="J5">
        <v>91</v>
      </c>
      <c r="K5">
        <v>91</v>
      </c>
      <c r="L5">
        <v>90</v>
      </c>
      <c r="M5">
        <v>89</v>
      </c>
      <c r="N5">
        <v>87</v>
      </c>
      <c r="O5">
        <v>84</v>
      </c>
      <c r="P5">
        <v>83</v>
      </c>
      <c r="Q5">
        <v>81</v>
      </c>
      <c r="R5">
        <v>80</v>
      </c>
      <c r="S5">
        <v>82</v>
      </c>
      <c r="T5">
        <v>84</v>
      </c>
      <c r="U5">
        <v>85</v>
      </c>
      <c r="V5">
        <v>88</v>
      </c>
      <c r="W5">
        <v>89</v>
      </c>
      <c r="X5">
        <v>90</v>
      </c>
      <c r="Y5">
        <v>90</v>
      </c>
      <c r="Z5" s="2">
        <f>AVERAGE(Sheet1__2[[#This Row],[00:00:00]:[23:00:00]])</f>
        <v>88.5</v>
      </c>
      <c r="AA5" t="str" cm="1">
        <f t="array" ref="AA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6" spans="1:27" x14ac:dyDescent="0.3">
      <c r="A6" s="1">
        <v>45693</v>
      </c>
      <c r="B6">
        <v>92</v>
      </c>
      <c r="C6">
        <v>90</v>
      </c>
      <c r="D6">
        <v>88</v>
      </c>
      <c r="E6">
        <v>87</v>
      </c>
      <c r="F6">
        <v>86</v>
      </c>
      <c r="G6">
        <v>85</v>
      </c>
      <c r="H6">
        <v>84</v>
      </c>
      <c r="I6">
        <v>83</v>
      </c>
      <c r="J6">
        <v>81</v>
      </c>
      <c r="K6">
        <v>79</v>
      </c>
      <c r="L6">
        <v>77</v>
      </c>
      <c r="M6">
        <v>76</v>
      </c>
      <c r="N6">
        <v>76</v>
      </c>
      <c r="O6">
        <v>75</v>
      </c>
      <c r="P6">
        <v>74</v>
      </c>
      <c r="Q6">
        <v>75</v>
      </c>
      <c r="R6">
        <v>75</v>
      </c>
      <c r="S6">
        <v>80</v>
      </c>
      <c r="T6">
        <v>84</v>
      </c>
      <c r="U6">
        <v>88</v>
      </c>
      <c r="V6">
        <v>90</v>
      </c>
      <c r="W6">
        <v>89</v>
      </c>
      <c r="X6">
        <v>90</v>
      </c>
      <c r="Y6">
        <v>88</v>
      </c>
      <c r="Z6" s="2">
        <f>AVERAGE(Sheet1__2[[#This Row],[00:00:00]:[23:00:00]])</f>
        <v>83</v>
      </c>
      <c r="AA6" t="str" cm="1">
        <f t="array" ref="AA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7" spans="1:27" x14ac:dyDescent="0.3">
      <c r="A7" s="1">
        <v>45694</v>
      </c>
      <c r="B7">
        <v>86</v>
      </c>
      <c r="C7">
        <v>82</v>
      </c>
      <c r="D7">
        <v>76</v>
      </c>
      <c r="E7">
        <v>76</v>
      </c>
      <c r="F7">
        <v>76</v>
      </c>
      <c r="G7">
        <v>78</v>
      </c>
      <c r="H7">
        <v>80</v>
      </c>
      <c r="I7">
        <v>82</v>
      </c>
      <c r="J7">
        <v>85</v>
      </c>
      <c r="K7">
        <v>89</v>
      </c>
      <c r="L7">
        <v>92</v>
      </c>
      <c r="M7">
        <v>96</v>
      </c>
      <c r="N7">
        <v>98</v>
      </c>
      <c r="O7">
        <v>100</v>
      </c>
      <c r="P7">
        <v>102</v>
      </c>
      <c r="Q7">
        <v>104</v>
      </c>
      <c r="R7">
        <v>104</v>
      </c>
      <c r="S7">
        <v>104</v>
      </c>
      <c r="T7">
        <v>105</v>
      </c>
      <c r="U7">
        <v>105</v>
      </c>
      <c r="V7">
        <v>106</v>
      </c>
      <c r="W7">
        <v>106</v>
      </c>
      <c r="X7">
        <v>106</v>
      </c>
      <c r="Y7">
        <v>107</v>
      </c>
      <c r="Z7" s="2">
        <f>AVERAGE(Sheet1__2[[#This Row],[00:00:00]:[23:00:00]])</f>
        <v>93.541666666666671</v>
      </c>
      <c r="AA7" t="str" cm="1">
        <f t="array" ref="AA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8" spans="1:27" x14ac:dyDescent="0.3">
      <c r="A8" s="1">
        <v>45695</v>
      </c>
      <c r="B8">
        <v>108</v>
      </c>
      <c r="C8">
        <v>110</v>
      </c>
      <c r="D8">
        <v>112</v>
      </c>
      <c r="E8">
        <v>114</v>
      </c>
      <c r="F8">
        <v>116</v>
      </c>
      <c r="G8">
        <v>118</v>
      </c>
      <c r="H8">
        <v>120</v>
      </c>
      <c r="I8">
        <v>122</v>
      </c>
      <c r="J8">
        <v>122</v>
      </c>
      <c r="K8">
        <v>123</v>
      </c>
      <c r="L8">
        <v>123</v>
      </c>
      <c r="M8">
        <v>124</v>
      </c>
      <c r="N8">
        <v>123</v>
      </c>
      <c r="O8">
        <v>122</v>
      </c>
      <c r="P8">
        <v>122</v>
      </c>
      <c r="Q8">
        <v>122</v>
      </c>
      <c r="R8">
        <v>166</v>
      </c>
      <c r="S8">
        <v>173</v>
      </c>
      <c r="T8">
        <v>173</v>
      </c>
      <c r="U8">
        <v>127</v>
      </c>
      <c r="V8">
        <v>128</v>
      </c>
      <c r="W8">
        <v>124</v>
      </c>
      <c r="X8">
        <v>123</v>
      </c>
      <c r="Y8">
        <v>123</v>
      </c>
      <c r="Z8" s="2">
        <f>AVERAGE(Sheet1__2[[#This Row],[00:00:00]:[23:00:00]])</f>
        <v>126.58333333333333</v>
      </c>
      <c r="AA8" t="str" cm="1">
        <f t="array" ref="AA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9" spans="1:27" x14ac:dyDescent="0.3">
      <c r="A9" s="1">
        <v>45696</v>
      </c>
      <c r="B9">
        <v>123</v>
      </c>
      <c r="C9">
        <v>122</v>
      </c>
      <c r="D9">
        <v>120</v>
      </c>
      <c r="E9">
        <v>120</v>
      </c>
      <c r="F9">
        <v>118</v>
      </c>
      <c r="G9">
        <v>118</v>
      </c>
      <c r="H9">
        <v>119</v>
      </c>
      <c r="I9">
        <v>119</v>
      </c>
      <c r="J9">
        <v>119</v>
      </c>
      <c r="K9">
        <v>118</v>
      </c>
      <c r="L9">
        <v>120</v>
      </c>
      <c r="M9">
        <v>124</v>
      </c>
      <c r="N9">
        <v>126</v>
      </c>
      <c r="O9">
        <v>130</v>
      </c>
      <c r="P9">
        <v>134</v>
      </c>
      <c r="Q9">
        <v>136</v>
      </c>
      <c r="R9">
        <v>137</v>
      </c>
      <c r="S9">
        <v>138</v>
      </c>
      <c r="T9">
        <v>140</v>
      </c>
      <c r="U9">
        <v>140</v>
      </c>
      <c r="V9">
        <v>140</v>
      </c>
      <c r="W9">
        <v>140</v>
      </c>
      <c r="X9">
        <v>139</v>
      </c>
      <c r="Y9">
        <v>139</v>
      </c>
      <c r="Z9" s="2">
        <f>AVERAGE(Sheet1__2[[#This Row],[00:00:00]:[23:00:00]])</f>
        <v>128.29166666666666</v>
      </c>
      <c r="AA9" t="str" cm="1">
        <f t="array" ref="AA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0" spans="1:27" x14ac:dyDescent="0.3">
      <c r="A10" s="1">
        <v>45697</v>
      </c>
      <c r="B10">
        <v>139</v>
      </c>
      <c r="C10">
        <v>139</v>
      </c>
      <c r="D10">
        <v>139</v>
      </c>
      <c r="E10">
        <v>138</v>
      </c>
      <c r="F10">
        <v>136</v>
      </c>
      <c r="G10">
        <v>134</v>
      </c>
      <c r="H10">
        <v>130</v>
      </c>
      <c r="I10">
        <v>127</v>
      </c>
      <c r="J10">
        <v>125</v>
      </c>
      <c r="K10">
        <v>122</v>
      </c>
      <c r="L10">
        <v>120</v>
      </c>
      <c r="M10">
        <v>118</v>
      </c>
      <c r="N10">
        <v>118</v>
      </c>
      <c r="O10">
        <v>118</v>
      </c>
      <c r="P10">
        <v>118</v>
      </c>
      <c r="Q10">
        <v>117</v>
      </c>
      <c r="R10">
        <v>116</v>
      </c>
      <c r="S10">
        <v>116</v>
      </c>
      <c r="T10">
        <v>116</v>
      </c>
      <c r="U10">
        <v>114</v>
      </c>
      <c r="V10">
        <v>113</v>
      </c>
      <c r="W10">
        <v>112</v>
      </c>
      <c r="X10">
        <v>112</v>
      </c>
      <c r="Y10">
        <v>112</v>
      </c>
      <c r="Z10" s="2">
        <f>AVERAGE(Sheet1__2[[#This Row],[00:00:00]:[23:00:00]])</f>
        <v>122.875</v>
      </c>
      <c r="AA10" t="str" cm="1">
        <f t="array" ref="AA10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1" spans="1:27" x14ac:dyDescent="0.3">
      <c r="A11" s="1">
        <v>45698</v>
      </c>
      <c r="B11">
        <v>111</v>
      </c>
      <c r="C11">
        <v>110</v>
      </c>
      <c r="D11">
        <v>109</v>
      </c>
      <c r="E11">
        <v>108</v>
      </c>
      <c r="F11">
        <v>107</v>
      </c>
      <c r="G11">
        <v>107</v>
      </c>
      <c r="H11">
        <v>105</v>
      </c>
      <c r="I11">
        <v>103</v>
      </c>
      <c r="J11">
        <v>102</v>
      </c>
      <c r="K11">
        <v>100</v>
      </c>
      <c r="L11">
        <v>99</v>
      </c>
      <c r="M11">
        <v>98</v>
      </c>
      <c r="N11">
        <v>96</v>
      </c>
      <c r="O11">
        <v>96</v>
      </c>
      <c r="P11">
        <v>94</v>
      </c>
      <c r="Q11">
        <v>94</v>
      </c>
      <c r="R11">
        <v>94</v>
      </c>
      <c r="S11">
        <v>93</v>
      </c>
      <c r="T11">
        <v>92</v>
      </c>
      <c r="U11">
        <v>92</v>
      </c>
      <c r="V11">
        <v>92</v>
      </c>
      <c r="W11">
        <v>92</v>
      </c>
      <c r="X11">
        <v>92</v>
      </c>
      <c r="Y11">
        <v>91</v>
      </c>
      <c r="Z11" s="2">
        <f>AVERAGE(Sheet1__2[[#This Row],[00:00:00]:[23:00:00]])</f>
        <v>99.041666666666671</v>
      </c>
      <c r="AA11" t="str" cm="1">
        <f t="array" ref="AA1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2" spans="1:27" x14ac:dyDescent="0.3">
      <c r="A12" s="1">
        <v>45699</v>
      </c>
      <c r="B12">
        <v>92</v>
      </c>
      <c r="C12">
        <v>92</v>
      </c>
      <c r="D12">
        <v>91</v>
      </c>
      <c r="E12">
        <v>92</v>
      </c>
      <c r="F12">
        <v>93</v>
      </c>
      <c r="G12">
        <v>94</v>
      </c>
      <c r="H12">
        <v>94</v>
      </c>
      <c r="I12">
        <v>95</v>
      </c>
      <c r="J12">
        <v>96</v>
      </c>
      <c r="K12">
        <v>96</v>
      </c>
      <c r="L12">
        <v>98</v>
      </c>
      <c r="M12">
        <v>98</v>
      </c>
      <c r="N12">
        <v>98</v>
      </c>
      <c r="O12">
        <v>98</v>
      </c>
      <c r="P12">
        <v>96</v>
      </c>
      <c r="Q12">
        <v>96</v>
      </c>
      <c r="R12">
        <v>96</v>
      </c>
      <c r="S12">
        <v>96</v>
      </c>
      <c r="T12">
        <v>96</v>
      </c>
      <c r="U12">
        <v>96</v>
      </c>
      <c r="V12">
        <v>98</v>
      </c>
      <c r="W12">
        <v>100</v>
      </c>
      <c r="X12">
        <v>100</v>
      </c>
      <c r="Y12">
        <v>101</v>
      </c>
      <c r="Z12" s="2">
        <f>AVERAGE(Sheet1__2[[#This Row],[00:00:00]:[23:00:00]])</f>
        <v>95.916666666666671</v>
      </c>
      <c r="AA12" t="str" cm="1">
        <f t="array" ref="AA1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3" spans="1:27" x14ac:dyDescent="0.3">
      <c r="A13" s="1">
        <v>45700</v>
      </c>
      <c r="B13">
        <v>102</v>
      </c>
      <c r="C13">
        <v>102</v>
      </c>
      <c r="D13">
        <v>102</v>
      </c>
      <c r="E13">
        <v>102</v>
      </c>
      <c r="F13">
        <v>103</v>
      </c>
      <c r="G13">
        <v>103</v>
      </c>
      <c r="H13">
        <v>104</v>
      </c>
      <c r="I13">
        <v>104</v>
      </c>
      <c r="J13">
        <v>104</v>
      </c>
      <c r="K13">
        <v>103</v>
      </c>
      <c r="L13">
        <v>104</v>
      </c>
      <c r="M13">
        <v>104</v>
      </c>
      <c r="N13">
        <v>105</v>
      </c>
      <c r="O13">
        <v>104</v>
      </c>
      <c r="P13">
        <v>104</v>
      </c>
      <c r="Q13">
        <v>103</v>
      </c>
      <c r="R13">
        <v>102</v>
      </c>
      <c r="S13">
        <v>102</v>
      </c>
      <c r="T13">
        <v>102</v>
      </c>
      <c r="U13">
        <v>102</v>
      </c>
      <c r="V13">
        <v>100</v>
      </c>
      <c r="W13">
        <v>100</v>
      </c>
      <c r="Y13">
        <v>100</v>
      </c>
      <c r="Z13" s="2">
        <f>AVERAGE(Sheet1__2[[#This Row],[00:00:00]:[23:00:00]])</f>
        <v>102.65217391304348</v>
      </c>
      <c r="AA13" t="str" cm="1">
        <f t="array" ref="AA1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4" spans="1:27" x14ac:dyDescent="0.3">
      <c r="A14" s="1">
        <v>45701</v>
      </c>
      <c r="B14">
        <v>100</v>
      </c>
      <c r="C14">
        <v>100</v>
      </c>
      <c r="E14">
        <v>98</v>
      </c>
      <c r="F14">
        <v>98</v>
      </c>
      <c r="G14">
        <v>96</v>
      </c>
      <c r="H14">
        <v>96</v>
      </c>
      <c r="I14">
        <v>96</v>
      </c>
      <c r="J14">
        <v>96</v>
      </c>
      <c r="K14">
        <v>95</v>
      </c>
      <c r="L14">
        <v>94</v>
      </c>
      <c r="M14">
        <v>92</v>
      </c>
      <c r="N14">
        <v>90</v>
      </c>
      <c r="O14">
        <v>90</v>
      </c>
      <c r="P14">
        <v>92</v>
      </c>
      <c r="Q14">
        <v>92</v>
      </c>
      <c r="R14">
        <v>93</v>
      </c>
      <c r="S14">
        <v>93</v>
      </c>
      <c r="T14">
        <v>93</v>
      </c>
      <c r="U14">
        <v>96</v>
      </c>
      <c r="V14">
        <v>98</v>
      </c>
      <c r="W14">
        <v>99</v>
      </c>
      <c r="X14">
        <v>99</v>
      </c>
      <c r="Y14">
        <v>98</v>
      </c>
      <c r="Z14" s="2">
        <f>AVERAGE(Sheet1__2[[#This Row],[00:00:00]:[23:00:00]])</f>
        <v>95.391304347826093</v>
      </c>
      <c r="AA14" t="str" cm="1">
        <f t="array" ref="AA1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5" spans="1:27" x14ac:dyDescent="0.3">
      <c r="A15" s="1">
        <v>45702</v>
      </c>
      <c r="B15">
        <v>97</v>
      </c>
      <c r="C15">
        <v>94</v>
      </c>
      <c r="D15">
        <v>90</v>
      </c>
      <c r="E15">
        <v>92</v>
      </c>
      <c r="F15">
        <v>92</v>
      </c>
      <c r="G15">
        <v>94</v>
      </c>
      <c r="H15">
        <v>94</v>
      </c>
      <c r="I15">
        <v>94</v>
      </c>
      <c r="J15">
        <v>92</v>
      </c>
      <c r="K15">
        <v>92</v>
      </c>
      <c r="L15">
        <v>93</v>
      </c>
      <c r="M15">
        <v>94</v>
      </c>
      <c r="N15">
        <v>94</v>
      </c>
      <c r="O15">
        <v>94</v>
      </c>
      <c r="P15">
        <v>94</v>
      </c>
      <c r="Q15">
        <v>94</v>
      </c>
      <c r="R15">
        <v>92</v>
      </c>
      <c r="S15">
        <v>92</v>
      </c>
      <c r="T15">
        <v>92</v>
      </c>
      <c r="U15">
        <v>92</v>
      </c>
      <c r="V15">
        <v>96</v>
      </c>
      <c r="W15">
        <v>96</v>
      </c>
      <c r="X15">
        <v>98</v>
      </c>
      <c r="Y15">
        <v>98</v>
      </c>
      <c r="Z15" s="2">
        <f>AVERAGE(Sheet1__2[[#This Row],[00:00:00]:[23:00:00]])</f>
        <v>93.75</v>
      </c>
      <c r="AA15" t="str" cm="1">
        <f t="array" ref="AA1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6" spans="1:27" x14ac:dyDescent="0.3">
      <c r="A16" s="1">
        <v>45703</v>
      </c>
      <c r="B16">
        <v>96</v>
      </c>
      <c r="C16">
        <v>96</v>
      </c>
      <c r="D16">
        <v>96</v>
      </c>
      <c r="E16">
        <v>96</v>
      </c>
      <c r="F16">
        <v>96</v>
      </c>
      <c r="G16">
        <v>96</v>
      </c>
      <c r="H16">
        <v>98</v>
      </c>
      <c r="I16">
        <v>98</v>
      </c>
      <c r="J16">
        <v>98</v>
      </c>
      <c r="K16">
        <v>99</v>
      </c>
      <c r="L16">
        <v>99</v>
      </c>
      <c r="M16">
        <v>99</v>
      </c>
      <c r="N16">
        <v>100</v>
      </c>
      <c r="O16">
        <v>100</v>
      </c>
      <c r="P16">
        <v>100</v>
      </c>
      <c r="Q16">
        <v>99</v>
      </c>
      <c r="R16">
        <v>99</v>
      </c>
      <c r="S16">
        <v>98</v>
      </c>
      <c r="T16">
        <v>98</v>
      </c>
      <c r="U16">
        <v>99</v>
      </c>
      <c r="V16">
        <v>98</v>
      </c>
      <c r="W16">
        <v>97</v>
      </c>
      <c r="X16">
        <v>96</v>
      </c>
      <c r="Y16">
        <v>96</v>
      </c>
      <c r="Z16" s="2">
        <f>AVERAGE(Sheet1__2[[#This Row],[00:00:00]:[23:00:00]])</f>
        <v>97.791666666666671</v>
      </c>
      <c r="AA16" t="str" cm="1">
        <f t="array" ref="AA1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7" spans="1:27" x14ac:dyDescent="0.3">
      <c r="A17" s="1">
        <v>45704</v>
      </c>
      <c r="B17">
        <v>94</v>
      </c>
      <c r="C17">
        <v>94</v>
      </c>
      <c r="D17">
        <v>93</v>
      </c>
      <c r="E17">
        <v>92</v>
      </c>
      <c r="F17">
        <v>93</v>
      </c>
      <c r="G17">
        <v>93</v>
      </c>
      <c r="H17">
        <v>93</v>
      </c>
      <c r="I17">
        <v>92</v>
      </c>
      <c r="J17">
        <v>92</v>
      </c>
      <c r="K17">
        <v>92</v>
      </c>
      <c r="L17">
        <v>93</v>
      </c>
      <c r="M17">
        <v>93</v>
      </c>
      <c r="N17">
        <v>93</v>
      </c>
      <c r="O17">
        <v>93</v>
      </c>
      <c r="P17">
        <v>93</v>
      </c>
      <c r="Q17">
        <v>93</v>
      </c>
      <c r="R17">
        <v>94</v>
      </c>
      <c r="S17">
        <v>94</v>
      </c>
      <c r="T17">
        <v>94</v>
      </c>
      <c r="U17">
        <v>94</v>
      </c>
      <c r="V17">
        <v>92</v>
      </c>
      <c r="W17">
        <v>90</v>
      </c>
      <c r="X17">
        <v>89</v>
      </c>
      <c r="Y17">
        <v>88</v>
      </c>
      <c r="Z17" s="2">
        <f>AVERAGE(Sheet1__2[[#This Row],[00:00:00]:[23:00:00]])</f>
        <v>92.541666666666671</v>
      </c>
      <c r="AA17" t="str" cm="1">
        <f t="array" ref="AA1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8" spans="1:27" x14ac:dyDescent="0.3">
      <c r="A18" s="1">
        <v>45705</v>
      </c>
      <c r="B18">
        <v>86</v>
      </c>
      <c r="C18">
        <v>86</v>
      </c>
      <c r="D18">
        <v>86</v>
      </c>
      <c r="E18">
        <v>86</v>
      </c>
      <c r="F18">
        <v>86</v>
      </c>
      <c r="G18">
        <v>85</v>
      </c>
      <c r="H18">
        <v>84</v>
      </c>
      <c r="I18">
        <v>82</v>
      </c>
      <c r="J18">
        <v>80</v>
      </c>
      <c r="K18">
        <v>78</v>
      </c>
      <c r="L18">
        <v>75</v>
      </c>
      <c r="M18">
        <v>73</v>
      </c>
      <c r="N18">
        <v>72</v>
      </c>
      <c r="O18">
        <v>72</v>
      </c>
      <c r="P18">
        <v>71</v>
      </c>
      <c r="Q18">
        <v>72</v>
      </c>
      <c r="R18">
        <v>72</v>
      </c>
      <c r="S18">
        <v>74</v>
      </c>
      <c r="T18">
        <v>80</v>
      </c>
      <c r="U18">
        <v>81</v>
      </c>
      <c r="V18">
        <v>92</v>
      </c>
      <c r="W18">
        <v>94</v>
      </c>
      <c r="X18">
        <v>94</v>
      </c>
      <c r="Y18">
        <v>96</v>
      </c>
      <c r="Z18" s="2">
        <f>AVERAGE(Sheet1__2[[#This Row],[00:00:00]:[23:00:00]])</f>
        <v>81.541666666666671</v>
      </c>
      <c r="AA18" t="str" cm="1">
        <f t="array" ref="AA1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9" spans="1:27" x14ac:dyDescent="0.3">
      <c r="A19" s="1">
        <v>45706</v>
      </c>
      <c r="B19">
        <v>93</v>
      </c>
      <c r="C19">
        <v>90</v>
      </c>
      <c r="D19">
        <v>90</v>
      </c>
      <c r="E19">
        <v>89</v>
      </c>
      <c r="F19">
        <v>86</v>
      </c>
      <c r="G19">
        <v>87</v>
      </c>
      <c r="H19">
        <v>88</v>
      </c>
      <c r="I19">
        <v>89</v>
      </c>
      <c r="J19">
        <v>90</v>
      </c>
      <c r="K19">
        <v>90</v>
      </c>
      <c r="L19">
        <v>92</v>
      </c>
      <c r="M19">
        <v>92</v>
      </c>
      <c r="N19">
        <v>92</v>
      </c>
      <c r="O19">
        <v>92</v>
      </c>
      <c r="P19">
        <v>91</v>
      </c>
      <c r="Q19">
        <v>91</v>
      </c>
      <c r="R19">
        <v>90</v>
      </c>
      <c r="S19">
        <v>92</v>
      </c>
      <c r="T19">
        <v>91</v>
      </c>
      <c r="U19">
        <v>92</v>
      </c>
      <c r="V19">
        <v>92</v>
      </c>
      <c r="W19">
        <v>92</v>
      </c>
      <c r="X19">
        <v>92</v>
      </c>
      <c r="Y19">
        <v>92</v>
      </c>
      <c r="Z19" s="2">
        <f>AVERAGE(Sheet1__2[[#This Row],[00:00:00]:[23:00:00]])</f>
        <v>90.625</v>
      </c>
      <c r="AA19" t="str" cm="1">
        <f t="array" ref="AA1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0" spans="1:27" x14ac:dyDescent="0.3">
      <c r="A20" s="1">
        <v>45707</v>
      </c>
      <c r="B20">
        <v>93</v>
      </c>
      <c r="C20">
        <v>92</v>
      </c>
      <c r="D20">
        <v>94</v>
      </c>
      <c r="E20">
        <v>93</v>
      </c>
      <c r="F20">
        <v>92</v>
      </c>
      <c r="G20">
        <v>92</v>
      </c>
      <c r="H20">
        <v>91</v>
      </c>
      <c r="I20">
        <v>90</v>
      </c>
      <c r="J20">
        <v>90</v>
      </c>
      <c r="K20">
        <v>91</v>
      </c>
      <c r="L20">
        <v>92</v>
      </c>
      <c r="M20">
        <v>92</v>
      </c>
      <c r="N20">
        <v>92</v>
      </c>
      <c r="O20">
        <v>92</v>
      </c>
      <c r="P20">
        <v>92</v>
      </c>
      <c r="Q20">
        <v>91</v>
      </c>
      <c r="R20">
        <v>91</v>
      </c>
      <c r="S20">
        <v>91</v>
      </c>
      <c r="T20">
        <v>92</v>
      </c>
      <c r="U20">
        <v>96</v>
      </c>
      <c r="V20">
        <v>98</v>
      </c>
      <c r="W20">
        <v>98</v>
      </c>
      <c r="X20">
        <v>101</v>
      </c>
      <c r="Y20">
        <v>103</v>
      </c>
      <c r="Z20" s="2">
        <f>AVERAGE(Sheet1__2[[#This Row],[00:00:00]:[23:00:00]])</f>
        <v>93.291666666666671</v>
      </c>
      <c r="AA20" t="str" cm="1">
        <f t="array" ref="AA20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1" spans="1:27" x14ac:dyDescent="0.3">
      <c r="A21" s="1">
        <v>45708</v>
      </c>
      <c r="B21">
        <v>102</v>
      </c>
      <c r="C21">
        <v>100</v>
      </c>
      <c r="D21">
        <v>99</v>
      </c>
      <c r="E21">
        <v>98</v>
      </c>
      <c r="F21">
        <v>96</v>
      </c>
      <c r="G21">
        <v>96</v>
      </c>
      <c r="H21">
        <v>96</v>
      </c>
      <c r="I21">
        <v>97</v>
      </c>
      <c r="J21">
        <v>98</v>
      </c>
      <c r="K21">
        <v>97</v>
      </c>
      <c r="L21">
        <v>98</v>
      </c>
      <c r="M21">
        <v>99</v>
      </c>
      <c r="N21">
        <v>101</v>
      </c>
      <c r="O21">
        <v>102</v>
      </c>
      <c r="P21">
        <v>102</v>
      </c>
      <c r="Q21">
        <v>102</v>
      </c>
      <c r="R21">
        <v>102</v>
      </c>
      <c r="S21">
        <v>102</v>
      </c>
      <c r="T21">
        <v>102</v>
      </c>
      <c r="U21">
        <v>101</v>
      </c>
      <c r="V21">
        <v>104</v>
      </c>
      <c r="W21">
        <v>104</v>
      </c>
      <c r="X21">
        <v>106</v>
      </c>
      <c r="Y21">
        <v>106</v>
      </c>
      <c r="Z21" s="2">
        <f>AVERAGE(Sheet1__2[[#This Row],[00:00:00]:[23:00:00]])</f>
        <v>100.41666666666667</v>
      </c>
      <c r="AA21" t="str" cm="1">
        <f t="array" ref="AA2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2" spans="1:27" x14ac:dyDescent="0.3">
      <c r="A22" s="1">
        <v>45709</v>
      </c>
      <c r="B22">
        <v>106</v>
      </c>
      <c r="C22">
        <v>101</v>
      </c>
      <c r="D22">
        <v>97</v>
      </c>
      <c r="E22">
        <v>96</v>
      </c>
      <c r="F22">
        <v>94</v>
      </c>
      <c r="G22">
        <v>92</v>
      </c>
      <c r="H22">
        <v>90</v>
      </c>
      <c r="I22">
        <v>90</v>
      </c>
      <c r="J22">
        <v>90</v>
      </c>
      <c r="K22">
        <v>89</v>
      </c>
      <c r="L22">
        <v>88</v>
      </c>
      <c r="M22">
        <v>88</v>
      </c>
      <c r="N22">
        <v>88</v>
      </c>
      <c r="O22">
        <v>88</v>
      </c>
      <c r="P22">
        <v>88</v>
      </c>
      <c r="Q22">
        <v>88</v>
      </c>
      <c r="R22">
        <v>89</v>
      </c>
      <c r="S22">
        <v>88</v>
      </c>
      <c r="T22">
        <v>89</v>
      </c>
      <c r="U22">
        <v>89</v>
      </c>
      <c r="V22">
        <v>89</v>
      </c>
      <c r="W22">
        <v>88</v>
      </c>
      <c r="X22">
        <v>88</v>
      </c>
      <c r="Y22">
        <v>88</v>
      </c>
      <c r="Z22" s="2">
        <f>AVERAGE(Sheet1__2[[#This Row],[00:00:00]:[23:00:00]])</f>
        <v>90.875</v>
      </c>
      <c r="AA22" t="str" cm="1">
        <f t="array" ref="AA2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3" spans="1:27" x14ac:dyDescent="0.3">
      <c r="A23" s="1">
        <v>45710</v>
      </c>
      <c r="B23">
        <v>88</v>
      </c>
      <c r="C23">
        <v>89</v>
      </c>
      <c r="D23">
        <v>88</v>
      </c>
      <c r="E23">
        <v>90</v>
      </c>
      <c r="F23">
        <v>90</v>
      </c>
      <c r="G23">
        <v>90</v>
      </c>
      <c r="H23">
        <v>90</v>
      </c>
      <c r="I23">
        <v>88</v>
      </c>
      <c r="J23">
        <v>88</v>
      </c>
      <c r="K23">
        <v>87</v>
      </c>
      <c r="L23">
        <v>86</v>
      </c>
      <c r="M23">
        <v>87</v>
      </c>
      <c r="N23">
        <v>87</v>
      </c>
      <c r="O23">
        <v>87</v>
      </c>
      <c r="P23">
        <v>88</v>
      </c>
      <c r="Q23">
        <v>88</v>
      </c>
      <c r="R23">
        <v>130</v>
      </c>
      <c r="S23">
        <v>132</v>
      </c>
      <c r="T23">
        <v>92</v>
      </c>
      <c r="U23">
        <v>96</v>
      </c>
      <c r="V23">
        <v>100</v>
      </c>
      <c r="W23">
        <v>101</v>
      </c>
      <c r="X23">
        <v>101</v>
      </c>
      <c r="Y23">
        <v>100</v>
      </c>
      <c r="Z23" s="2">
        <f>AVERAGE(Sheet1__2[[#This Row],[00:00:00]:[23:00:00]])</f>
        <v>94.291666666666671</v>
      </c>
      <c r="AA23" t="str" cm="1">
        <f t="array" ref="AA2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4" spans="1:27" x14ac:dyDescent="0.3">
      <c r="A24" s="1">
        <v>45711</v>
      </c>
      <c r="B24">
        <v>98</v>
      </c>
      <c r="C24">
        <v>92</v>
      </c>
      <c r="D24">
        <v>94</v>
      </c>
      <c r="E24">
        <v>94</v>
      </c>
      <c r="F24">
        <v>96</v>
      </c>
      <c r="G24">
        <v>96</v>
      </c>
      <c r="H24">
        <v>98</v>
      </c>
      <c r="I24">
        <v>100</v>
      </c>
      <c r="J24">
        <v>101</v>
      </c>
      <c r="K24">
        <v>102</v>
      </c>
      <c r="L24">
        <v>103</v>
      </c>
      <c r="M24">
        <v>103</v>
      </c>
      <c r="N24">
        <v>103</v>
      </c>
      <c r="O24">
        <v>103</v>
      </c>
      <c r="P24">
        <v>104</v>
      </c>
      <c r="Q24">
        <v>103</v>
      </c>
      <c r="R24">
        <v>103</v>
      </c>
      <c r="S24">
        <v>102</v>
      </c>
      <c r="T24">
        <v>102</v>
      </c>
      <c r="U24">
        <v>101</v>
      </c>
      <c r="V24">
        <v>100</v>
      </c>
      <c r="W24">
        <v>100</v>
      </c>
      <c r="X24">
        <v>100</v>
      </c>
      <c r="Y24">
        <v>98</v>
      </c>
      <c r="Z24" s="2">
        <f>AVERAGE(Sheet1__2[[#This Row],[00:00:00]:[23:00:00]])</f>
        <v>99.833333333333329</v>
      </c>
      <c r="AA24" t="str" cm="1">
        <f t="array" ref="AA2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5" spans="1:27" x14ac:dyDescent="0.3">
      <c r="A25" s="1">
        <v>45712</v>
      </c>
      <c r="B25">
        <v>98</v>
      </c>
      <c r="C25">
        <v>96</v>
      </c>
      <c r="D25">
        <v>96</v>
      </c>
      <c r="E25">
        <v>96</v>
      </c>
      <c r="F25">
        <v>96</v>
      </c>
      <c r="G25">
        <v>96</v>
      </c>
      <c r="H25">
        <v>96</v>
      </c>
      <c r="I25">
        <v>97</v>
      </c>
      <c r="J25">
        <v>97</v>
      </c>
      <c r="K25">
        <v>96</v>
      </c>
      <c r="L25">
        <v>97</v>
      </c>
      <c r="M25">
        <v>97</v>
      </c>
      <c r="N25">
        <v>98</v>
      </c>
      <c r="O25">
        <v>98</v>
      </c>
      <c r="P25">
        <v>98</v>
      </c>
      <c r="Q25">
        <v>98</v>
      </c>
      <c r="R25">
        <v>98</v>
      </c>
      <c r="S25">
        <v>98</v>
      </c>
      <c r="T25">
        <v>98</v>
      </c>
      <c r="U25">
        <v>98</v>
      </c>
      <c r="V25">
        <v>98</v>
      </c>
      <c r="W25">
        <v>98</v>
      </c>
      <c r="X25">
        <v>98</v>
      </c>
      <c r="Y25">
        <v>98</v>
      </c>
      <c r="Z25" s="2">
        <f>AVERAGE(Sheet1__2[[#This Row],[00:00:00]:[23:00:00]])</f>
        <v>97.25</v>
      </c>
      <c r="AA25" t="str" cm="1">
        <f t="array" ref="AA2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6" spans="1:27" x14ac:dyDescent="0.3">
      <c r="A26" s="1">
        <v>45713</v>
      </c>
      <c r="B26">
        <v>97</v>
      </c>
      <c r="C26">
        <v>96</v>
      </c>
      <c r="D26">
        <v>96</v>
      </c>
      <c r="E26">
        <v>96</v>
      </c>
      <c r="F26">
        <v>96</v>
      </c>
      <c r="G26">
        <v>96</v>
      </c>
      <c r="H26">
        <v>96</v>
      </c>
      <c r="I26">
        <v>95</v>
      </c>
      <c r="J26">
        <v>94</v>
      </c>
      <c r="K26">
        <v>94</v>
      </c>
      <c r="L26">
        <v>94</v>
      </c>
      <c r="M26">
        <v>94</v>
      </c>
      <c r="N26">
        <v>94</v>
      </c>
      <c r="O26">
        <v>94</v>
      </c>
      <c r="P26">
        <v>95</v>
      </c>
      <c r="Q26">
        <v>96</v>
      </c>
      <c r="R26">
        <v>168</v>
      </c>
      <c r="S26">
        <v>168</v>
      </c>
      <c r="T26">
        <v>101</v>
      </c>
      <c r="U26">
        <v>102</v>
      </c>
      <c r="V26">
        <v>106</v>
      </c>
      <c r="W26">
        <v>107</v>
      </c>
      <c r="X26">
        <v>106</v>
      </c>
      <c r="Y26">
        <v>106</v>
      </c>
      <c r="Z26" s="2">
        <f>AVERAGE(Sheet1__2[[#This Row],[00:00:00]:[23:00:00]])</f>
        <v>103.625</v>
      </c>
      <c r="AA26" t="str" cm="1">
        <f t="array" ref="AA2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7" spans="1:27" x14ac:dyDescent="0.3">
      <c r="A27" s="1">
        <v>45714</v>
      </c>
      <c r="B27">
        <v>104</v>
      </c>
      <c r="C27">
        <v>104</v>
      </c>
      <c r="D27">
        <v>106</v>
      </c>
      <c r="E27">
        <v>106</v>
      </c>
      <c r="F27">
        <v>106</v>
      </c>
      <c r="G27">
        <v>108</v>
      </c>
      <c r="H27">
        <v>108</v>
      </c>
      <c r="I27">
        <v>110</v>
      </c>
      <c r="J27">
        <v>111</v>
      </c>
      <c r="K27">
        <v>112</v>
      </c>
      <c r="L27">
        <v>112</v>
      </c>
      <c r="M27">
        <v>112</v>
      </c>
      <c r="N27">
        <v>114</v>
      </c>
      <c r="O27">
        <v>114</v>
      </c>
      <c r="P27">
        <v>114</v>
      </c>
      <c r="Q27">
        <v>114</v>
      </c>
      <c r="R27">
        <v>114</v>
      </c>
      <c r="S27">
        <v>114</v>
      </c>
      <c r="T27">
        <v>113</v>
      </c>
      <c r="U27">
        <v>114</v>
      </c>
      <c r="V27">
        <v>116</v>
      </c>
      <c r="W27">
        <v>115</v>
      </c>
      <c r="X27">
        <v>115</v>
      </c>
      <c r="Y27">
        <v>112</v>
      </c>
      <c r="Z27" s="2">
        <f>AVERAGE(Sheet1__2[[#This Row],[00:00:00]:[23:00:00]])</f>
        <v>111.16666666666667</v>
      </c>
      <c r="AA27" t="str" cm="1">
        <f t="array" ref="AA2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8" spans="1:27" x14ac:dyDescent="0.3">
      <c r="A28" s="1">
        <v>45715</v>
      </c>
      <c r="B28">
        <v>112</v>
      </c>
      <c r="C28">
        <v>112</v>
      </c>
      <c r="D28">
        <v>112</v>
      </c>
      <c r="E28">
        <v>112</v>
      </c>
      <c r="F28">
        <v>112</v>
      </c>
      <c r="G28">
        <v>112</v>
      </c>
      <c r="H28">
        <v>111</v>
      </c>
      <c r="I28">
        <v>111</v>
      </c>
      <c r="J28">
        <v>112</v>
      </c>
      <c r="K28">
        <v>112</v>
      </c>
      <c r="L28">
        <v>112</v>
      </c>
      <c r="M28">
        <v>112</v>
      </c>
      <c r="N28">
        <v>112</v>
      </c>
      <c r="O28">
        <v>112</v>
      </c>
      <c r="P28">
        <v>112</v>
      </c>
      <c r="Q28">
        <v>113</v>
      </c>
      <c r="R28">
        <v>114</v>
      </c>
      <c r="S28">
        <v>115</v>
      </c>
      <c r="T28">
        <v>116</v>
      </c>
      <c r="U28">
        <v>115</v>
      </c>
      <c r="V28">
        <v>114</v>
      </c>
      <c r="W28">
        <v>114</v>
      </c>
      <c r="X28">
        <v>114</v>
      </c>
      <c r="Y28">
        <v>114</v>
      </c>
      <c r="Z28" s="2">
        <f>AVERAGE(Sheet1__2[[#This Row],[00:00:00]:[23:00:00]])</f>
        <v>112.79166666666667</v>
      </c>
      <c r="AA28" t="str" cm="1">
        <f t="array" ref="AA2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9" spans="1:27" x14ac:dyDescent="0.3">
      <c r="A29" s="1">
        <v>45716</v>
      </c>
      <c r="B29">
        <v>114</v>
      </c>
      <c r="C29">
        <v>114</v>
      </c>
      <c r="D29">
        <v>115</v>
      </c>
      <c r="E29">
        <v>116</v>
      </c>
      <c r="F29">
        <v>116</v>
      </c>
      <c r="G29">
        <v>117</v>
      </c>
      <c r="H29">
        <v>116</v>
      </c>
      <c r="I29">
        <v>114</v>
      </c>
      <c r="J29">
        <v>113</v>
      </c>
      <c r="K29">
        <v>111</v>
      </c>
      <c r="L29">
        <v>111</v>
      </c>
      <c r="M29">
        <v>112</v>
      </c>
      <c r="N29">
        <v>112</v>
      </c>
      <c r="O29">
        <v>111</v>
      </c>
      <c r="P29">
        <v>112</v>
      </c>
      <c r="Q29">
        <v>114</v>
      </c>
      <c r="R29">
        <v>114</v>
      </c>
      <c r="S29">
        <v>115</v>
      </c>
      <c r="T29">
        <v>115</v>
      </c>
      <c r="U29">
        <v>115</v>
      </c>
      <c r="V29">
        <v>116</v>
      </c>
      <c r="W29">
        <v>116</v>
      </c>
      <c r="X29">
        <v>116</v>
      </c>
      <c r="Y29">
        <v>117</v>
      </c>
      <c r="Z29" s="2">
        <f>AVERAGE(Sheet1__2[[#This Row],[00:00:00]:[23:00:00]])</f>
        <v>114.25</v>
      </c>
      <c r="AA29" t="str" cm="1">
        <f t="array" ref="AA2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30" spans="1:27" x14ac:dyDescent="0.3">
      <c r="Z30" s="2">
        <f>AVERAGE(Sheet1__2[AVERAGE AQI])</f>
        <v>98.93607660455487</v>
      </c>
      <c r="AA30" s="3"/>
    </row>
  </sheetData>
  <conditionalFormatting sqref="AA1:AA1048576">
    <cfRule type="containsText" dxfId="78" priority="2" operator="containsText" text="BAD">
      <formula>NOT(ISERROR(SEARCH("BAD",AA1)))</formula>
    </cfRule>
    <cfRule type="containsText" dxfId="79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694F-D921-492C-9FAE-A62054EFD433}">
  <dimension ref="A1:AA33"/>
  <sheetViews>
    <sheetView topLeftCell="A10" workbookViewId="0">
      <selection activeCell="O35" sqref="N35:O35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7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45717</v>
      </c>
      <c r="B2">
        <v>117</v>
      </c>
      <c r="C2">
        <v>116</v>
      </c>
      <c r="D2">
        <v>116</v>
      </c>
      <c r="E2">
        <v>116</v>
      </c>
      <c r="F2">
        <v>114</v>
      </c>
      <c r="G2">
        <v>114</v>
      </c>
      <c r="H2">
        <v>113</v>
      </c>
      <c r="I2">
        <v>111</v>
      </c>
      <c r="J2">
        <v>110</v>
      </c>
      <c r="K2">
        <v>108</v>
      </c>
      <c r="L2">
        <v>107</v>
      </c>
      <c r="M2">
        <v>106</v>
      </c>
      <c r="N2">
        <v>102</v>
      </c>
      <c r="O2">
        <v>100</v>
      </c>
      <c r="P2">
        <v>98</v>
      </c>
      <c r="Q2">
        <v>98</v>
      </c>
      <c r="R2">
        <v>97</v>
      </c>
      <c r="S2">
        <v>96</v>
      </c>
      <c r="T2">
        <v>100</v>
      </c>
      <c r="U2">
        <v>102</v>
      </c>
      <c r="V2">
        <v>102</v>
      </c>
      <c r="W2">
        <v>101</v>
      </c>
      <c r="X2">
        <v>98</v>
      </c>
      <c r="Y2">
        <v>94</v>
      </c>
      <c r="Z2" s="2">
        <f>AVERAGE(Sheet1__3[[#This Row],[00:00:00]:[23:00:00]])</f>
        <v>105.66666666666667</v>
      </c>
      <c r="AA2" t="str" cm="1">
        <f t="array" ref="AA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" spans="1:27" x14ac:dyDescent="0.3">
      <c r="A3" s="1">
        <v>45718</v>
      </c>
      <c r="B3">
        <v>94</v>
      </c>
      <c r="C3">
        <v>96</v>
      </c>
      <c r="D3">
        <v>97</v>
      </c>
      <c r="E3">
        <v>98</v>
      </c>
      <c r="F3">
        <v>98</v>
      </c>
      <c r="G3">
        <v>98</v>
      </c>
      <c r="H3">
        <v>98</v>
      </c>
      <c r="I3">
        <v>98</v>
      </c>
      <c r="J3">
        <v>100</v>
      </c>
      <c r="K3">
        <v>100</v>
      </c>
      <c r="L3">
        <v>100</v>
      </c>
      <c r="M3">
        <v>100</v>
      </c>
      <c r="N3">
        <v>101</v>
      </c>
      <c r="O3">
        <v>101</v>
      </c>
      <c r="P3">
        <v>100</v>
      </c>
      <c r="Q3">
        <v>100</v>
      </c>
      <c r="R3">
        <v>97</v>
      </c>
      <c r="S3">
        <v>97</v>
      </c>
      <c r="T3">
        <v>96</v>
      </c>
      <c r="U3">
        <v>94</v>
      </c>
      <c r="V3">
        <v>94</v>
      </c>
      <c r="W3">
        <v>94</v>
      </c>
      <c r="X3">
        <v>94</v>
      </c>
      <c r="Y3">
        <v>93</v>
      </c>
      <c r="Z3" s="2">
        <f>AVERAGE(Sheet1__3[[#This Row],[00:00:00]:[23:00:00]])</f>
        <v>97.416666666666671</v>
      </c>
      <c r="AA3" t="str" cm="1">
        <f t="array" ref="AA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4" spans="1:27" x14ac:dyDescent="0.3">
      <c r="A4" s="1">
        <v>45719</v>
      </c>
      <c r="B4">
        <v>92</v>
      </c>
      <c r="C4">
        <v>94</v>
      </c>
      <c r="D4">
        <v>95</v>
      </c>
      <c r="E4">
        <v>96</v>
      </c>
      <c r="F4">
        <v>98</v>
      </c>
      <c r="G4">
        <v>98</v>
      </c>
      <c r="H4">
        <v>99</v>
      </c>
      <c r="I4">
        <v>100</v>
      </c>
      <c r="J4">
        <v>100</v>
      </c>
      <c r="K4">
        <v>102</v>
      </c>
      <c r="L4">
        <v>104</v>
      </c>
      <c r="M4">
        <v>106</v>
      </c>
      <c r="N4">
        <v>109</v>
      </c>
      <c r="O4">
        <v>112</v>
      </c>
      <c r="P4">
        <v>114</v>
      </c>
      <c r="Q4">
        <v>114</v>
      </c>
      <c r="R4">
        <v>114</v>
      </c>
      <c r="S4">
        <v>115</v>
      </c>
      <c r="T4">
        <v>115</v>
      </c>
      <c r="U4">
        <v>114</v>
      </c>
      <c r="V4">
        <v>114</v>
      </c>
      <c r="W4">
        <v>113</v>
      </c>
      <c r="X4">
        <v>113</v>
      </c>
      <c r="Y4">
        <v>112</v>
      </c>
      <c r="Z4" s="2">
        <f>AVERAGE(Sheet1__3[[#This Row],[00:00:00]:[23:00:00]])</f>
        <v>105.95833333333333</v>
      </c>
      <c r="AA4" t="str" cm="1">
        <f t="array" ref="AA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5" spans="1:27" x14ac:dyDescent="0.3">
      <c r="A5" s="1">
        <v>45720</v>
      </c>
      <c r="B5">
        <v>112</v>
      </c>
      <c r="C5">
        <v>111</v>
      </c>
      <c r="D5">
        <v>109</v>
      </c>
      <c r="E5">
        <v>108</v>
      </c>
      <c r="F5">
        <v>106</v>
      </c>
      <c r="G5">
        <v>104</v>
      </c>
      <c r="H5">
        <v>103</v>
      </c>
      <c r="I5">
        <v>102</v>
      </c>
      <c r="J5">
        <v>100</v>
      </c>
      <c r="K5">
        <v>99</v>
      </c>
      <c r="L5">
        <v>95</v>
      </c>
      <c r="M5">
        <v>94</v>
      </c>
      <c r="N5">
        <v>90</v>
      </c>
      <c r="O5">
        <v>88</v>
      </c>
      <c r="P5">
        <v>86</v>
      </c>
      <c r="Q5">
        <v>86</v>
      </c>
      <c r="R5">
        <v>84</v>
      </c>
      <c r="S5">
        <v>84</v>
      </c>
      <c r="T5">
        <v>84</v>
      </c>
      <c r="U5">
        <v>84</v>
      </c>
      <c r="V5">
        <v>84</v>
      </c>
      <c r="W5">
        <v>84</v>
      </c>
      <c r="X5">
        <v>85</v>
      </c>
      <c r="Y5">
        <v>85</v>
      </c>
      <c r="Z5" s="2">
        <f>AVERAGE(Sheet1__3[[#This Row],[00:00:00]:[23:00:00]])</f>
        <v>94.458333333333329</v>
      </c>
      <c r="AA5" t="str" cm="1">
        <f t="array" ref="AA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6" spans="1:27" x14ac:dyDescent="0.3">
      <c r="A6" s="1">
        <v>45721</v>
      </c>
      <c r="B6">
        <v>85</v>
      </c>
      <c r="C6">
        <v>84</v>
      </c>
      <c r="D6">
        <v>84</v>
      </c>
      <c r="E6">
        <v>84</v>
      </c>
      <c r="F6">
        <v>84</v>
      </c>
      <c r="G6">
        <v>84</v>
      </c>
      <c r="H6">
        <v>84</v>
      </c>
      <c r="I6">
        <v>84</v>
      </c>
      <c r="J6">
        <v>85</v>
      </c>
      <c r="K6">
        <v>86</v>
      </c>
      <c r="L6">
        <v>87</v>
      </c>
      <c r="M6">
        <v>88</v>
      </c>
      <c r="N6">
        <v>89</v>
      </c>
      <c r="O6">
        <v>90</v>
      </c>
      <c r="P6">
        <v>91</v>
      </c>
      <c r="Q6">
        <v>91</v>
      </c>
      <c r="R6">
        <v>92</v>
      </c>
      <c r="S6">
        <v>90</v>
      </c>
      <c r="T6">
        <v>90</v>
      </c>
      <c r="U6">
        <v>90</v>
      </c>
      <c r="V6">
        <v>88</v>
      </c>
      <c r="W6">
        <v>88</v>
      </c>
      <c r="X6">
        <v>87</v>
      </c>
      <c r="Y6">
        <v>87</v>
      </c>
      <c r="Z6" s="2">
        <f>AVERAGE(Sheet1__3[[#This Row],[00:00:00]:[23:00:00]])</f>
        <v>87.166666666666671</v>
      </c>
      <c r="AA6" t="str" cm="1">
        <f t="array" ref="AA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7" spans="1:27" x14ac:dyDescent="0.3">
      <c r="A7" s="1">
        <v>45722</v>
      </c>
      <c r="B7">
        <v>87</v>
      </c>
      <c r="C7">
        <v>86</v>
      </c>
      <c r="D7">
        <v>86</v>
      </c>
      <c r="E7">
        <v>86</v>
      </c>
      <c r="G7">
        <v>86</v>
      </c>
      <c r="H7">
        <v>87</v>
      </c>
      <c r="I7">
        <v>87</v>
      </c>
      <c r="J7">
        <v>88</v>
      </c>
      <c r="K7">
        <v>88</v>
      </c>
      <c r="L7">
        <v>89</v>
      </c>
      <c r="M7">
        <v>89</v>
      </c>
      <c r="N7">
        <v>89</v>
      </c>
      <c r="O7">
        <v>90</v>
      </c>
      <c r="P7">
        <v>90</v>
      </c>
      <c r="Q7">
        <v>90</v>
      </c>
      <c r="R7">
        <v>128</v>
      </c>
      <c r="S7">
        <v>92</v>
      </c>
      <c r="T7">
        <v>100</v>
      </c>
      <c r="U7">
        <v>100</v>
      </c>
      <c r="V7">
        <v>106</v>
      </c>
      <c r="W7">
        <v>106</v>
      </c>
      <c r="X7">
        <v>104</v>
      </c>
      <c r="Y7">
        <v>101</v>
      </c>
      <c r="Z7" s="2">
        <f>AVERAGE(Sheet1__3[[#This Row],[00:00:00]:[23:00:00]])</f>
        <v>93.695652173913047</v>
      </c>
      <c r="AA7" t="str" cm="1">
        <f t="array" ref="AA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8" spans="1:27" x14ac:dyDescent="0.3">
      <c r="A8" s="1">
        <v>45723</v>
      </c>
      <c r="B8">
        <v>94</v>
      </c>
      <c r="C8">
        <v>92</v>
      </c>
      <c r="D8">
        <v>94</v>
      </c>
      <c r="E8">
        <v>95</v>
      </c>
      <c r="F8">
        <v>96</v>
      </c>
      <c r="G8">
        <v>97</v>
      </c>
      <c r="H8">
        <v>100</v>
      </c>
      <c r="I8">
        <v>102</v>
      </c>
      <c r="J8">
        <v>104</v>
      </c>
      <c r="K8">
        <v>106</v>
      </c>
      <c r="L8">
        <v>106</v>
      </c>
      <c r="M8">
        <v>108</v>
      </c>
      <c r="N8">
        <v>108</v>
      </c>
      <c r="O8">
        <v>109</v>
      </c>
      <c r="P8">
        <v>111</v>
      </c>
      <c r="Q8">
        <v>112</v>
      </c>
      <c r="R8">
        <v>111</v>
      </c>
      <c r="S8">
        <v>111</v>
      </c>
      <c r="T8">
        <v>112</v>
      </c>
      <c r="U8">
        <v>114</v>
      </c>
      <c r="V8">
        <v>117</v>
      </c>
      <c r="W8">
        <v>118</v>
      </c>
      <c r="X8">
        <v>117</v>
      </c>
      <c r="Y8">
        <v>118</v>
      </c>
      <c r="Z8" s="2">
        <f>AVERAGE(Sheet1__3[[#This Row],[00:00:00]:[23:00:00]])</f>
        <v>106.33333333333333</v>
      </c>
      <c r="AA8" t="str" cm="1">
        <f t="array" ref="AA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9" spans="1:27" x14ac:dyDescent="0.3">
      <c r="A9" s="1">
        <v>45724</v>
      </c>
      <c r="B9">
        <v>115</v>
      </c>
      <c r="C9">
        <v>116</v>
      </c>
      <c r="D9">
        <v>117</v>
      </c>
      <c r="E9">
        <v>119</v>
      </c>
      <c r="F9">
        <v>120</v>
      </c>
      <c r="G9">
        <v>124</v>
      </c>
      <c r="H9">
        <v>124</v>
      </c>
      <c r="I9">
        <v>129</v>
      </c>
      <c r="J9">
        <v>131</v>
      </c>
      <c r="K9">
        <v>134</v>
      </c>
      <c r="L9">
        <v>138</v>
      </c>
      <c r="M9">
        <v>141</v>
      </c>
      <c r="N9">
        <v>144</v>
      </c>
      <c r="O9">
        <v>146</v>
      </c>
      <c r="P9">
        <v>146</v>
      </c>
      <c r="Q9">
        <v>148</v>
      </c>
      <c r="R9">
        <v>148</v>
      </c>
      <c r="S9">
        <v>148</v>
      </c>
      <c r="T9">
        <v>148</v>
      </c>
      <c r="U9">
        <v>148</v>
      </c>
      <c r="V9">
        <v>147</v>
      </c>
      <c r="W9">
        <v>145</v>
      </c>
      <c r="X9">
        <v>144</v>
      </c>
      <c r="Y9">
        <v>143</v>
      </c>
      <c r="Z9" s="2">
        <f>AVERAGE(Sheet1__3[[#This Row],[00:00:00]:[23:00:00]])</f>
        <v>135.95833333333334</v>
      </c>
      <c r="AA9" t="str" cm="1">
        <f t="array" ref="AA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0" spans="1:27" x14ac:dyDescent="0.3">
      <c r="A10" s="1">
        <v>45725</v>
      </c>
      <c r="B10">
        <v>143</v>
      </c>
      <c r="C10">
        <v>142</v>
      </c>
      <c r="D10">
        <v>142</v>
      </c>
      <c r="E10">
        <v>140</v>
      </c>
      <c r="F10">
        <v>138</v>
      </c>
      <c r="G10">
        <v>136</v>
      </c>
      <c r="H10">
        <v>132</v>
      </c>
      <c r="I10">
        <v>130</v>
      </c>
      <c r="J10">
        <v>132</v>
      </c>
      <c r="K10">
        <v>131</v>
      </c>
      <c r="L10">
        <v>132</v>
      </c>
      <c r="M10">
        <v>135</v>
      </c>
      <c r="N10">
        <v>138</v>
      </c>
      <c r="O10">
        <v>140</v>
      </c>
      <c r="P10">
        <v>142</v>
      </c>
      <c r="Q10">
        <v>144</v>
      </c>
      <c r="R10">
        <v>144</v>
      </c>
      <c r="S10">
        <v>145</v>
      </c>
      <c r="T10">
        <v>146</v>
      </c>
      <c r="U10">
        <v>146</v>
      </c>
      <c r="V10">
        <v>145</v>
      </c>
      <c r="W10">
        <v>144</v>
      </c>
      <c r="X10">
        <v>144</v>
      </c>
      <c r="Y10">
        <v>143</v>
      </c>
      <c r="Z10" s="2">
        <f>AVERAGE(Sheet1__3[[#This Row],[00:00:00]:[23:00:00]])</f>
        <v>139.75</v>
      </c>
      <c r="AA10" t="str" cm="1">
        <f t="array" ref="AA1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1" spans="1:27" x14ac:dyDescent="0.3">
      <c r="A11" s="1">
        <v>45726</v>
      </c>
      <c r="B11">
        <v>143</v>
      </c>
      <c r="C11">
        <v>142</v>
      </c>
      <c r="D11">
        <v>142</v>
      </c>
      <c r="E11">
        <v>142</v>
      </c>
      <c r="F11">
        <v>140</v>
      </c>
      <c r="G11">
        <v>141</v>
      </c>
      <c r="H11">
        <v>141</v>
      </c>
      <c r="I11">
        <v>140</v>
      </c>
      <c r="J11">
        <v>138</v>
      </c>
      <c r="K11">
        <v>138</v>
      </c>
      <c r="L11">
        <v>132</v>
      </c>
      <c r="M11">
        <v>132</v>
      </c>
      <c r="N11">
        <v>126</v>
      </c>
      <c r="O11">
        <v>122</v>
      </c>
      <c r="P11">
        <v>120</v>
      </c>
      <c r="Q11">
        <v>120</v>
      </c>
      <c r="R11">
        <v>168</v>
      </c>
      <c r="S11">
        <v>118</v>
      </c>
      <c r="T11">
        <v>118</v>
      </c>
      <c r="U11">
        <v>129</v>
      </c>
      <c r="V11">
        <v>124</v>
      </c>
      <c r="W11">
        <v>129</v>
      </c>
      <c r="X11">
        <v>136</v>
      </c>
      <c r="Y11">
        <v>143</v>
      </c>
      <c r="Z11" s="2">
        <f>AVERAGE(Sheet1__3[[#This Row],[00:00:00]:[23:00:00]])</f>
        <v>134.33333333333334</v>
      </c>
      <c r="AA11" t="str" cm="1">
        <f t="array" ref="AA1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2" spans="1:27" x14ac:dyDescent="0.3">
      <c r="A12" s="1">
        <v>45727</v>
      </c>
      <c r="B12">
        <v>149</v>
      </c>
      <c r="C12">
        <v>156</v>
      </c>
      <c r="D12">
        <v>160</v>
      </c>
      <c r="E12">
        <v>164</v>
      </c>
      <c r="F12">
        <v>168</v>
      </c>
      <c r="G12">
        <v>170</v>
      </c>
      <c r="H12">
        <v>176</v>
      </c>
      <c r="I12">
        <v>180</v>
      </c>
      <c r="J12">
        <v>182</v>
      </c>
      <c r="K12">
        <v>184</v>
      </c>
      <c r="L12">
        <v>186</v>
      </c>
      <c r="M12">
        <v>188</v>
      </c>
      <c r="N12">
        <v>188</v>
      </c>
      <c r="O12">
        <v>192</v>
      </c>
      <c r="P12">
        <v>192</v>
      </c>
      <c r="Q12">
        <v>193</v>
      </c>
      <c r="R12">
        <v>192</v>
      </c>
      <c r="S12">
        <v>191</v>
      </c>
      <c r="T12">
        <v>190</v>
      </c>
      <c r="U12">
        <v>188</v>
      </c>
      <c r="V12">
        <v>185</v>
      </c>
      <c r="W12">
        <v>180</v>
      </c>
      <c r="Z12" s="2">
        <f>AVERAGE(Sheet1__3[[#This Row],[00:00:00]:[23:00:00]])</f>
        <v>179.72727272727272</v>
      </c>
      <c r="AA12" t="str" cm="1">
        <f t="array" ref="AA1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3" spans="1:27" x14ac:dyDescent="0.3">
      <c r="A13" s="1">
        <v>45728</v>
      </c>
      <c r="B13">
        <v>167</v>
      </c>
      <c r="C13">
        <v>159</v>
      </c>
      <c r="D13">
        <v>152</v>
      </c>
      <c r="E13">
        <v>146</v>
      </c>
      <c r="F13">
        <v>142</v>
      </c>
      <c r="G13">
        <v>136</v>
      </c>
      <c r="H13">
        <v>131</v>
      </c>
      <c r="I13">
        <v>126</v>
      </c>
      <c r="J13">
        <v>124</v>
      </c>
      <c r="K13">
        <v>120</v>
      </c>
      <c r="L13">
        <v>120</v>
      </c>
      <c r="M13">
        <v>118</v>
      </c>
      <c r="N13">
        <v>114</v>
      </c>
      <c r="O13">
        <v>114</v>
      </c>
      <c r="P13">
        <v>114</v>
      </c>
      <c r="Q13">
        <v>176</v>
      </c>
      <c r="R13">
        <v>176</v>
      </c>
      <c r="S13">
        <v>116</v>
      </c>
      <c r="T13">
        <v>121</v>
      </c>
      <c r="U13">
        <v>124</v>
      </c>
      <c r="V13">
        <v>124</v>
      </c>
      <c r="W13">
        <v>120</v>
      </c>
      <c r="X13">
        <v>116</v>
      </c>
      <c r="Y13">
        <v>110</v>
      </c>
      <c r="Z13" s="2">
        <f>AVERAGE(Sheet1__3[[#This Row],[00:00:00]:[23:00:00]])</f>
        <v>131.91666666666666</v>
      </c>
      <c r="AA13" t="str" cm="1">
        <f t="array" ref="AA1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4" spans="1:27" x14ac:dyDescent="0.3">
      <c r="A14" s="1">
        <v>45729</v>
      </c>
      <c r="B14">
        <v>104</v>
      </c>
      <c r="C14">
        <v>103</v>
      </c>
      <c r="D14">
        <v>104</v>
      </c>
      <c r="E14">
        <v>104</v>
      </c>
      <c r="F14">
        <v>104</v>
      </c>
      <c r="G14">
        <v>102</v>
      </c>
      <c r="H14">
        <v>102</v>
      </c>
      <c r="I14">
        <v>99</v>
      </c>
      <c r="J14">
        <v>96</v>
      </c>
      <c r="K14">
        <v>94</v>
      </c>
      <c r="L14">
        <v>94</v>
      </c>
      <c r="M14">
        <v>92</v>
      </c>
      <c r="N14">
        <v>92</v>
      </c>
      <c r="O14">
        <v>92</v>
      </c>
      <c r="P14">
        <v>93</v>
      </c>
      <c r="Q14">
        <v>94</v>
      </c>
      <c r="R14">
        <v>94</v>
      </c>
      <c r="S14">
        <v>95</v>
      </c>
      <c r="T14">
        <v>96</v>
      </c>
      <c r="U14">
        <v>97</v>
      </c>
      <c r="V14">
        <v>98</v>
      </c>
      <c r="W14">
        <v>100</v>
      </c>
      <c r="X14">
        <v>102</v>
      </c>
      <c r="Y14">
        <v>103</v>
      </c>
      <c r="Z14" s="2">
        <f>AVERAGE(Sheet1__3[[#This Row],[00:00:00]:[23:00:00]])</f>
        <v>98.083333333333329</v>
      </c>
      <c r="AA14" t="str" cm="1">
        <f t="array" ref="AA1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15" spans="1:27" x14ac:dyDescent="0.3">
      <c r="A15" s="1">
        <v>45730</v>
      </c>
      <c r="B15">
        <v>106</v>
      </c>
      <c r="C15">
        <v>107</v>
      </c>
      <c r="D15">
        <v>109</v>
      </c>
      <c r="E15">
        <v>110</v>
      </c>
      <c r="F15">
        <v>112</v>
      </c>
      <c r="G15">
        <v>112</v>
      </c>
      <c r="H15">
        <v>112</v>
      </c>
      <c r="I15">
        <v>113</v>
      </c>
      <c r="J15">
        <v>113</v>
      </c>
      <c r="K15">
        <v>132</v>
      </c>
      <c r="L15">
        <v>113</v>
      </c>
      <c r="M15">
        <v>112</v>
      </c>
      <c r="N15">
        <v>112</v>
      </c>
      <c r="O15">
        <v>110</v>
      </c>
      <c r="P15">
        <v>106</v>
      </c>
      <c r="Q15">
        <v>104</v>
      </c>
      <c r="R15">
        <v>102</v>
      </c>
      <c r="S15">
        <v>100</v>
      </c>
      <c r="T15">
        <v>98</v>
      </c>
      <c r="U15">
        <v>96</v>
      </c>
      <c r="V15">
        <v>97</v>
      </c>
      <c r="W15">
        <v>96</v>
      </c>
      <c r="X15">
        <v>94</v>
      </c>
      <c r="Y15">
        <v>92</v>
      </c>
      <c r="Z15" s="2">
        <f>AVERAGE(Sheet1__3[[#This Row],[00:00:00]:[23:00:00]])</f>
        <v>106.58333333333333</v>
      </c>
      <c r="AA15" t="str" cm="1">
        <f t="array" ref="AA1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6" spans="1:27" x14ac:dyDescent="0.3">
      <c r="A16" s="1">
        <v>45731</v>
      </c>
      <c r="B16">
        <v>91</v>
      </c>
      <c r="C16">
        <v>87</v>
      </c>
      <c r="D16">
        <v>82</v>
      </c>
      <c r="E16">
        <v>80</v>
      </c>
      <c r="F16">
        <v>76</v>
      </c>
      <c r="G16">
        <v>74</v>
      </c>
      <c r="H16">
        <v>72</v>
      </c>
      <c r="I16">
        <v>70</v>
      </c>
      <c r="J16">
        <v>68</v>
      </c>
      <c r="K16">
        <v>66</v>
      </c>
      <c r="L16">
        <v>62</v>
      </c>
      <c r="M16">
        <v>59</v>
      </c>
      <c r="N16">
        <v>58</v>
      </c>
      <c r="O16">
        <v>57</v>
      </c>
      <c r="P16">
        <v>56</v>
      </c>
      <c r="Q16">
        <v>56</v>
      </c>
      <c r="R16">
        <v>59</v>
      </c>
      <c r="S16">
        <v>62</v>
      </c>
      <c r="T16">
        <v>64</v>
      </c>
      <c r="U16">
        <v>68</v>
      </c>
      <c r="V16">
        <v>68</v>
      </c>
      <c r="W16">
        <v>68</v>
      </c>
      <c r="X16">
        <v>66</v>
      </c>
      <c r="Y16">
        <v>66</v>
      </c>
      <c r="Z16" s="2">
        <f>AVERAGE(Sheet1__3[[#This Row],[00:00:00]:[23:00:00]])</f>
        <v>68.125</v>
      </c>
      <c r="AA16" t="str" cm="1">
        <f t="array" ref="AA1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17" spans="1:27" x14ac:dyDescent="0.3">
      <c r="A17" s="1">
        <v>45732</v>
      </c>
      <c r="B17">
        <v>66</v>
      </c>
      <c r="C17">
        <v>65</v>
      </c>
      <c r="D17">
        <v>65</v>
      </c>
      <c r="E17">
        <v>64</v>
      </c>
      <c r="F17">
        <v>62</v>
      </c>
      <c r="G17">
        <v>61</v>
      </c>
      <c r="H17">
        <v>61</v>
      </c>
      <c r="I17">
        <v>62</v>
      </c>
      <c r="J17">
        <v>63</v>
      </c>
      <c r="K17">
        <v>64</v>
      </c>
      <c r="L17">
        <v>66</v>
      </c>
      <c r="M17">
        <v>68</v>
      </c>
      <c r="N17">
        <v>68</v>
      </c>
      <c r="O17">
        <v>69</v>
      </c>
      <c r="P17">
        <v>68</v>
      </c>
      <c r="Q17">
        <v>69</v>
      </c>
      <c r="R17">
        <v>72</v>
      </c>
      <c r="S17">
        <v>76</v>
      </c>
      <c r="T17">
        <v>79</v>
      </c>
      <c r="U17">
        <v>82</v>
      </c>
      <c r="V17">
        <v>82</v>
      </c>
      <c r="W17">
        <v>82</v>
      </c>
      <c r="X17">
        <v>82</v>
      </c>
      <c r="Y17">
        <v>80</v>
      </c>
      <c r="Z17" s="2">
        <f>AVERAGE(Sheet1__3[[#This Row],[00:00:00]:[23:00:00]])</f>
        <v>69.833333333333329</v>
      </c>
      <c r="AA17" t="str" cm="1">
        <f t="array" ref="AA1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18" spans="1:27" x14ac:dyDescent="0.3">
      <c r="A18" s="1">
        <v>45733</v>
      </c>
      <c r="B18">
        <v>78</v>
      </c>
      <c r="C18">
        <v>78</v>
      </c>
      <c r="D18">
        <v>76</v>
      </c>
      <c r="E18">
        <v>76</v>
      </c>
      <c r="F18">
        <v>76</v>
      </c>
      <c r="G18">
        <v>76</v>
      </c>
      <c r="H18">
        <v>76</v>
      </c>
      <c r="I18">
        <v>76</v>
      </c>
      <c r="J18">
        <v>76</v>
      </c>
      <c r="K18">
        <v>76</v>
      </c>
      <c r="L18">
        <v>74</v>
      </c>
      <c r="M18">
        <v>74</v>
      </c>
      <c r="N18">
        <v>74</v>
      </c>
      <c r="O18">
        <v>74</v>
      </c>
      <c r="P18">
        <v>74</v>
      </c>
      <c r="Q18">
        <v>77</v>
      </c>
      <c r="R18">
        <v>78</v>
      </c>
      <c r="S18">
        <v>80</v>
      </c>
      <c r="T18">
        <v>84</v>
      </c>
      <c r="U18">
        <v>85</v>
      </c>
      <c r="V18">
        <v>84</v>
      </c>
      <c r="W18">
        <v>84</v>
      </c>
      <c r="X18">
        <v>82</v>
      </c>
      <c r="Y18">
        <v>80</v>
      </c>
      <c r="Z18" s="2">
        <f>AVERAGE(Sheet1__3[[#This Row],[00:00:00]:[23:00:00]])</f>
        <v>77.833333333333329</v>
      </c>
      <c r="AA18" t="str" cm="1">
        <f t="array" ref="AA1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19" spans="1:27" x14ac:dyDescent="0.3">
      <c r="A19" s="1">
        <v>45734</v>
      </c>
      <c r="B19">
        <v>78</v>
      </c>
      <c r="C19">
        <v>76</v>
      </c>
      <c r="D19">
        <v>76</v>
      </c>
      <c r="F19">
        <v>76</v>
      </c>
      <c r="G19">
        <v>76</v>
      </c>
      <c r="H19">
        <v>76</v>
      </c>
      <c r="I19">
        <v>77</v>
      </c>
      <c r="J19">
        <v>78</v>
      </c>
      <c r="K19">
        <v>78</v>
      </c>
      <c r="L19">
        <v>78</v>
      </c>
      <c r="M19">
        <v>78</v>
      </c>
      <c r="N19">
        <v>77</v>
      </c>
      <c r="O19">
        <v>78</v>
      </c>
      <c r="P19">
        <v>122</v>
      </c>
      <c r="R19">
        <v>84</v>
      </c>
      <c r="S19">
        <v>85</v>
      </c>
      <c r="T19">
        <v>85</v>
      </c>
      <c r="U19">
        <v>90</v>
      </c>
      <c r="V19">
        <v>90</v>
      </c>
      <c r="W19">
        <v>90</v>
      </c>
      <c r="X19">
        <v>88</v>
      </c>
      <c r="Y19">
        <v>80</v>
      </c>
      <c r="Z19" s="2">
        <f>AVERAGE(Sheet1__3[[#This Row],[00:00:00]:[23:00:00]])</f>
        <v>82.545454545454547</v>
      </c>
      <c r="AA19" t="str" cm="1">
        <f t="array" ref="AA1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0" spans="1:27" x14ac:dyDescent="0.3">
      <c r="A20" s="1">
        <v>45735</v>
      </c>
      <c r="B20">
        <v>78</v>
      </c>
      <c r="C20">
        <v>77</v>
      </c>
      <c r="D20">
        <v>75</v>
      </c>
      <c r="E20">
        <v>74</v>
      </c>
      <c r="F20">
        <v>72</v>
      </c>
      <c r="G20">
        <v>73</v>
      </c>
      <c r="H20">
        <v>73</v>
      </c>
      <c r="I20">
        <v>73</v>
      </c>
      <c r="J20">
        <v>74</v>
      </c>
      <c r="K20">
        <v>74</v>
      </c>
      <c r="L20">
        <v>74</v>
      </c>
      <c r="M20">
        <v>75</v>
      </c>
      <c r="N20">
        <v>77</v>
      </c>
      <c r="O20">
        <v>78</v>
      </c>
      <c r="P20">
        <v>78</v>
      </c>
      <c r="Q20">
        <v>80</v>
      </c>
      <c r="R20">
        <v>80</v>
      </c>
      <c r="S20">
        <v>86</v>
      </c>
      <c r="T20">
        <v>89</v>
      </c>
      <c r="U20">
        <v>90</v>
      </c>
      <c r="V20">
        <v>90</v>
      </c>
      <c r="W20">
        <v>88</v>
      </c>
      <c r="X20">
        <v>84</v>
      </c>
      <c r="Y20">
        <v>81</v>
      </c>
      <c r="Z20" s="2">
        <f>AVERAGE(Sheet1__3[[#This Row],[00:00:00]:[23:00:00]])</f>
        <v>78.875</v>
      </c>
      <c r="AA20" t="str" cm="1">
        <f t="array" ref="AA2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1" spans="1:27" x14ac:dyDescent="0.3">
      <c r="A21" s="1">
        <v>45736</v>
      </c>
      <c r="B21">
        <v>81</v>
      </c>
      <c r="C21">
        <v>82</v>
      </c>
      <c r="D21">
        <v>82</v>
      </c>
      <c r="E21">
        <v>81</v>
      </c>
      <c r="F21">
        <v>80</v>
      </c>
      <c r="G21">
        <v>80</v>
      </c>
      <c r="H21">
        <v>80</v>
      </c>
      <c r="I21">
        <v>80</v>
      </c>
      <c r="J21">
        <v>80</v>
      </c>
      <c r="K21">
        <v>80</v>
      </c>
      <c r="L21">
        <v>80</v>
      </c>
      <c r="M21">
        <v>80</v>
      </c>
      <c r="N21">
        <v>80</v>
      </c>
      <c r="O21">
        <v>80</v>
      </c>
      <c r="P21">
        <v>78</v>
      </c>
      <c r="Q21">
        <v>78</v>
      </c>
      <c r="R21">
        <v>80</v>
      </c>
      <c r="S21">
        <v>79</v>
      </c>
      <c r="T21">
        <v>82</v>
      </c>
      <c r="U21">
        <v>87</v>
      </c>
      <c r="V21">
        <v>88</v>
      </c>
      <c r="W21">
        <v>88</v>
      </c>
      <c r="X21">
        <v>90</v>
      </c>
      <c r="Y21">
        <v>91</v>
      </c>
      <c r="Z21" s="2">
        <f>AVERAGE(Sheet1__3[[#This Row],[00:00:00]:[23:00:00]])</f>
        <v>81.958333333333329</v>
      </c>
      <c r="AA21" t="str" cm="1">
        <f t="array" ref="AA2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2" spans="1:27" x14ac:dyDescent="0.3">
      <c r="A22" s="1">
        <v>45737</v>
      </c>
      <c r="B22">
        <v>90</v>
      </c>
      <c r="C22">
        <v>90</v>
      </c>
      <c r="D22">
        <v>88</v>
      </c>
      <c r="E22">
        <v>86</v>
      </c>
      <c r="F22">
        <v>84</v>
      </c>
      <c r="G22">
        <v>82</v>
      </c>
      <c r="H22">
        <v>79</v>
      </c>
      <c r="I22">
        <v>78</v>
      </c>
      <c r="J22">
        <v>78</v>
      </c>
      <c r="K22">
        <v>77</v>
      </c>
      <c r="L22">
        <v>76</v>
      </c>
      <c r="M22">
        <v>74</v>
      </c>
      <c r="N22">
        <v>74</v>
      </c>
      <c r="O22">
        <v>73</v>
      </c>
      <c r="P22">
        <v>72</v>
      </c>
      <c r="Q22">
        <v>72</v>
      </c>
      <c r="R22">
        <v>72</v>
      </c>
      <c r="S22">
        <v>72</v>
      </c>
      <c r="T22">
        <v>72</v>
      </c>
      <c r="U22">
        <v>72</v>
      </c>
      <c r="V22">
        <v>71</v>
      </c>
      <c r="W22">
        <v>70</v>
      </c>
      <c r="X22">
        <v>70</v>
      </c>
      <c r="Y22">
        <v>70</v>
      </c>
      <c r="Z22" s="2">
        <f>AVERAGE(Sheet1__3[[#This Row],[00:00:00]:[23:00:00]])</f>
        <v>76.75</v>
      </c>
      <c r="AA22" t="str" cm="1">
        <f t="array" ref="AA2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3" spans="1:27" x14ac:dyDescent="0.3">
      <c r="A23" s="1">
        <v>45738</v>
      </c>
      <c r="B23">
        <v>70</v>
      </c>
      <c r="C23">
        <v>69</v>
      </c>
      <c r="D23">
        <v>68</v>
      </c>
      <c r="E23">
        <v>66</v>
      </c>
      <c r="F23">
        <v>65</v>
      </c>
      <c r="G23">
        <v>64</v>
      </c>
      <c r="H23">
        <v>64</v>
      </c>
      <c r="I23">
        <v>64</v>
      </c>
      <c r="J23">
        <v>65</v>
      </c>
      <c r="K23">
        <v>66</v>
      </c>
      <c r="L23">
        <v>67</v>
      </c>
      <c r="M23">
        <v>68</v>
      </c>
      <c r="N23">
        <v>69</v>
      </c>
      <c r="O23">
        <v>69</v>
      </c>
      <c r="P23">
        <v>69</v>
      </c>
      <c r="Q23">
        <v>69</v>
      </c>
      <c r="R23">
        <v>69</v>
      </c>
      <c r="S23">
        <v>74</v>
      </c>
      <c r="T23">
        <v>76</v>
      </c>
      <c r="U23">
        <v>76</v>
      </c>
      <c r="V23">
        <v>74</v>
      </c>
      <c r="W23">
        <v>72</v>
      </c>
      <c r="X23">
        <v>70</v>
      </c>
      <c r="Y23">
        <v>67</v>
      </c>
      <c r="Z23" s="2">
        <f>AVERAGE(Sheet1__3[[#This Row],[00:00:00]:[23:00:00]])</f>
        <v>68.75</v>
      </c>
      <c r="AA23" t="str" cm="1">
        <f t="array" ref="AA2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4" spans="1:27" x14ac:dyDescent="0.3">
      <c r="A24" s="1">
        <v>45739</v>
      </c>
      <c r="B24">
        <v>66</v>
      </c>
      <c r="C24">
        <v>66</v>
      </c>
      <c r="D24">
        <v>66</v>
      </c>
      <c r="E24">
        <v>66</v>
      </c>
      <c r="F24">
        <v>67</v>
      </c>
      <c r="G24">
        <v>68</v>
      </c>
      <c r="H24">
        <v>68</v>
      </c>
      <c r="I24">
        <v>68</v>
      </c>
      <c r="J24">
        <v>68</v>
      </c>
      <c r="K24">
        <v>68</v>
      </c>
      <c r="L24">
        <v>68</v>
      </c>
      <c r="M24">
        <v>68</v>
      </c>
      <c r="N24">
        <v>69</v>
      </c>
      <c r="O24">
        <v>71</v>
      </c>
      <c r="P24">
        <v>72</v>
      </c>
      <c r="Q24">
        <v>74</v>
      </c>
      <c r="R24">
        <v>80</v>
      </c>
      <c r="S24">
        <v>80</v>
      </c>
      <c r="T24">
        <v>95</v>
      </c>
      <c r="U24">
        <v>96</v>
      </c>
      <c r="V24">
        <v>100</v>
      </c>
      <c r="W24">
        <v>99</v>
      </c>
      <c r="X24">
        <v>100</v>
      </c>
      <c r="Y24">
        <v>93</v>
      </c>
      <c r="Z24" s="2">
        <f>AVERAGE(Sheet1__3[[#This Row],[00:00:00]:[23:00:00]])</f>
        <v>76.5</v>
      </c>
      <c r="AA24" t="str" cm="1">
        <f t="array" ref="AA2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5" spans="1:27" x14ac:dyDescent="0.3">
      <c r="A25" s="1">
        <v>45740</v>
      </c>
      <c r="B25">
        <v>88</v>
      </c>
      <c r="C25">
        <v>86</v>
      </c>
      <c r="D25">
        <v>88</v>
      </c>
      <c r="E25">
        <v>89</v>
      </c>
      <c r="F25">
        <v>90</v>
      </c>
      <c r="G25">
        <v>92</v>
      </c>
      <c r="H25">
        <v>92</v>
      </c>
      <c r="I25">
        <v>94</v>
      </c>
      <c r="J25">
        <v>94</v>
      </c>
      <c r="K25">
        <v>95</v>
      </c>
      <c r="L25">
        <v>95</v>
      </c>
      <c r="N25">
        <v>94</v>
      </c>
      <c r="O25">
        <v>94</v>
      </c>
      <c r="P25">
        <v>92</v>
      </c>
      <c r="Q25">
        <v>92</v>
      </c>
      <c r="R25">
        <v>92</v>
      </c>
      <c r="S25">
        <v>92</v>
      </c>
      <c r="T25">
        <v>92</v>
      </c>
      <c r="U25">
        <v>99</v>
      </c>
      <c r="V25">
        <v>98</v>
      </c>
      <c r="W25">
        <v>96</v>
      </c>
      <c r="X25">
        <v>94</v>
      </c>
      <c r="Y25">
        <v>92</v>
      </c>
      <c r="Z25" s="2">
        <f>AVERAGE(Sheet1__3[[#This Row],[00:00:00]:[23:00:00]])</f>
        <v>92.608695652173907</v>
      </c>
      <c r="AA25" t="str" cm="1">
        <f t="array" ref="AA2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6" spans="1:27" x14ac:dyDescent="0.3">
      <c r="A26" s="1">
        <v>45741</v>
      </c>
      <c r="B26">
        <v>92</v>
      </c>
      <c r="C26">
        <v>92</v>
      </c>
      <c r="D26">
        <v>90</v>
      </c>
      <c r="E26">
        <v>90</v>
      </c>
      <c r="F26">
        <v>90</v>
      </c>
      <c r="H26">
        <v>92</v>
      </c>
      <c r="I26">
        <v>93</v>
      </c>
      <c r="J26">
        <v>95</v>
      </c>
      <c r="K26">
        <v>96</v>
      </c>
      <c r="L26">
        <v>97</v>
      </c>
      <c r="M26">
        <v>98</v>
      </c>
      <c r="N26">
        <v>98</v>
      </c>
      <c r="O26">
        <v>99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102</v>
      </c>
      <c r="V26">
        <v>101</v>
      </c>
      <c r="W26">
        <v>98</v>
      </c>
      <c r="X26">
        <v>98</v>
      </c>
      <c r="Y26">
        <v>98</v>
      </c>
      <c r="Z26" s="2">
        <f>AVERAGE(Sheet1__3[[#This Row],[00:00:00]:[23:00:00]])</f>
        <v>96.478260869565219</v>
      </c>
      <c r="AA26" t="str" cm="1">
        <f t="array" ref="AA2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7" spans="1:27" x14ac:dyDescent="0.3">
      <c r="A27" s="1">
        <v>45742</v>
      </c>
      <c r="B27">
        <v>96</v>
      </c>
      <c r="C27">
        <v>95</v>
      </c>
      <c r="D27">
        <v>94</v>
      </c>
      <c r="E27">
        <v>94</v>
      </c>
      <c r="F27">
        <v>92</v>
      </c>
      <c r="G27">
        <v>91</v>
      </c>
      <c r="H27">
        <v>89</v>
      </c>
      <c r="I27">
        <v>87</v>
      </c>
      <c r="J27">
        <v>86</v>
      </c>
      <c r="K27">
        <v>84</v>
      </c>
      <c r="L27">
        <v>82</v>
      </c>
      <c r="M27">
        <v>81</v>
      </c>
      <c r="N27">
        <v>79</v>
      </c>
      <c r="O27">
        <v>78</v>
      </c>
      <c r="P27">
        <v>76</v>
      </c>
      <c r="Q27">
        <v>74</v>
      </c>
      <c r="R27">
        <v>72</v>
      </c>
      <c r="S27">
        <v>71</v>
      </c>
      <c r="T27">
        <v>70</v>
      </c>
      <c r="U27">
        <v>68</v>
      </c>
      <c r="V27">
        <v>68</v>
      </c>
      <c r="W27">
        <v>67</v>
      </c>
      <c r="X27">
        <v>65</v>
      </c>
      <c r="Y27">
        <v>64</v>
      </c>
      <c r="Z27" s="2">
        <f>AVERAGE(Sheet1__3[[#This Row],[00:00:00]:[23:00:00]])</f>
        <v>80.125</v>
      </c>
      <c r="AA27" t="str" cm="1">
        <f t="array" ref="AA2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8" spans="1:27" x14ac:dyDescent="0.3">
      <c r="A28" s="1">
        <v>45743</v>
      </c>
      <c r="B28">
        <v>64</v>
      </c>
      <c r="C28">
        <v>62</v>
      </c>
      <c r="D28">
        <v>62</v>
      </c>
      <c r="E28">
        <v>61</v>
      </c>
      <c r="F28">
        <v>60</v>
      </c>
      <c r="G28">
        <v>60</v>
      </c>
      <c r="H28">
        <v>60</v>
      </c>
      <c r="I28">
        <v>60</v>
      </c>
      <c r="J28">
        <v>59</v>
      </c>
      <c r="K28">
        <v>58</v>
      </c>
      <c r="L28">
        <v>58</v>
      </c>
      <c r="M28">
        <v>58</v>
      </c>
      <c r="N28">
        <v>56</v>
      </c>
      <c r="O28">
        <v>55</v>
      </c>
      <c r="P28">
        <v>54</v>
      </c>
      <c r="Q28">
        <v>54</v>
      </c>
      <c r="R28">
        <v>53</v>
      </c>
      <c r="S28">
        <v>52</v>
      </c>
      <c r="T28">
        <v>54</v>
      </c>
      <c r="U28">
        <v>54</v>
      </c>
      <c r="V28">
        <v>54</v>
      </c>
      <c r="W28">
        <v>54</v>
      </c>
      <c r="X28">
        <v>54</v>
      </c>
      <c r="Y28">
        <v>52</v>
      </c>
      <c r="Z28" s="2">
        <f>AVERAGE(Sheet1__3[[#This Row],[00:00:00]:[23:00:00]])</f>
        <v>57</v>
      </c>
      <c r="AA28" t="str" cm="1">
        <f t="array" ref="AA2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9" spans="1:27" x14ac:dyDescent="0.3">
      <c r="A29" s="1">
        <v>45744</v>
      </c>
      <c r="B29">
        <v>52</v>
      </c>
      <c r="C29">
        <v>52</v>
      </c>
      <c r="D29">
        <v>52</v>
      </c>
      <c r="E29">
        <v>52</v>
      </c>
      <c r="F29">
        <v>52</v>
      </c>
      <c r="G29">
        <v>54</v>
      </c>
      <c r="H29">
        <v>56</v>
      </c>
      <c r="I29">
        <v>56</v>
      </c>
      <c r="J29">
        <v>54</v>
      </c>
      <c r="K29">
        <v>54</v>
      </c>
      <c r="L29">
        <v>54</v>
      </c>
      <c r="M29">
        <v>55</v>
      </c>
      <c r="N29">
        <v>56</v>
      </c>
      <c r="O29">
        <v>56</v>
      </c>
      <c r="P29">
        <v>58</v>
      </c>
      <c r="Q29">
        <v>60</v>
      </c>
      <c r="R29">
        <v>66</v>
      </c>
      <c r="S29">
        <v>67</v>
      </c>
      <c r="T29">
        <v>78</v>
      </c>
      <c r="U29">
        <v>84</v>
      </c>
      <c r="V29">
        <v>88</v>
      </c>
      <c r="W29">
        <v>91</v>
      </c>
      <c r="X29">
        <v>94</v>
      </c>
      <c r="Y29">
        <v>95</v>
      </c>
      <c r="Z29" s="2">
        <f>AVERAGE(Sheet1__3[[#This Row],[00:00:00]:[23:00:00]])</f>
        <v>64</v>
      </c>
      <c r="AA29" t="str" cm="1">
        <f t="array" ref="AA2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30" spans="1:27" x14ac:dyDescent="0.3">
      <c r="A30" s="1">
        <v>45745</v>
      </c>
      <c r="B30">
        <v>97</v>
      </c>
      <c r="C30">
        <v>100</v>
      </c>
      <c r="D30">
        <v>98</v>
      </c>
      <c r="E30">
        <v>96</v>
      </c>
      <c r="F30">
        <v>95</v>
      </c>
      <c r="G30">
        <v>94</v>
      </c>
      <c r="H30">
        <v>94</v>
      </c>
      <c r="I30">
        <v>96</v>
      </c>
      <c r="J30">
        <v>98</v>
      </c>
      <c r="K30">
        <v>100</v>
      </c>
      <c r="L30">
        <v>103</v>
      </c>
      <c r="M30">
        <v>105</v>
      </c>
      <c r="N30">
        <v>108</v>
      </c>
      <c r="O30">
        <v>110</v>
      </c>
      <c r="P30">
        <v>177</v>
      </c>
      <c r="Q30">
        <v>152</v>
      </c>
      <c r="R30">
        <v>152</v>
      </c>
      <c r="S30">
        <v>117</v>
      </c>
      <c r="T30">
        <v>128</v>
      </c>
      <c r="U30">
        <v>130</v>
      </c>
      <c r="V30">
        <v>132</v>
      </c>
      <c r="W30">
        <v>132</v>
      </c>
      <c r="X30">
        <v>129</v>
      </c>
      <c r="Y30">
        <v>130</v>
      </c>
      <c r="Z30" s="2">
        <f>AVERAGE(Sheet1__3[[#This Row],[00:00:00]:[23:00:00]])</f>
        <v>115.54166666666667</v>
      </c>
      <c r="AA30" t="str" cm="1">
        <f t="array" ref="AA3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1" spans="1:27" x14ac:dyDescent="0.3">
      <c r="A31" s="1">
        <v>45746</v>
      </c>
      <c r="B31">
        <v>116</v>
      </c>
      <c r="C31">
        <v>114</v>
      </c>
      <c r="D31">
        <v>114</v>
      </c>
      <c r="E31">
        <v>114</v>
      </c>
      <c r="F31">
        <v>114</v>
      </c>
      <c r="G31">
        <v>115</v>
      </c>
      <c r="H31">
        <v>116</v>
      </c>
      <c r="I31">
        <v>116</v>
      </c>
      <c r="J31">
        <v>117</v>
      </c>
      <c r="K31">
        <v>117</v>
      </c>
      <c r="L31">
        <v>116</v>
      </c>
      <c r="M31">
        <v>116</v>
      </c>
      <c r="N31">
        <v>116</v>
      </c>
      <c r="O31">
        <v>116</v>
      </c>
      <c r="P31">
        <v>144</v>
      </c>
      <c r="Q31">
        <v>147</v>
      </c>
      <c r="R31">
        <v>147</v>
      </c>
      <c r="S31">
        <v>156</v>
      </c>
      <c r="T31">
        <v>142</v>
      </c>
      <c r="U31">
        <v>135</v>
      </c>
      <c r="V31">
        <v>136</v>
      </c>
      <c r="W31">
        <v>134</v>
      </c>
      <c r="X31">
        <v>126</v>
      </c>
      <c r="Y31">
        <v>120</v>
      </c>
      <c r="Z31" s="2">
        <f>AVERAGE(Sheet1__3[[#This Row],[00:00:00]:[23:00:00]])</f>
        <v>125.16666666666667</v>
      </c>
      <c r="AA31" t="str" cm="1">
        <f t="array" ref="AA3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2" spans="1:27" x14ac:dyDescent="0.3">
      <c r="A32" s="1">
        <v>45747</v>
      </c>
      <c r="B32">
        <v>120</v>
      </c>
      <c r="C32">
        <v>118</v>
      </c>
      <c r="D32">
        <v>118</v>
      </c>
      <c r="E32">
        <v>118</v>
      </c>
      <c r="F32">
        <v>119</v>
      </c>
      <c r="G32">
        <v>118</v>
      </c>
      <c r="H32">
        <v>118</v>
      </c>
      <c r="I32">
        <v>116</v>
      </c>
      <c r="J32">
        <v>116</v>
      </c>
      <c r="K32">
        <v>118</v>
      </c>
      <c r="L32">
        <v>117</v>
      </c>
      <c r="M32">
        <v>116</v>
      </c>
      <c r="N32">
        <v>114</v>
      </c>
      <c r="O32">
        <v>114</v>
      </c>
      <c r="P32">
        <v>114</v>
      </c>
      <c r="Q32">
        <v>112</v>
      </c>
      <c r="R32">
        <v>148</v>
      </c>
      <c r="S32">
        <v>155</v>
      </c>
      <c r="T32">
        <v>154</v>
      </c>
      <c r="U32">
        <v>117</v>
      </c>
      <c r="V32">
        <v>118</v>
      </c>
      <c r="W32">
        <v>114</v>
      </c>
      <c r="X32">
        <v>108</v>
      </c>
      <c r="Y32">
        <v>106</v>
      </c>
      <c r="Z32" s="2">
        <f>AVERAGE(Sheet1__3[[#This Row],[00:00:00]:[23:00:00]])</f>
        <v>120.25</v>
      </c>
      <c r="AA32" t="str" cm="1">
        <f t="array" ref="AA3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3" spans="26:27" x14ac:dyDescent="0.3">
      <c r="Z33" s="2">
        <f>AVERAGE(Sheet1__3[AVERAGE AQI])</f>
        <v>98.367376429087486</v>
      </c>
      <c r="AA33" s="3"/>
    </row>
  </sheetData>
  <conditionalFormatting sqref="AA1:AA1048576">
    <cfRule type="containsText" dxfId="71" priority="3" operator="containsText" text="MODERATE">
      <formula>NOT(ISERROR(SEARCH("MODERATE",AA1)))</formula>
    </cfRule>
    <cfRule type="containsText" dxfId="72" priority="2" operator="containsText" text="BAD">
      <formula>NOT(ISERROR(SEARCH("BAD",AA1)))</formula>
    </cfRule>
    <cfRule type="containsText" dxfId="73" priority="1" operator="containsText" text="VERY BAD">
      <formula>NOT(ISERROR(SEARCH("VERY BAD",AA1)))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27F0-8693-44E9-850F-1664D2E4B48C}">
  <dimension ref="A1:AA32"/>
  <sheetViews>
    <sheetView topLeftCell="A14" workbookViewId="0">
      <selection activeCell="Z32" sqref="Z32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7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45748</v>
      </c>
      <c r="B2">
        <v>104</v>
      </c>
      <c r="C2">
        <v>104</v>
      </c>
      <c r="D2">
        <v>102</v>
      </c>
      <c r="E2">
        <v>99</v>
      </c>
      <c r="F2">
        <v>97</v>
      </c>
      <c r="G2">
        <v>96</v>
      </c>
      <c r="H2">
        <v>96</v>
      </c>
      <c r="I2">
        <v>96</v>
      </c>
      <c r="J2">
        <v>94</v>
      </c>
      <c r="K2">
        <v>92</v>
      </c>
      <c r="L2">
        <v>92</v>
      </c>
      <c r="M2">
        <v>92</v>
      </c>
      <c r="N2">
        <v>92</v>
      </c>
      <c r="O2">
        <v>91</v>
      </c>
      <c r="P2">
        <v>92</v>
      </c>
      <c r="Q2">
        <v>92</v>
      </c>
      <c r="R2">
        <v>92</v>
      </c>
      <c r="S2">
        <v>92</v>
      </c>
      <c r="T2">
        <v>92</v>
      </c>
      <c r="U2">
        <v>92</v>
      </c>
      <c r="V2">
        <v>92</v>
      </c>
      <c r="W2">
        <v>92</v>
      </c>
      <c r="X2">
        <v>94</v>
      </c>
      <c r="Y2">
        <v>93</v>
      </c>
      <c r="Z2" s="2">
        <f>AVERAGE(Sheet1__4[[#This Row],[00:00:00]:[23:00:00]])</f>
        <v>94.583333333333329</v>
      </c>
      <c r="AA2" t="str" cm="1">
        <f t="array" ref="AA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3" spans="1:27" x14ac:dyDescent="0.3">
      <c r="A3" s="1">
        <v>45749</v>
      </c>
      <c r="B3">
        <v>94</v>
      </c>
      <c r="C3">
        <v>95</v>
      </c>
      <c r="D3">
        <v>96</v>
      </c>
      <c r="E3">
        <v>98</v>
      </c>
      <c r="F3">
        <v>100</v>
      </c>
      <c r="G3">
        <v>100</v>
      </c>
      <c r="H3">
        <v>100</v>
      </c>
      <c r="I3">
        <v>102</v>
      </c>
      <c r="J3">
        <v>102</v>
      </c>
      <c r="K3">
        <v>102</v>
      </c>
      <c r="L3">
        <v>104</v>
      </c>
      <c r="M3">
        <v>106</v>
      </c>
      <c r="N3">
        <v>108</v>
      </c>
      <c r="O3">
        <v>108</v>
      </c>
      <c r="P3">
        <v>108</v>
      </c>
      <c r="Q3">
        <v>108</v>
      </c>
      <c r="R3">
        <v>108</v>
      </c>
      <c r="S3">
        <v>107</v>
      </c>
      <c r="T3">
        <v>106</v>
      </c>
      <c r="V3">
        <v>106</v>
      </c>
      <c r="W3">
        <v>110</v>
      </c>
      <c r="X3">
        <v>106</v>
      </c>
      <c r="Y3">
        <v>102</v>
      </c>
      <c r="Z3" s="2">
        <f>AVERAGE(Sheet1__4[[#This Row],[00:00:00]:[23:00:00]])</f>
        <v>103.30434782608695</v>
      </c>
      <c r="AA3" t="str" cm="1">
        <f t="array" ref="AA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4" spans="1:27" x14ac:dyDescent="0.3">
      <c r="A4" s="1">
        <v>45750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99</v>
      </c>
      <c r="H4">
        <v>99</v>
      </c>
      <c r="I4">
        <v>99</v>
      </c>
      <c r="J4">
        <v>99</v>
      </c>
      <c r="K4">
        <v>98</v>
      </c>
      <c r="L4">
        <v>98</v>
      </c>
      <c r="M4">
        <v>98</v>
      </c>
      <c r="N4">
        <v>97</v>
      </c>
      <c r="P4">
        <v>96</v>
      </c>
      <c r="Q4">
        <v>94</v>
      </c>
      <c r="R4">
        <v>94</v>
      </c>
      <c r="S4">
        <v>94</v>
      </c>
      <c r="T4">
        <v>93</v>
      </c>
      <c r="U4">
        <v>92</v>
      </c>
      <c r="V4">
        <v>91</v>
      </c>
      <c r="W4">
        <v>91</v>
      </c>
      <c r="X4">
        <v>90</v>
      </c>
      <c r="Y4">
        <v>88</v>
      </c>
      <c r="Z4" s="2">
        <f>AVERAGE(Sheet1__4[[#This Row],[00:00:00]:[23:00:00]])</f>
        <v>96.086956521739125</v>
      </c>
      <c r="AA4" t="str" cm="1">
        <f t="array" ref="AA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5" spans="1:27" x14ac:dyDescent="0.3">
      <c r="A5" s="1">
        <v>45751</v>
      </c>
      <c r="B5">
        <v>86</v>
      </c>
      <c r="C5">
        <v>84</v>
      </c>
      <c r="D5">
        <v>82</v>
      </c>
      <c r="E5">
        <v>81</v>
      </c>
      <c r="F5">
        <v>80</v>
      </c>
      <c r="G5">
        <v>78</v>
      </c>
      <c r="H5">
        <v>78</v>
      </c>
      <c r="I5">
        <v>76</v>
      </c>
      <c r="J5">
        <v>74</v>
      </c>
      <c r="K5">
        <v>72</v>
      </c>
      <c r="L5">
        <v>69</v>
      </c>
      <c r="M5">
        <v>68</v>
      </c>
      <c r="N5">
        <v>66</v>
      </c>
      <c r="O5">
        <v>66</v>
      </c>
      <c r="P5">
        <v>64</v>
      </c>
      <c r="Q5">
        <v>64</v>
      </c>
      <c r="R5">
        <v>72</v>
      </c>
      <c r="S5">
        <v>80</v>
      </c>
      <c r="T5">
        <v>84</v>
      </c>
      <c r="U5">
        <v>85</v>
      </c>
      <c r="V5">
        <v>85</v>
      </c>
      <c r="W5">
        <v>88</v>
      </c>
      <c r="Y5">
        <v>88</v>
      </c>
      <c r="Z5" s="2">
        <f>AVERAGE(Sheet1__4[[#This Row],[00:00:00]:[23:00:00]])</f>
        <v>76.956521739130437</v>
      </c>
      <c r="AA5" t="str" cm="1">
        <f t="array" ref="AA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6" spans="1:27" x14ac:dyDescent="0.3">
      <c r="A6" s="1">
        <v>45752</v>
      </c>
      <c r="B6">
        <v>92</v>
      </c>
      <c r="C6">
        <v>97</v>
      </c>
      <c r="D6">
        <v>98</v>
      </c>
      <c r="E6">
        <v>100</v>
      </c>
      <c r="F6">
        <v>101</v>
      </c>
      <c r="G6">
        <v>102</v>
      </c>
      <c r="H6">
        <v>104</v>
      </c>
      <c r="I6">
        <v>106</v>
      </c>
      <c r="J6">
        <v>108</v>
      </c>
      <c r="K6">
        <v>110</v>
      </c>
      <c r="L6">
        <v>113</v>
      </c>
      <c r="M6">
        <v>116</v>
      </c>
      <c r="N6">
        <v>116</v>
      </c>
      <c r="O6">
        <v>116</v>
      </c>
      <c r="P6">
        <v>116</v>
      </c>
      <c r="Q6">
        <v>116</v>
      </c>
      <c r="R6">
        <v>108</v>
      </c>
      <c r="S6">
        <v>103</v>
      </c>
      <c r="T6">
        <v>102</v>
      </c>
      <c r="U6">
        <v>102</v>
      </c>
      <c r="V6">
        <v>102</v>
      </c>
      <c r="W6">
        <v>100</v>
      </c>
      <c r="X6">
        <v>96</v>
      </c>
      <c r="Y6">
        <v>94</v>
      </c>
      <c r="Z6" s="2">
        <f>AVERAGE(Sheet1__4[[#This Row],[00:00:00]:[23:00:00]])</f>
        <v>104.91666666666667</v>
      </c>
      <c r="AA6" t="str" cm="1">
        <f t="array" ref="AA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7" spans="1:27" x14ac:dyDescent="0.3">
      <c r="A7" s="1">
        <v>45753</v>
      </c>
      <c r="B7">
        <v>93</v>
      </c>
      <c r="C7">
        <v>94</v>
      </c>
      <c r="D7">
        <v>94</v>
      </c>
      <c r="E7">
        <v>95</v>
      </c>
      <c r="F7">
        <v>95</v>
      </c>
      <c r="G7">
        <v>94</v>
      </c>
      <c r="H7">
        <v>93</v>
      </c>
      <c r="I7">
        <v>92</v>
      </c>
      <c r="J7">
        <v>92</v>
      </c>
      <c r="K7">
        <v>91</v>
      </c>
      <c r="L7">
        <v>90</v>
      </c>
      <c r="M7">
        <v>91</v>
      </c>
      <c r="N7">
        <v>92</v>
      </c>
      <c r="O7">
        <v>149</v>
      </c>
      <c r="P7">
        <v>150</v>
      </c>
      <c r="Q7">
        <v>100</v>
      </c>
      <c r="R7">
        <v>101</v>
      </c>
      <c r="S7">
        <v>106</v>
      </c>
      <c r="T7">
        <v>110</v>
      </c>
      <c r="U7">
        <v>111</v>
      </c>
      <c r="V7">
        <v>108</v>
      </c>
      <c r="W7">
        <v>102</v>
      </c>
      <c r="X7">
        <v>95</v>
      </c>
      <c r="Y7">
        <v>95</v>
      </c>
      <c r="Z7" s="2">
        <f>AVERAGE(Sheet1__4[[#This Row],[00:00:00]:[23:00:00]])</f>
        <v>101.375</v>
      </c>
      <c r="AA7" t="str" cm="1">
        <f t="array" ref="AA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8" spans="1:27" x14ac:dyDescent="0.3">
      <c r="A8" s="1">
        <v>45754</v>
      </c>
      <c r="B8">
        <v>94</v>
      </c>
      <c r="C8">
        <v>92</v>
      </c>
      <c r="D8">
        <v>92</v>
      </c>
      <c r="E8">
        <v>88</v>
      </c>
      <c r="F8">
        <v>87</v>
      </c>
      <c r="G8">
        <v>86</v>
      </c>
      <c r="H8">
        <v>86</v>
      </c>
      <c r="I8">
        <v>86</v>
      </c>
      <c r="J8">
        <v>86</v>
      </c>
      <c r="K8">
        <v>86</v>
      </c>
      <c r="L8">
        <v>84</v>
      </c>
      <c r="M8">
        <v>83</v>
      </c>
      <c r="N8">
        <v>80</v>
      </c>
      <c r="O8">
        <v>78</v>
      </c>
      <c r="P8">
        <v>77</v>
      </c>
      <c r="Q8">
        <v>76</v>
      </c>
      <c r="R8">
        <v>75</v>
      </c>
      <c r="S8">
        <v>80</v>
      </c>
      <c r="T8">
        <v>94</v>
      </c>
      <c r="U8">
        <v>94</v>
      </c>
      <c r="V8">
        <v>104</v>
      </c>
      <c r="W8">
        <v>106</v>
      </c>
      <c r="X8">
        <v>104</v>
      </c>
      <c r="Y8">
        <v>104</v>
      </c>
      <c r="Z8" s="2">
        <f>AVERAGE(Sheet1__4[[#This Row],[00:00:00]:[23:00:00]])</f>
        <v>88.416666666666671</v>
      </c>
      <c r="AA8" t="str" cm="1">
        <f t="array" ref="AA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9" spans="1:27" x14ac:dyDescent="0.3">
      <c r="A9" s="1">
        <v>45755</v>
      </c>
      <c r="B9">
        <v>105</v>
      </c>
      <c r="C9">
        <v>106</v>
      </c>
      <c r="D9">
        <v>104</v>
      </c>
      <c r="E9">
        <v>98</v>
      </c>
      <c r="F9">
        <v>95</v>
      </c>
      <c r="G9">
        <v>89</v>
      </c>
      <c r="H9">
        <v>85</v>
      </c>
      <c r="I9">
        <v>86</v>
      </c>
      <c r="J9">
        <v>88</v>
      </c>
      <c r="K9">
        <v>89</v>
      </c>
      <c r="L9">
        <v>90</v>
      </c>
      <c r="M9">
        <v>92</v>
      </c>
      <c r="N9">
        <v>94</v>
      </c>
      <c r="O9">
        <v>94</v>
      </c>
      <c r="P9">
        <v>95</v>
      </c>
      <c r="Q9">
        <v>98</v>
      </c>
      <c r="R9">
        <v>98</v>
      </c>
      <c r="S9">
        <v>103</v>
      </c>
      <c r="T9">
        <v>109</v>
      </c>
      <c r="U9">
        <v>110</v>
      </c>
      <c r="V9">
        <v>118</v>
      </c>
      <c r="W9">
        <v>114</v>
      </c>
      <c r="X9">
        <v>110</v>
      </c>
      <c r="Y9">
        <v>110</v>
      </c>
      <c r="Z9" s="2">
        <f>AVERAGE(Sheet1__4[[#This Row],[00:00:00]:[23:00:00]])</f>
        <v>99.166666666666671</v>
      </c>
      <c r="AA9" t="str" cm="1">
        <f t="array" ref="AA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0" spans="1:27" x14ac:dyDescent="0.3">
      <c r="A10" s="1">
        <v>45756</v>
      </c>
      <c r="B10">
        <v>104</v>
      </c>
      <c r="C10">
        <v>100</v>
      </c>
      <c r="D10">
        <v>99</v>
      </c>
      <c r="E10">
        <v>98</v>
      </c>
      <c r="F10">
        <v>98</v>
      </c>
      <c r="G10">
        <v>96</v>
      </c>
      <c r="H10">
        <v>96</v>
      </c>
      <c r="I10">
        <v>94</v>
      </c>
      <c r="J10">
        <v>92</v>
      </c>
      <c r="K10">
        <v>91</v>
      </c>
      <c r="L10">
        <v>90</v>
      </c>
      <c r="N10">
        <v>86</v>
      </c>
      <c r="O10">
        <v>86</v>
      </c>
      <c r="P10">
        <v>86</v>
      </c>
      <c r="Q10">
        <v>85</v>
      </c>
      <c r="R10">
        <v>84</v>
      </c>
      <c r="S10">
        <v>83</v>
      </c>
      <c r="T10">
        <v>82</v>
      </c>
      <c r="U10">
        <v>82</v>
      </c>
      <c r="V10">
        <v>80</v>
      </c>
      <c r="W10">
        <v>78</v>
      </c>
      <c r="X10">
        <v>76</v>
      </c>
      <c r="Y10">
        <v>75</v>
      </c>
      <c r="Z10" s="2">
        <f>AVERAGE(Sheet1__4[[#This Row],[00:00:00]:[23:00:00]])</f>
        <v>88.739130434782609</v>
      </c>
      <c r="AA10" t="str" cm="1">
        <f t="array" ref="AA1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1" spans="1:27" x14ac:dyDescent="0.3">
      <c r="A11" s="1">
        <v>45757</v>
      </c>
      <c r="B11">
        <v>74</v>
      </c>
      <c r="C11">
        <v>74</v>
      </c>
      <c r="D11">
        <v>72</v>
      </c>
      <c r="E11">
        <v>72</v>
      </c>
      <c r="F11">
        <v>72</v>
      </c>
      <c r="G11">
        <v>71</v>
      </c>
      <c r="H11">
        <v>70</v>
      </c>
      <c r="I11">
        <v>70</v>
      </c>
      <c r="J11">
        <v>68</v>
      </c>
      <c r="K11">
        <v>66</v>
      </c>
      <c r="L11">
        <v>64</v>
      </c>
      <c r="M11">
        <v>63</v>
      </c>
      <c r="N11">
        <v>62</v>
      </c>
      <c r="O11">
        <v>61</v>
      </c>
      <c r="P11">
        <v>58</v>
      </c>
      <c r="Q11">
        <v>56</v>
      </c>
      <c r="R11">
        <v>54</v>
      </c>
      <c r="S11">
        <v>52</v>
      </c>
      <c r="T11">
        <v>50</v>
      </c>
      <c r="U11">
        <v>49</v>
      </c>
      <c r="V11">
        <v>48</v>
      </c>
      <c r="W11">
        <v>48</v>
      </c>
      <c r="X11">
        <v>47</v>
      </c>
      <c r="Y11">
        <v>46</v>
      </c>
      <c r="Z11" s="2">
        <f>AVERAGE(Sheet1__4[[#This Row],[00:00:00]:[23:00:00]])</f>
        <v>61.125</v>
      </c>
      <c r="AA11" t="str" cm="1">
        <f t="array" ref="AA1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2" spans="1:27" x14ac:dyDescent="0.3">
      <c r="A12" s="1">
        <v>45758</v>
      </c>
      <c r="B12">
        <v>46</v>
      </c>
      <c r="C12">
        <v>46</v>
      </c>
      <c r="D12">
        <v>46</v>
      </c>
      <c r="E12">
        <v>46</v>
      </c>
      <c r="G12">
        <v>46</v>
      </c>
      <c r="H12">
        <v>46</v>
      </c>
      <c r="I12">
        <v>47</v>
      </c>
      <c r="J12">
        <v>48</v>
      </c>
      <c r="K12">
        <v>48</v>
      </c>
      <c r="L12">
        <v>48</v>
      </c>
      <c r="M12">
        <v>48</v>
      </c>
      <c r="N12">
        <v>48</v>
      </c>
      <c r="O12">
        <v>48</v>
      </c>
      <c r="P12">
        <v>50</v>
      </c>
      <c r="Q12">
        <v>50</v>
      </c>
      <c r="R12">
        <v>50</v>
      </c>
      <c r="S12">
        <v>50</v>
      </c>
      <c r="T12">
        <v>50</v>
      </c>
      <c r="U12">
        <v>50</v>
      </c>
      <c r="V12">
        <v>50</v>
      </c>
      <c r="W12">
        <v>50</v>
      </c>
      <c r="X12">
        <v>50</v>
      </c>
      <c r="Y12">
        <v>50</v>
      </c>
      <c r="Z12" s="2">
        <f>AVERAGE(Sheet1__4[[#This Row],[00:00:00]:[23:00:00]])</f>
        <v>48.304347826086953</v>
      </c>
      <c r="AA12" t="str" cm="1">
        <f t="array" ref="AA1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GOOD</v>
      </c>
    </row>
    <row r="13" spans="1:27" x14ac:dyDescent="0.3">
      <c r="A13" s="1">
        <v>45759</v>
      </c>
      <c r="B13">
        <v>50</v>
      </c>
      <c r="C13">
        <v>50</v>
      </c>
      <c r="D13">
        <v>50</v>
      </c>
      <c r="E13">
        <v>49</v>
      </c>
      <c r="F13">
        <v>50</v>
      </c>
      <c r="G13">
        <v>48</v>
      </c>
      <c r="H13">
        <v>48</v>
      </c>
      <c r="I13">
        <v>48</v>
      </c>
      <c r="J13">
        <v>48</v>
      </c>
      <c r="K13">
        <v>48</v>
      </c>
      <c r="L13">
        <v>48</v>
      </c>
      <c r="M13">
        <v>48</v>
      </c>
      <c r="N13">
        <v>49</v>
      </c>
      <c r="O13">
        <v>49</v>
      </c>
      <c r="P13">
        <v>48</v>
      </c>
      <c r="Q13">
        <v>46</v>
      </c>
      <c r="R13">
        <v>46</v>
      </c>
      <c r="S13">
        <v>48</v>
      </c>
      <c r="T13">
        <v>47</v>
      </c>
      <c r="U13">
        <v>46</v>
      </c>
      <c r="V13">
        <v>47</v>
      </c>
      <c r="W13">
        <v>46</v>
      </c>
      <c r="X13">
        <v>46</v>
      </c>
      <c r="Y13">
        <v>47</v>
      </c>
      <c r="Z13" s="2">
        <f>AVERAGE(Sheet1__4[[#This Row],[00:00:00]:[23:00:00]])</f>
        <v>47.916666666666664</v>
      </c>
      <c r="AA13" t="str" cm="1">
        <f t="array" ref="AA1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GOOD</v>
      </c>
    </row>
    <row r="14" spans="1:27" x14ac:dyDescent="0.3">
      <c r="A14" s="1">
        <v>45760</v>
      </c>
      <c r="B14">
        <v>47</v>
      </c>
      <c r="C14">
        <v>46</v>
      </c>
      <c r="D14">
        <v>46</v>
      </c>
      <c r="E14">
        <v>46</v>
      </c>
      <c r="F14">
        <v>46</v>
      </c>
      <c r="G14">
        <v>47</v>
      </c>
      <c r="H14">
        <v>48</v>
      </c>
      <c r="I14">
        <v>48</v>
      </c>
      <c r="J14">
        <v>48</v>
      </c>
      <c r="K14">
        <v>48</v>
      </c>
      <c r="L14">
        <v>48</v>
      </c>
      <c r="M14">
        <v>49</v>
      </c>
      <c r="N14">
        <v>49</v>
      </c>
      <c r="O14">
        <v>50</v>
      </c>
      <c r="P14">
        <v>51</v>
      </c>
      <c r="Q14">
        <v>52</v>
      </c>
      <c r="R14">
        <v>53</v>
      </c>
      <c r="S14">
        <v>54</v>
      </c>
      <c r="T14">
        <v>54</v>
      </c>
      <c r="U14">
        <v>55</v>
      </c>
      <c r="V14">
        <v>55</v>
      </c>
      <c r="W14">
        <v>56</v>
      </c>
      <c r="X14">
        <v>56</v>
      </c>
      <c r="Y14">
        <v>56</v>
      </c>
      <c r="Z14" s="2">
        <f>AVERAGE(Sheet1__4[[#This Row],[00:00:00]:[23:00:00]])</f>
        <v>50.333333333333336</v>
      </c>
      <c r="AA14" t="str" cm="1">
        <f t="array" ref="AA1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5" spans="1:27" x14ac:dyDescent="0.3">
      <c r="A15" s="1">
        <v>45761</v>
      </c>
      <c r="B15">
        <v>57</v>
      </c>
      <c r="C15">
        <v>58</v>
      </c>
      <c r="D15">
        <v>56</v>
      </c>
      <c r="E15">
        <v>56</v>
      </c>
      <c r="F15">
        <v>56</v>
      </c>
      <c r="G15">
        <v>56</v>
      </c>
      <c r="H15">
        <v>56</v>
      </c>
      <c r="I15">
        <v>55</v>
      </c>
      <c r="J15">
        <v>54</v>
      </c>
      <c r="K15">
        <v>54</v>
      </c>
      <c r="L15">
        <v>53</v>
      </c>
      <c r="M15">
        <v>52</v>
      </c>
      <c r="N15">
        <v>51</v>
      </c>
      <c r="O15">
        <v>50</v>
      </c>
      <c r="P15">
        <v>50</v>
      </c>
      <c r="Q15">
        <v>50</v>
      </c>
      <c r="R15">
        <v>50</v>
      </c>
      <c r="S15">
        <v>50</v>
      </c>
      <c r="T15">
        <v>53</v>
      </c>
      <c r="U15">
        <v>54</v>
      </c>
      <c r="V15">
        <v>56</v>
      </c>
      <c r="W15">
        <v>56</v>
      </c>
      <c r="X15">
        <v>56</v>
      </c>
      <c r="Y15">
        <v>56</v>
      </c>
      <c r="Z15" s="2">
        <f>AVERAGE(Sheet1__4[[#This Row],[00:00:00]:[23:00:00]])</f>
        <v>53.958333333333336</v>
      </c>
      <c r="AA15" t="str" cm="1">
        <f t="array" ref="AA1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6" spans="1:27" x14ac:dyDescent="0.3">
      <c r="A16" s="1">
        <v>45762</v>
      </c>
      <c r="B16">
        <v>56</v>
      </c>
      <c r="C16">
        <v>56</v>
      </c>
      <c r="D16">
        <v>56</v>
      </c>
      <c r="E16">
        <v>58</v>
      </c>
      <c r="F16">
        <v>58</v>
      </c>
      <c r="G16">
        <v>58</v>
      </c>
      <c r="H16">
        <v>58</v>
      </c>
      <c r="I16">
        <v>60</v>
      </c>
      <c r="J16">
        <v>60</v>
      </c>
      <c r="K16">
        <v>62</v>
      </c>
      <c r="L16">
        <v>62</v>
      </c>
      <c r="M16">
        <v>62</v>
      </c>
      <c r="N16">
        <v>62</v>
      </c>
      <c r="O16">
        <v>63</v>
      </c>
      <c r="P16">
        <v>63</v>
      </c>
      <c r="Q16">
        <v>63</v>
      </c>
      <c r="R16">
        <v>62</v>
      </c>
      <c r="S16">
        <v>62</v>
      </c>
      <c r="T16">
        <v>62</v>
      </c>
      <c r="U16">
        <v>62</v>
      </c>
      <c r="V16">
        <v>60</v>
      </c>
      <c r="W16">
        <v>60</v>
      </c>
      <c r="X16">
        <v>58</v>
      </c>
      <c r="Y16">
        <v>57</v>
      </c>
      <c r="Z16" s="2">
        <f>AVERAGE(Sheet1__4[[#This Row],[00:00:00]:[23:00:00]])</f>
        <v>60</v>
      </c>
      <c r="AA16" t="str" cm="1">
        <f t="array" ref="AA1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7" spans="1:27" x14ac:dyDescent="0.3">
      <c r="A17" s="1">
        <v>45763</v>
      </c>
      <c r="B17">
        <v>57</v>
      </c>
      <c r="C17">
        <v>56</v>
      </c>
      <c r="D17">
        <v>56</v>
      </c>
      <c r="E17">
        <v>54</v>
      </c>
      <c r="F17">
        <v>54</v>
      </c>
      <c r="G17">
        <v>54</v>
      </c>
      <c r="H17">
        <v>54</v>
      </c>
      <c r="I17">
        <v>53</v>
      </c>
      <c r="J17">
        <v>52</v>
      </c>
      <c r="K17">
        <v>52</v>
      </c>
      <c r="L17">
        <v>52</v>
      </c>
      <c r="M17">
        <v>52</v>
      </c>
      <c r="N17">
        <v>52</v>
      </c>
      <c r="O17">
        <v>52</v>
      </c>
      <c r="P17">
        <v>50</v>
      </c>
      <c r="Q17">
        <v>50</v>
      </c>
      <c r="R17">
        <v>50</v>
      </c>
      <c r="S17">
        <v>50</v>
      </c>
      <c r="T17">
        <v>52</v>
      </c>
      <c r="U17">
        <v>52</v>
      </c>
      <c r="V17">
        <v>50</v>
      </c>
      <c r="W17">
        <v>48</v>
      </c>
      <c r="X17">
        <v>46</v>
      </c>
      <c r="Y17">
        <v>44</v>
      </c>
      <c r="Z17" s="2">
        <f>AVERAGE(Sheet1__4[[#This Row],[00:00:00]:[23:00:00]])</f>
        <v>51.75</v>
      </c>
      <c r="AA17" t="str" cm="1">
        <f t="array" ref="AA1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8" spans="1:27" x14ac:dyDescent="0.3">
      <c r="A18" s="1">
        <v>45764</v>
      </c>
      <c r="B18">
        <v>44</v>
      </c>
      <c r="C18">
        <v>44</v>
      </c>
      <c r="D18">
        <v>42</v>
      </c>
      <c r="E18">
        <v>42</v>
      </c>
      <c r="F18">
        <v>42</v>
      </c>
      <c r="G18">
        <v>42</v>
      </c>
      <c r="H18">
        <v>42</v>
      </c>
      <c r="I18">
        <v>41</v>
      </c>
      <c r="J18">
        <v>40</v>
      </c>
      <c r="K18">
        <v>40</v>
      </c>
      <c r="L18">
        <v>40</v>
      </c>
      <c r="M18">
        <v>40</v>
      </c>
      <c r="N18">
        <v>40</v>
      </c>
      <c r="O18">
        <v>40</v>
      </c>
      <c r="P18">
        <v>40</v>
      </c>
      <c r="Q18">
        <v>40</v>
      </c>
      <c r="R18">
        <v>40</v>
      </c>
      <c r="S18">
        <v>40</v>
      </c>
      <c r="T18">
        <v>40</v>
      </c>
      <c r="U18">
        <v>40</v>
      </c>
      <c r="V18">
        <v>40</v>
      </c>
      <c r="W18">
        <v>40</v>
      </c>
      <c r="X18">
        <v>40</v>
      </c>
      <c r="Y18">
        <v>41</v>
      </c>
      <c r="Z18" s="2">
        <f>AVERAGE(Sheet1__4[[#This Row],[00:00:00]:[23:00:00]])</f>
        <v>40.833333333333336</v>
      </c>
      <c r="AA18" t="str" cm="1">
        <f t="array" ref="AA1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GOOD</v>
      </c>
    </row>
    <row r="19" spans="1:27" x14ac:dyDescent="0.3">
      <c r="A19" s="1">
        <v>45765</v>
      </c>
      <c r="B19">
        <v>40</v>
      </c>
      <c r="C19">
        <v>41</v>
      </c>
      <c r="D19">
        <v>40</v>
      </c>
      <c r="E19">
        <v>40</v>
      </c>
      <c r="F19">
        <v>40</v>
      </c>
      <c r="G19">
        <v>40</v>
      </c>
      <c r="H19">
        <v>41</v>
      </c>
      <c r="I19">
        <v>42</v>
      </c>
      <c r="J19">
        <v>42</v>
      </c>
      <c r="K19">
        <v>42</v>
      </c>
      <c r="L19">
        <v>42</v>
      </c>
      <c r="M19">
        <v>42</v>
      </c>
      <c r="N19">
        <v>42</v>
      </c>
      <c r="O19">
        <v>42</v>
      </c>
      <c r="P19">
        <v>44</v>
      </c>
      <c r="Q19">
        <v>45</v>
      </c>
      <c r="R19">
        <v>46</v>
      </c>
      <c r="S19">
        <v>46</v>
      </c>
      <c r="T19">
        <v>46</v>
      </c>
      <c r="U19">
        <v>46</v>
      </c>
      <c r="V19">
        <v>46</v>
      </c>
      <c r="W19">
        <v>45</v>
      </c>
      <c r="X19">
        <v>46</v>
      </c>
      <c r="Y19">
        <v>46</v>
      </c>
      <c r="Z19" s="2">
        <f>AVERAGE(Sheet1__4[[#This Row],[00:00:00]:[23:00:00]])</f>
        <v>43</v>
      </c>
      <c r="AA19" t="str" cm="1">
        <f t="array" ref="AA1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GOOD</v>
      </c>
    </row>
    <row r="20" spans="1:27" x14ac:dyDescent="0.3">
      <c r="A20" s="1">
        <v>45766</v>
      </c>
      <c r="B20">
        <v>37</v>
      </c>
      <c r="C20">
        <v>38</v>
      </c>
      <c r="D20">
        <v>38</v>
      </c>
      <c r="E20">
        <v>38</v>
      </c>
      <c r="F20">
        <v>38</v>
      </c>
      <c r="G20">
        <v>38</v>
      </c>
      <c r="H20">
        <v>38</v>
      </c>
      <c r="I20">
        <v>37</v>
      </c>
      <c r="J20">
        <v>37</v>
      </c>
      <c r="K20">
        <v>36</v>
      </c>
      <c r="L20">
        <v>35</v>
      </c>
      <c r="M20">
        <v>35</v>
      </c>
      <c r="N20">
        <v>34</v>
      </c>
      <c r="O20">
        <v>34</v>
      </c>
      <c r="P20">
        <v>33</v>
      </c>
      <c r="Q20">
        <v>33</v>
      </c>
      <c r="R20">
        <v>33</v>
      </c>
      <c r="S20">
        <v>33</v>
      </c>
      <c r="T20">
        <v>32</v>
      </c>
      <c r="U20">
        <v>32</v>
      </c>
      <c r="V20">
        <v>36</v>
      </c>
      <c r="W20">
        <v>35</v>
      </c>
      <c r="X20">
        <v>34</v>
      </c>
      <c r="Y20">
        <v>33</v>
      </c>
      <c r="Z20" s="2">
        <f>AVERAGE(Sheet1__4[[#This Row],[00:00:00]:[23:00:00]])</f>
        <v>35.291666666666664</v>
      </c>
      <c r="AA20" t="str" cm="1">
        <f t="array" ref="AA2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GOOD</v>
      </c>
    </row>
    <row r="21" spans="1:27" x14ac:dyDescent="0.3">
      <c r="A21" s="1">
        <v>45767</v>
      </c>
      <c r="B21">
        <v>33</v>
      </c>
      <c r="C21">
        <v>43</v>
      </c>
      <c r="D21">
        <v>51</v>
      </c>
      <c r="E21">
        <v>52</v>
      </c>
      <c r="F21">
        <v>52</v>
      </c>
      <c r="G21">
        <v>52</v>
      </c>
      <c r="H21">
        <v>52</v>
      </c>
      <c r="I21">
        <v>52</v>
      </c>
      <c r="J21">
        <v>53</v>
      </c>
      <c r="K21">
        <v>54</v>
      </c>
      <c r="L21">
        <v>54</v>
      </c>
      <c r="M21">
        <v>56</v>
      </c>
      <c r="N21">
        <v>58</v>
      </c>
      <c r="O21">
        <v>58</v>
      </c>
      <c r="P21">
        <v>58</v>
      </c>
      <c r="Q21">
        <v>59</v>
      </c>
      <c r="R21">
        <v>60</v>
      </c>
      <c r="S21">
        <v>61</v>
      </c>
      <c r="T21">
        <v>62</v>
      </c>
      <c r="U21">
        <v>62</v>
      </c>
      <c r="V21">
        <v>63</v>
      </c>
      <c r="W21">
        <v>63</v>
      </c>
      <c r="X21">
        <v>63</v>
      </c>
      <c r="Y21">
        <v>64</v>
      </c>
      <c r="Z21" s="2">
        <f>AVERAGE(Sheet1__4[[#This Row],[00:00:00]:[23:00:00]])</f>
        <v>55.625</v>
      </c>
      <c r="AA21" t="str" cm="1">
        <f t="array" ref="AA2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2" spans="1:27" x14ac:dyDescent="0.3">
      <c r="A22" s="1">
        <v>45768</v>
      </c>
      <c r="B22">
        <v>64</v>
      </c>
      <c r="C22">
        <v>64</v>
      </c>
      <c r="D22">
        <v>64</v>
      </c>
      <c r="E22">
        <v>64</v>
      </c>
      <c r="F22">
        <v>64</v>
      </c>
      <c r="G22">
        <v>64</v>
      </c>
      <c r="H22">
        <v>63</v>
      </c>
      <c r="I22">
        <v>62</v>
      </c>
      <c r="J22">
        <v>62</v>
      </c>
      <c r="K22">
        <v>62</v>
      </c>
      <c r="L22">
        <v>61</v>
      </c>
      <c r="M22">
        <v>61</v>
      </c>
      <c r="N22">
        <v>60</v>
      </c>
      <c r="O22">
        <v>60</v>
      </c>
      <c r="P22">
        <v>60</v>
      </c>
      <c r="Q22">
        <v>58</v>
      </c>
      <c r="R22">
        <v>58</v>
      </c>
      <c r="S22">
        <v>58</v>
      </c>
      <c r="T22">
        <v>58</v>
      </c>
      <c r="U22">
        <v>57</v>
      </c>
      <c r="V22">
        <v>57</v>
      </c>
      <c r="W22">
        <v>58</v>
      </c>
      <c r="X22">
        <v>58</v>
      </c>
      <c r="Y22">
        <v>58</v>
      </c>
      <c r="Z22" s="2">
        <f>AVERAGE(Sheet1__4[[#This Row],[00:00:00]:[23:00:00]])</f>
        <v>60.625</v>
      </c>
      <c r="AA22" t="str" cm="1">
        <f t="array" ref="AA2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3" spans="1:27" x14ac:dyDescent="0.3">
      <c r="A23" s="1">
        <v>45769</v>
      </c>
      <c r="B23">
        <v>58</v>
      </c>
      <c r="C23">
        <v>59</v>
      </c>
      <c r="D23">
        <v>60</v>
      </c>
      <c r="E23">
        <v>60</v>
      </c>
      <c r="F23">
        <v>62</v>
      </c>
      <c r="G23">
        <v>62</v>
      </c>
      <c r="H23">
        <v>62</v>
      </c>
      <c r="I23">
        <v>64</v>
      </c>
      <c r="J23">
        <v>64</v>
      </c>
      <c r="K23">
        <v>66</v>
      </c>
      <c r="L23">
        <v>68</v>
      </c>
      <c r="M23">
        <v>70</v>
      </c>
      <c r="N23">
        <v>70</v>
      </c>
      <c r="O23">
        <v>72</v>
      </c>
      <c r="P23">
        <v>74</v>
      </c>
      <c r="Q23">
        <v>76</v>
      </c>
      <c r="R23">
        <v>78</v>
      </c>
      <c r="S23">
        <v>80</v>
      </c>
      <c r="T23">
        <v>81</v>
      </c>
      <c r="U23">
        <v>82</v>
      </c>
      <c r="V23">
        <v>84</v>
      </c>
      <c r="W23">
        <v>86</v>
      </c>
      <c r="X23">
        <v>86</v>
      </c>
      <c r="Y23">
        <v>88</v>
      </c>
      <c r="Z23" s="2">
        <f>AVERAGE(Sheet1__4[[#This Row],[00:00:00]:[23:00:00]])</f>
        <v>71.333333333333329</v>
      </c>
      <c r="AA23" t="str" cm="1">
        <f t="array" ref="AA2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4" spans="1:27" x14ac:dyDescent="0.3">
      <c r="A24" s="1">
        <v>45770</v>
      </c>
      <c r="B24">
        <v>90</v>
      </c>
      <c r="C24">
        <v>92</v>
      </c>
      <c r="D24">
        <v>94</v>
      </c>
      <c r="G24">
        <v>97</v>
      </c>
      <c r="H24">
        <v>98</v>
      </c>
      <c r="I24">
        <v>99</v>
      </c>
      <c r="J24">
        <v>100</v>
      </c>
      <c r="K24">
        <v>100</v>
      </c>
      <c r="L24">
        <v>100</v>
      </c>
      <c r="M24">
        <v>99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98</v>
      </c>
      <c r="Y24">
        <v>97</v>
      </c>
      <c r="Z24" s="2">
        <f>AVERAGE(Sheet1__4[[#This Row],[00:00:00]:[23:00:00]])</f>
        <v>98.36363636363636</v>
      </c>
      <c r="AA24" t="str" cm="1">
        <f t="array" ref="AA2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5" spans="1:27" x14ac:dyDescent="0.3">
      <c r="A25" s="1">
        <v>45771</v>
      </c>
      <c r="B25">
        <v>96</v>
      </c>
      <c r="C25">
        <v>94</v>
      </c>
      <c r="D25">
        <v>93</v>
      </c>
      <c r="E25">
        <v>92</v>
      </c>
      <c r="F25">
        <v>90</v>
      </c>
      <c r="G25">
        <v>90</v>
      </c>
      <c r="H25">
        <v>90</v>
      </c>
      <c r="I25">
        <v>88</v>
      </c>
      <c r="J25">
        <v>88</v>
      </c>
      <c r="K25">
        <v>88</v>
      </c>
      <c r="L25">
        <v>88</v>
      </c>
      <c r="M25">
        <v>88</v>
      </c>
      <c r="N25">
        <v>87</v>
      </c>
      <c r="O25">
        <v>86</v>
      </c>
      <c r="P25">
        <v>86</v>
      </c>
      <c r="Q25">
        <v>84</v>
      </c>
      <c r="R25">
        <v>83</v>
      </c>
      <c r="S25">
        <v>82</v>
      </c>
      <c r="U25">
        <v>79</v>
      </c>
      <c r="V25">
        <v>78</v>
      </c>
      <c r="W25">
        <v>76</v>
      </c>
      <c r="X25">
        <v>74</v>
      </c>
      <c r="Y25">
        <v>74</v>
      </c>
      <c r="Z25" s="2">
        <f>AVERAGE(Sheet1__4[[#This Row],[00:00:00]:[23:00:00]])</f>
        <v>85.826086956521735</v>
      </c>
      <c r="AA25" t="str" cm="1">
        <f t="array" ref="AA2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6" spans="1:27" x14ac:dyDescent="0.3">
      <c r="A26" s="1">
        <v>45772</v>
      </c>
      <c r="B26">
        <v>72</v>
      </c>
      <c r="C26">
        <v>72</v>
      </c>
      <c r="D26">
        <v>71</v>
      </c>
      <c r="E26">
        <v>70</v>
      </c>
      <c r="F26">
        <v>70</v>
      </c>
      <c r="G26">
        <v>70</v>
      </c>
      <c r="H26">
        <v>70</v>
      </c>
      <c r="I26">
        <v>69</v>
      </c>
      <c r="J26">
        <v>68</v>
      </c>
      <c r="K26">
        <v>68</v>
      </c>
      <c r="L26">
        <v>68</v>
      </c>
      <c r="M26">
        <v>67</v>
      </c>
      <c r="N26">
        <v>66</v>
      </c>
      <c r="O26">
        <v>65</v>
      </c>
      <c r="P26">
        <v>64</v>
      </c>
      <c r="Q26">
        <v>62</v>
      </c>
      <c r="R26">
        <v>61</v>
      </c>
      <c r="S26">
        <v>60</v>
      </c>
      <c r="T26">
        <v>60</v>
      </c>
      <c r="U26">
        <v>60</v>
      </c>
      <c r="V26">
        <v>60</v>
      </c>
      <c r="W26">
        <v>60</v>
      </c>
      <c r="X26">
        <v>61</v>
      </c>
      <c r="Y26">
        <v>62</v>
      </c>
      <c r="Z26" s="2">
        <f>AVERAGE(Sheet1__4[[#This Row],[00:00:00]:[23:00:00]])</f>
        <v>65.666666666666671</v>
      </c>
      <c r="AA26" t="str" cm="1">
        <f t="array" ref="AA2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7" spans="1:27" x14ac:dyDescent="0.3">
      <c r="A27" s="1">
        <v>45773</v>
      </c>
      <c r="B27">
        <v>62</v>
      </c>
      <c r="C27">
        <v>62</v>
      </c>
      <c r="D27">
        <v>62</v>
      </c>
      <c r="E27">
        <v>62</v>
      </c>
      <c r="F27">
        <v>63</v>
      </c>
      <c r="G27">
        <v>63</v>
      </c>
      <c r="H27">
        <v>63</v>
      </c>
      <c r="I27">
        <v>64</v>
      </c>
      <c r="J27">
        <v>62</v>
      </c>
      <c r="K27">
        <v>62</v>
      </c>
      <c r="L27">
        <v>62</v>
      </c>
      <c r="M27">
        <v>62</v>
      </c>
      <c r="N27">
        <v>60</v>
      </c>
      <c r="O27">
        <v>60</v>
      </c>
      <c r="P27">
        <v>60</v>
      </c>
      <c r="Q27">
        <v>59</v>
      </c>
      <c r="R27">
        <v>59</v>
      </c>
      <c r="S27">
        <v>59</v>
      </c>
      <c r="T27">
        <v>58</v>
      </c>
      <c r="U27">
        <v>59</v>
      </c>
      <c r="V27">
        <v>58</v>
      </c>
      <c r="W27">
        <v>58</v>
      </c>
      <c r="X27">
        <v>58</v>
      </c>
      <c r="Y27">
        <v>58</v>
      </c>
      <c r="Z27" s="2">
        <f>AVERAGE(Sheet1__4[[#This Row],[00:00:00]:[23:00:00]])</f>
        <v>60.625</v>
      </c>
      <c r="AA27" t="str" cm="1">
        <f t="array" ref="AA2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8" spans="1:27" x14ac:dyDescent="0.3">
      <c r="A28" s="1">
        <v>45774</v>
      </c>
      <c r="B28">
        <v>57</v>
      </c>
      <c r="C28">
        <v>57</v>
      </c>
      <c r="D28">
        <v>56</v>
      </c>
      <c r="E28">
        <v>56</v>
      </c>
      <c r="F28">
        <v>56</v>
      </c>
      <c r="G28">
        <v>56</v>
      </c>
      <c r="H28">
        <v>55</v>
      </c>
      <c r="I28">
        <v>56</v>
      </c>
      <c r="J28">
        <v>56</v>
      </c>
      <c r="K28">
        <v>56</v>
      </c>
      <c r="L28">
        <v>56</v>
      </c>
      <c r="M28">
        <v>58</v>
      </c>
      <c r="N28">
        <v>58</v>
      </c>
      <c r="O28">
        <v>60</v>
      </c>
      <c r="P28">
        <v>61</v>
      </c>
      <c r="Q28">
        <v>62</v>
      </c>
      <c r="R28">
        <v>64</v>
      </c>
      <c r="S28">
        <v>64</v>
      </c>
      <c r="T28">
        <v>66</v>
      </c>
      <c r="U28">
        <v>67</v>
      </c>
      <c r="V28">
        <v>68</v>
      </c>
      <c r="W28">
        <v>68</v>
      </c>
      <c r="X28">
        <v>68</v>
      </c>
      <c r="Y28">
        <v>68</v>
      </c>
      <c r="Z28" s="2">
        <f>AVERAGE(Sheet1__4[[#This Row],[00:00:00]:[23:00:00]])</f>
        <v>60.375</v>
      </c>
      <c r="AA28" t="str" cm="1">
        <f t="array" ref="AA2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9" spans="1:27" x14ac:dyDescent="0.3">
      <c r="A29" s="1">
        <v>45775</v>
      </c>
      <c r="B29">
        <v>68</v>
      </c>
      <c r="C29">
        <v>68</v>
      </c>
      <c r="D29">
        <v>68</v>
      </c>
      <c r="E29">
        <v>68</v>
      </c>
      <c r="F29">
        <v>68</v>
      </c>
      <c r="G29">
        <v>68</v>
      </c>
      <c r="H29">
        <v>67</v>
      </c>
      <c r="I29">
        <v>66</v>
      </c>
      <c r="J29">
        <v>66</v>
      </c>
      <c r="K29">
        <v>66</v>
      </c>
      <c r="L29">
        <v>65</v>
      </c>
      <c r="M29">
        <v>64</v>
      </c>
      <c r="N29">
        <v>63</v>
      </c>
      <c r="O29">
        <v>62</v>
      </c>
      <c r="P29">
        <v>62</v>
      </c>
      <c r="Q29">
        <v>63</v>
      </c>
      <c r="R29">
        <v>64</v>
      </c>
      <c r="S29">
        <v>64</v>
      </c>
      <c r="T29">
        <v>63</v>
      </c>
      <c r="U29">
        <v>63</v>
      </c>
      <c r="V29">
        <v>62</v>
      </c>
      <c r="W29">
        <v>62</v>
      </c>
      <c r="X29">
        <v>62</v>
      </c>
      <c r="Y29">
        <v>70</v>
      </c>
      <c r="Z29" s="2">
        <f>AVERAGE(Sheet1__4[[#This Row],[00:00:00]:[23:00:00]])</f>
        <v>65.083333333333329</v>
      </c>
      <c r="AA29" t="str" cm="1">
        <f t="array" ref="AA2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30" spans="1:27" x14ac:dyDescent="0.3">
      <c r="A30" s="1">
        <v>45776</v>
      </c>
      <c r="B30">
        <v>62</v>
      </c>
      <c r="C30">
        <v>62</v>
      </c>
      <c r="D30">
        <v>62</v>
      </c>
      <c r="E30">
        <v>62</v>
      </c>
      <c r="F30">
        <v>62</v>
      </c>
      <c r="G30">
        <v>63</v>
      </c>
      <c r="H30">
        <v>64</v>
      </c>
      <c r="I30">
        <v>63</v>
      </c>
      <c r="J30">
        <v>64</v>
      </c>
      <c r="K30">
        <v>64</v>
      </c>
      <c r="L30">
        <v>64</v>
      </c>
      <c r="M30">
        <v>64</v>
      </c>
      <c r="N30">
        <v>64</v>
      </c>
      <c r="O30">
        <v>65</v>
      </c>
      <c r="P30">
        <v>64</v>
      </c>
      <c r="Q30">
        <v>64</v>
      </c>
      <c r="R30">
        <v>64</v>
      </c>
      <c r="S30">
        <v>63</v>
      </c>
      <c r="T30">
        <v>63</v>
      </c>
      <c r="U30">
        <v>62</v>
      </c>
      <c r="V30">
        <v>62</v>
      </c>
      <c r="W30">
        <v>62</v>
      </c>
      <c r="X30">
        <v>62</v>
      </c>
      <c r="Y30">
        <v>62</v>
      </c>
      <c r="Z30" s="2">
        <f>AVERAGE(Sheet1__4[[#This Row],[00:00:00]:[23:00:00]])</f>
        <v>63.041666666666664</v>
      </c>
      <c r="AA30" t="str" cm="1">
        <f t="array" ref="AA3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31" spans="1:27" x14ac:dyDescent="0.3">
      <c r="A31" s="1">
        <v>45777</v>
      </c>
      <c r="B31">
        <v>62</v>
      </c>
      <c r="C31">
        <v>62</v>
      </c>
      <c r="D31">
        <v>62</v>
      </c>
      <c r="E31">
        <v>62</v>
      </c>
      <c r="F31">
        <v>61</v>
      </c>
      <c r="G31">
        <v>61</v>
      </c>
      <c r="H31">
        <v>60</v>
      </c>
      <c r="I31">
        <v>60</v>
      </c>
      <c r="J31">
        <v>60</v>
      </c>
      <c r="K31">
        <v>60</v>
      </c>
      <c r="L31">
        <v>60</v>
      </c>
      <c r="M31">
        <v>60</v>
      </c>
      <c r="N31">
        <v>60</v>
      </c>
      <c r="O31">
        <v>60</v>
      </c>
      <c r="P31">
        <v>59</v>
      </c>
      <c r="Q31">
        <v>58</v>
      </c>
      <c r="R31">
        <v>58</v>
      </c>
      <c r="S31">
        <v>57</v>
      </c>
      <c r="T31">
        <v>118</v>
      </c>
      <c r="U31">
        <v>57</v>
      </c>
      <c r="V31">
        <v>62</v>
      </c>
      <c r="W31">
        <v>61</v>
      </c>
      <c r="X31">
        <v>64</v>
      </c>
      <c r="Y31">
        <v>64</v>
      </c>
      <c r="Z31" s="2">
        <f>AVERAGE(Sheet1__4[[#This Row],[00:00:00]:[23:00:00]])</f>
        <v>62.833333333333336</v>
      </c>
      <c r="AA31" t="str" cm="1">
        <f t="array" ref="AA3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32" spans="1:27" x14ac:dyDescent="0.3">
      <c r="Z32" s="2">
        <f>AVERAGE(Sheet1__4[AVERAGE AQI])</f>
        <v>69.848534255599461</v>
      </c>
      <c r="AA32" s="3"/>
    </row>
  </sheetData>
  <conditionalFormatting sqref="AA1:AA1048576">
    <cfRule type="containsText" dxfId="64" priority="3" operator="containsText" text="GOOD">
      <formula>NOT(ISERROR(SEARCH("GOOD",AA1)))</formula>
    </cfRule>
    <cfRule type="containsText" dxfId="65" priority="2" operator="containsText" text="MODERATE">
      <formula>NOT(ISERROR(SEARCH("MODERATE",AA1)))</formula>
    </cfRule>
    <cfRule type="containsText" dxfId="66" priority="1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95C9-D56F-4D9F-A80C-973BC584C14E}">
  <dimension ref="A1:AA33"/>
  <sheetViews>
    <sheetView topLeftCell="A10" workbookViewId="0">
      <selection activeCell="W35" sqref="W35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7.441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45778</v>
      </c>
      <c r="B2">
        <v>64</v>
      </c>
      <c r="C2">
        <v>59</v>
      </c>
      <c r="D2">
        <v>56</v>
      </c>
      <c r="E2">
        <v>55</v>
      </c>
      <c r="F2">
        <v>55</v>
      </c>
      <c r="G2">
        <v>54</v>
      </c>
      <c r="H2">
        <v>54</v>
      </c>
      <c r="I2">
        <v>54</v>
      </c>
      <c r="J2">
        <v>54</v>
      </c>
      <c r="K2">
        <v>54</v>
      </c>
      <c r="L2">
        <v>52</v>
      </c>
      <c r="M2">
        <v>52</v>
      </c>
      <c r="N2">
        <v>52</v>
      </c>
      <c r="O2">
        <v>51</v>
      </c>
      <c r="P2">
        <v>50</v>
      </c>
      <c r="Q2">
        <v>50</v>
      </c>
      <c r="R2">
        <v>51</v>
      </c>
      <c r="S2">
        <v>51</v>
      </c>
      <c r="T2">
        <v>50</v>
      </c>
      <c r="U2">
        <v>50</v>
      </c>
      <c r="V2">
        <v>50</v>
      </c>
      <c r="W2">
        <v>48</v>
      </c>
      <c r="X2">
        <v>48</v>
      </c>
      <c r="Y2">
        <v>48</v>
      </c>
      <c r="Z2" s="2">
        <f>AVERAGE(Sheet1__5[[#This Row],[00:00:00]:[23:00:00]])</f>
        <v>52.583333333333336</v>
      </c>
      <c r="AA2" t="str" cm="1">
        <f t="array" ref="AA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" spans="1:27" x14ac:dyDescent="0.3">
      <c r="A3" s="1">
        <v>45779</v>
      </c>
      <c r="B3">
        <v>48</v>
      </c>
      <c r="C3">
        <v>48</v>
      </c>
      <c r="D3">
        <v>48</v>
      </c>
      <c r="E3">
        <v>49</v>
      </c>
      <c r="F3">
        <v>49</v>
      </c>
      <c r="G3">
        <v>50</v>
      </c>
      <c r="H3">
        <v>50</v>
      </c>
      <c r="I3">
        <v>50</v>
      </c>
      <c r="J3">
        <v>49</v>
      </c>
      <c r="K3">
        <v>49</v>
      </c>
      <c r="L3">
        <v>49</v>
      </c>
      <c r="M3">
        <v>49</v>
      </c>
      <c r="N3">
        <v>49</v>
      </c>
      <c r="O3">
        <v>49</v>
      </c>
      <c r="P3">
        <v>49</v>
      </c>
      <c r="Q3">
        <v>49</v>
      </c>
      <c r="R3">
        <v>50</v>
      </c>
      <c r="S3">
        <v>50</v>
      </c>
      <c r="T3">
        <v>50</v>
      </c>
      <c r="U3">
        <v>50</v>
      </c>
      <c r="V3">
        <v>51</v>
      </c>
      <c r="W3">
        <v>52</v>
      </c>
      <c r="X3">
        <v>52</v>
      </c>
      <c r="Y3">
        <v>52</v>
      </c>
      <c r="Z3" s="2">
        <f>AVERAGE(Sheet1__5[[#This Row],[00:00:00]:[23:00:00]])</f>
        <v>49.625</v>
      </c>
      <c r="AA3" t="str" cm="1">
        <f t="array" ref="AA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4" spans="1:27" x14ac:dyDescent="0.3">
      <c r="A4" s="1">
        <v>45780</v>
      </c>
      <c r="B4">
        <v>52</v>
      </c>
      <c r="C4">
        <v>53</v>
      </c>
      <c r="D4">
        <v>53</v>
      </c>
      <c r="E4">
        <v>54</v>
      </c>
      <c r="F4">
        <v>54</v>
      </c>
      <c r="G4">
        <v>54</v>
      </c>
      <c r="H4">
        <v>54</v>
      </c>
      <c r="I4">
        <v>54</v>
      </c>
      <c r="J4">
        <v>56</v>
      </c>
      <c r="K4">
        <v>56</v>
      </c>
      <c r="L4">
        <v>56</v>
      </c>
      <c r="M4">
        <v>57</v>
      </c>
      <c r="N4">
        <v>56</v>
      </c>
      <c r="O4">
        <v>56</v>
      </c>
      <c r="P4">
        <v>56</v>
      </c>
      <c r="Q4">
        <v>55</v>
      </c>
      <c r="R4">
        <v>55</v>
      </c>
      <c r="S4">
        <v>55</v>
      </c>
      <c r="T4">
        <v>54</v>
      </c>
      <c r="U4">
        <v>54</v>
      </c>
      <c r="V4">
        <v>54</v>
      </c>
      <c r="W4">
        <v>54</v>
      </c>
      <c r="X4">
        <v>54</v>
      </c>
      <c r="Y4">
        <v>53</v>
      </c>
      <c r="Z4" s="2">
        <f>AVERAGE(Sheet1__5[[#This Row],[00:00:00]:[23:00:00]])</f>
        <v>54.541666666666664</v>
      </c>
      <c r="AA4" t="str" cm="1">
        <f t="array" ref="AA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5" spans="1:27" x14ac:dyDescent="0.3">
      <c r="A5" s="1">
        <v>45781</v>
      </c>
      <c r="B5">
        <v>52</v>
      </c>
      <c r="C5">
        <v>52</v>
      </c>
      <c r="D5">
        <v>52</v>
      </c>
      <c r="E5">
        <v>52</v>
      </c>
      <c r="F5">
        <v>51</v>
      </c>
      <c r="G5">
        <v>50</v>
      </c>
      <c r="H5">
        <v>50</v>
      </c>
      <c r="I5">
        <v>50</v>
      </c>
      <c r="J5">
        <v>50</v>
      </c>
      <c r="K5">
        <v>50</v>
      </c>
      <c r="L5">
        <v>50</v>
      </c>
      <c r="M5">
        <v>50</v>
      </c>
      <c r="N5">
        <v>50</v>
      </c>
      <c r="O5">
        <v>50</v>
      </c>
      <c r="P5">
        <v>50</v>
      </c>
      <c r="Q5">
        <v>50</v>
      </c>
      <c r="R5">
        <v>49</v>
      </c>
      <c r="S5">
        <v>48</v>
      </c>
      <c r="T5">
        <v>48</v>
      </c>
      <c r="U5">
        <v>48</v>
      </c>
      <c r="V5">
        <v>48</v>
      </c>
      <c r="W5">
        <v>48</v>
      </c>
      <c r="X5">
        <v>48</v>
      </c>
      <c r="Y5">
        <v>48</v>
      </c>
      <c r="Z5" s="2">
        <f>AVERAGE(Sheet1__5[[#This Row],[00:00:00]:[23:00:00]])</f>
        <v>49.75</v>
      </c>
      <c r="AA5" t="str" cm="1">
        <f t="array" ref="AA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6" spans="1:27" x14ac:dyDescent="0.3">
      <c r="A6" s="1">
        <v>45782</v>
      </c>
      <c r="B6">
        <v>48</v>
      </c>
      <c r="C6">
        <v>48</v>
      </c>
      <c r="D6">
        <v>49</v>
      </c>
      <c r="E6">
        <v>49</v>
      </c>
      <c r="F6">
        <v>50</v>
      </c>
      <c r="G6">
        <v>50</v>
      </c>
      <c r="H6">
        <v>50</v>
      </c>
      <c r="I6">
        <v>50</v>
      </c>
      <c r="J6">
        <v>50</v>
      </c>
      <c r="K6">
        <v>50</v>
      </c>
      <c r="L6">
        <v>50</v>
      </c>
      <c r="M6">
        <v>50</v>
      </c>
      <c r="N6">
        <v>50</v>
      </c>
      <c r="O6">
        <v>51</v>
      </c>
      <c r="P6">
        <v>52</v>
      </c>
      <c r="Q6">
        <v>52</v>
      </c>
      <c r="R6">
        <v>53</v>
      </c>
      <c r="S6">
        <v>54</v>
      </c>
      <c r="T6">
        <v>54</v>
      </c>
      <c r="U6">
        <v>54</v>
      </c>
      <c r="V6">
        <v>55</v>
      </c>
      <c r="W6">
        <v>54</v>
      </c>
      <c r="X6">
        <v>54</v>
      </c>
      <c r="Y6">
        <v>54</v>
      </c>
      <c r="Z6" s="2">
        <f>AVERAGE(Sheet1__5[[#This Row],[00:00:00]:[23:00:00]])</f>
        <v>51.291666666666664</v>
      </c>
      <c r="AA6" t="str" cm="1">
        <f t="array" ref="AA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7" spans="1:27" x14ac:dyDescent="0.3">
      <c r="A7" s="1">
        <v>45783</v>
      </c>
      <c r="B7">
        <v>54</v>
      </c>
      <c r="C7">
        <v>54</v>
      </c>
      <c r="D7">
        <v>53</v>
      </c>
      <c r="E7">
        <v>53</v>
      </c>
      <c r="F7">
        <v>52</v>
      </c>
      <c r="G7">
        <v>52</v>
      </c>
      <c r="H7">
        <v>50</v>
      </c>
      <c r="I7">
        <v>50</v>
      </c>
      <c r="J7">
        <v>50</v>
      </c>
      <c r="K7">
        <v>48</v>
      </c>
      <c r="L7">
        <v>48</v>
      </c>
      <c r="M7">
        <v>48</v>
      </c>
      <c r="N7">
        <v>47</v>
      </c>
      <c r="O7">
        <v>46</v>
      </c>
      <c r="P7">
        <v>45</v>
      </c>
      <c r="Q7">
        <v>45</v>
      </c>
      <c r="R7">
        <v>45</v>
      </c>
      <c r="S7">
        <v>45</v>
      </c>
      <c r="T7">
        <v>44</v>
      </c>
      <c r="U7">
        <v>45</v>
      </c>
      <c r="V7">
        <v>45</v>
      </c>
      <c r="W7">
        <v>45</v>
      </c>
      <c r="X7">
        <v>44</v>
      </c>
      <c r="Y7">
        <v>48</v>
      </c>
      <c r="Z7" s="2">
        <f>AVERAGE(Sheet1__5[[#This Row],[00:00:00]:[23:00:00]])</f>
        <v>48.166666666666664</v>
      </c>
      <c r="AA7" t="str" cm="1">
        <f t="array" ref="AA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8" spans="1:27" x14ac:dyDescent="0.3">
      <c r="A8" s="1">
        <v>45784</v>
      </c>
      <c r="B8">
        <v>48</v>
      </c>
      <c r="C8">
        <v>48</v>
      </c>
      <c r="D8">
        <v>48</v>
      </c>
      <c r="E8">
        <v>48</v>
      </c>
      <c r="F8">
        <v>48</v>
      </c>
      <c r="G8">
        <v>48</v>
      </c>
      <c r="H8">
        <v>48</v>
      </c>
      <c r="I8">
        <v>48</v>
      </c>
      <c r="J8">
        <v>48</v>
      </c>
      <c r="K8">
        <v>50</v>
      </c>
      <c r="L8">
        <v>50</v>
      </c>
      <c r="M8">
        <v>52</v>
      </c>
      <c r="N8">
        <v>52</v>
      </c>
      <c r="O8">
        <v>52</v>
      </c>
      <c r="P8">
        <v>51</v>
      </c>
      <c r="Q8">
        <v>50</v>
      </c>
      <c r="R8">
        <v>50</v>
      </c>
      <c r="S8">
        <v>50</v>
      </c>
      <c r="T8">
        <v>48</v>
      </c>
      <c r="U8">
        <v>48</v>
      </c>
      <c r="V8">
        <v>48</v>
      </c>
      <c r="W8">
        <v>47</v>
      </c>
      <c r="X8">
        <v>47</v>
      </c>
      <c r="Z8" s="2">
        <f>AVERAGE(Sheet1__5[[#This Row],[00:00:00]:[23:00:00]])</f>
        <v>49</v>
      </c>
      <c r="AA8" t="str" cm="1">
        <f t="array" ref="AA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9" spans="1:27" x14ac:dyDescent="0.3">
      <c r="A9" s="1">
        <v>45785</v>
      </c>
      <c r="B9">
        <v>41</v>
      </c>
      <c r="C9">
        <v>35</v>
      </c>
      <c r="D9">
        <v>34</v>
      </c>
      <c r="E9">
        <v>33</v>
      </c>
      <c r="F9">
        <v>33</v>
      </c>
      <c r="G9">
        <v>34</v>
      </c>
      <c r="H9">
        <v>34</v>
      </c>
      <c r="I9">
        <v>35</v>
      </c>
      <c r="J9">
        <v>35</v>
      </c>
      <c r="K9">
        <v>35</v>
      </c>
      <c r="L9">
        <v>34</v>
      </c>
      <c r="M9">
        <v>33</v>
      </c>
      <c r="N9">
        <v>33</v>
      </c>
      <c r="O9">
        <v>33</v>
      </c>
      <c r="P9">
        <v>33</v>
      </c>
      <c r="Q9">
        <v>33</v>
      </c>
      <c r="R9">
        <v>32</v>
      </c>
      <c r="S9">
        <v>32</v>
      </c>
      <c r="T9">
        <v>31</v>
      </c>
      <c r="U9">
        <v>30</v>
      </c>
      <c r="V9">
        <v>42</v>
      </c>
      <c r="W9">
        <v>42</v>
      </c>
      <c r="X9">
        <v>42</v>
      </c>
      <c r="Y9">
        <v>42</v>
      </c>
      <c r="Z9" s="2">
        <f>AVERAGE(Sheet1__5[[#This Row],[00:00:00]:[23:00:00]])</f>
        <v>35.041666666666664</v>
      </c>
      <c r="AA9" t="str" cm="1">
        <f t="array" ref="AA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10" spans="1:27" x14ac:dyDescent="0.3">
      <c r="A10" s="1">
        <v>45786</v>
      </c>
      <c r="B10">
        <v>42</v>
      </c>
      <c r="C10">
        <v>43</v>
      </c>
      <c r="D10">
        <v>44</v>
      </c>
      <c r="E10">
        <v>44</v>
      </c>
      <c r="F10">
        <v>44</v>
      </c>
      <c r="G10">
        <v>44</v>
      </c>
      <c r="H10">
        <v>44</v>
      </c>
      <c r="I10">
        <v>43</v>
      </c>
      <c r="J10">
        <v>43</v>
      </c>
      <c r="K10">
        <v>43</v>
      </c>
      <c r="M10">
        <v>42</v>
      </c>
      <c r="N10">
        <v>42</v>
      </c>
      <c r="O10">
        <v>42</v>
      </c>
      <c r="P10">
        <v>42</v>
      </c>
      <c r="Q10">
        <v>43</v>
      </c>
      <c r="R10">
        <v>44</v>
      </c>
      <c r="S10">
        <v>44</v>
      </c>
      <c r="T10">
        <v>44</v>
      </c>
      <c r="U10">
        <v>45</v>
      </c>
      <c r="V10">
        <v>45</v>
      </c>
      <c r="W10">
        <v>45</v>
      </c>
      <c r="X10">
        <v>46</v>
      </c>
      <c r="Y10">
        <v>46</v>
      </c>
      <c r="Z10" s="2">
        <f>AVERAGE(Sheet1__5[[#This Row],[00:00:00]:[23:00:00]])</f>
        <v>43.652173913043477</v>
      </c>
      <c r="AA10" t="str" cm="1">
        <f t="array" ref="AA1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11" spans="1:27" x14ac:dyDescent="0.3">
      <c r="A11" s="1">
        <v>45787</v>
      </c>
      <c r="B11">
        <v>46</v>
      </c>
      <c r="C11">
        <v>46</v>
      </c>
      <c r="D11">
        <v>46</v>
      </c>
      <c r="E11">
        <v>46</v>
      </c>
      <c r="F11">
        <v>46</v>
      </c>
      <c r="G11">
        <v>46</v>
      </c>
      <c r="H11">
        <v>46</v>
      </c>
      <c r="I11">
        <v>47</v>
      </c>
      <c r="J11">
        <v>47</v>
      </c>
      <c r="K11">
        <v>48</v>
      </c>
      <c r="L11">
        <v>48</v>
      </c>
      <c r="M11">
        <v>48</v>
      </c>
      <c r="N11">
        <v>48</v>
      </c>
      <c r="O11">
        <v>48</v>
      </c>
      <c r="P11">
        <v>48</v>
      </c>
      <c r="Q11">
        <v>48</v>
      </c>
      <c r="R11">
        <v>48</v>
      </c>
      <c r="S11">
        <v>49</v>
      </c>
      <c r="T11">
        <v>51</v>
      </c>
      <c r="U11">
        <v>52</v>
      </c>
      <c r="V11">
        <v>51</v>
      </c>
      <c r="W11">
        <v>51</v>
      </c>
      <c r="X11">
        <v>48</v>
      </c>
      <c r="Y11">
        <v>48</v>
      </c>
      <c r="Z11" s="2">
        <f>AVERAGE(Sheet1__5[[#This Row],[00:00:00]:[23:00:00]])</f>
        <v>47.916666666666664</v>
      </c>
      <c r="AA11" t="str" cm="1">
        <f t="array" ref="AA1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12" spans="1:27" x14ac:dyDescent="0.3">
      <c r="A12" s="1">
        <v>45788</v>
      </c>
      <c r="B12">
        <v>48</v>
      </c>
      <c r="C12">
        <v>48</v>
      </c>
      <c r="D12">
        <v>48</v>
      </c>
      <c r="E12">
        <v>48</v>
      </c>
      <c r="F12">
        <v>48</v>
      </c>
      <c r="G12">
        <v>48</v>
      </c>
      <c r="H12">
        <v>48</v>
      </c>
      <c r="I12">
        <v>48</v>
      </c>
      <c r="J12">
        <v>48</v>
      </c>
      <c r="K12">
        <v>48</v>
      </c>
      <c r="L12">
        <v>49</v>
      </c>
      <c r="M12">
        <v>50</v>
      </c>
      <c r="N12">
        <v>50</v>
      </c>
      <c r="O12">
        <v>50</v>
      </c>
      <c r="P12">
        <v>51</v>
      </c>
      <c r="Q12">
        <v>52</v>
      </c>
      <c r="R12">
        <v>54</v>
      </c>
      <c r="S12">
        <v>56</v>
      </c>
      <c r="T12">
        <v>60</v>
      </c>
      <c r="U12">
        <v>60</v>
      </c>
      <c r="V12">
        <v>61</v>
      </c>
      <c r="W12">
        <v>60</v>
      </c>
      <c r="X12">
        <v>56</v>
      </c>
      <c r="Y12">
        <v>54</v>
      </c>
      <c r="Z12" s="2">
        <f>AVERAGE(Sheet1__5[[#This Row],[00:00:00]:[23:00:00]])</f>
        <v>51.791666666666664</v>
      </c>
      <c r="AA12" t="str" cm="1">
        <f t="array" ref="AA1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3" spans="1:27" x14ac:dyDescent="0.3">
      <c r="A13" s="1">
        <v>45789</v>
      </c>
      <c r="B13">
        <v>54</v>
      </c>
      <c r="D13">
        <v>54</v>
      </c>
      <c r="E13">
        <v>53</v>
      </c>
      <c r="F13">
        <v>52</v>
      </c>
      <c r="G13">
        <v>52</v>
      </c>
      <c r="H13">
        <v>52</v>
      </c>
      <c r="I13">
        <v>52</v>
      </c>
      <c r="J13">
        <v>52</v>
      </c>
      <c r="K13">
        <v>52</v>
      </c>
      <c r="L13">
        <v>52</v>
      </c>
      <c r="M13">
        <v>52</v>
      </c>
      <c r="N13">
        <v>52</v>
      </c>
      <c r="O13">
        <v>52</v>
      </c>
      <c r="P13">
        <v>52</v>
      </c>
      <c r="Q13">
        <v>52</v>
      </c>
      <c r="R13">
        <v>51</v>
      </c>
      <c r="S13">
        <v>50</v>
      </c>
      <c r="T13">
        <v>50</v>
      </c>
      <c r="U13">
        <v>49</v>
      </c>
      <c r="V13">
        <v>48</v>
      </c>
      <c r="W13">
        <v>48</v>
      </c>
      <c r="X13">
        <v>48</v>
      </c>
      <c r="Y13">
        <v>48</v>
      </c>
      <c r="Z13" s="2">
        <f>AVERAGE(Sheet1__5[[#This Row],[00:00:00]:[23:00:00]])</f>
        <v>51.173913043478258</v>
      </c>
      <c r="AA13" t="str" cm="1">
        <f t="array" ref="AA1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4" spans="1:27" x14ac:dyDescent="0.3">
      <c r="A14" s="1">
        <v>45790</v>
      </c>
      <c r="B14">
        <v>49</v>
      </c>
      <c r="C14">
        <v>50</v>
      </c>
      <c r="D14">
        <v>50</v>
      </c>
      <c r="E14">
        <v>50</v>
      </c>
      <c r="F14">
        <v>52</v>
      </c>
      <c r="G14">
        <v>52</v>
      </c>
      <c r="H14">
        <v>52</v>
      </c>
      <c r="I14">
        <v>52</v>
      </c>
      <c r="J14">
        <v>52</v>
      </c>
      <c r="K14">
        <v>52</v>
      </c>
      <c r="L14">
        <v>54</v>
      </c>
      <c r="M14">
        <v>54</v>
      </c>
      <c r="N14">
        <v>54</v>
      </c>
      <c r="O14">
        <v>54</v>
      </c>
      <c r="P14">
        <v>55</v>
      </c>
      <c r="Q14">
        <v>55</v>
      </c>
      <c r="R14">
        <v>55</v>
      </c>
      <c r="S14">
        <v>56</v>
      </c>
      <c r="T14">
        <v>56</v>
      </c>
      <c r="U14">
        <v>56</v>
      </c>
      <c r="V14">
        <v>58</v>
      </c>
      <c r="W14">
        <v>59</v>
      </c>
      <c r="X14">
        <v>61</v>
      </c>
      <c r="Y14">
        <v>62</v>
      </c>
      <c r="Z14" s="2">
        <f>AVERAGE(Sheet1__5[[#This Row],[00:00:00]:[23:00:00]])</f>
        <v>54.166666666666664</v>
      </c>
      <c r="AA14" t="str" cm="1">
        <f t="array" ref="AA1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5" spans="1:27" x14ac:dyDescent="0.3">
      <c r="A15" s="1">
        <v>45791</v>
      </c>
      <c r="B15">
        <v>64</v>
      </c>
      <c r="C15">
        <v>64</v>
      </c>
      <c r="D15">
        <v>66</v>
      </c>
      <c r="E15">
        <v>68</v>
      </c>
      <c r="F15">
        <v>69</v>
      </c>
      <c r="G15">
        <v>70</v>
      </c>
      <c r="H15">
        <v>72</v>
      </c>
      <c r="I15">
        <v>74</v>
      </c>
      <c r="J15">
        <v>74</v>
      </c>
      <c r="K15">
        <v>76</v>
      </c>
      <c r="L15">
        <v>76</v>
      </c>
      <c r="M15">
        <v>77</v>
      </c>
      <c r="N15">
        <v>78</v>
      </c>
      <c r="O15">
        <v>78</v>
      </c>
      <c r="P15">
        <v>78</v>
      </c>
      <c r="Q15">
        <v>79</v>
      </c>
      <c r="R15">
        <v>80</v>
      </c>
      <c r="S15">
        <v>81</v>
      </c>
      <c r="T15">
        <v>82</v>
      </c>
      <c r="U15">
        <v>82</v>
      </c>
      <c r="V15">
        <v>83</v>
      </c>
      <c r="W15">
        <v>82</v>
      </c>
      <c r="X15">
        <v>82</v>
      </c>
      <c r="Y15">
        <v>82</v>
      </c>
      <c r="Z15" s="2">
        <f>AVERAGE(Sheet1__5[[#This Row],[00:00:00]:[23:00:00]])</f>
        <v>75.708333333333329</v>
      </c>
      <c r="AA15" t="str" cm="1">
        <f t="array" ref="AA1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6" spans="1:27" x14ac:dyDescent="0.3">
      <c r="A16" s="1">
        <v>45792</v>
      </c>
      <c r="B16">
        <v>80</v>
      </c>
      <c r="C16">
        <v>79</v>
      </c>
      <c r="D16">
        <v>78</v>
      </c>
      <c r="E16">
        <v>76</v>
      </c>
      <c r="F16">
        <v>74</v>
      </c>
      <c r="G16">
        <v>74</v>
      </c>
      <c r="H16">
        <v>73</v>
      </c>
      <c r="I16">
        <v>72</v>
      </c>
      <c r="J16">
        <v>71</v>
      </c>
      <c r="K16">
        <v>70</v>
      </c>
      <c r="L16">
        <v>70</v>
      </c>
      <c r="M16">
        <v>70</v>
      </c>
      <c r="N16">
        <v>70</v>
      </c>
      <c r="O16">
        <v>70</v>
      </c>
      <c r="P16">
        <v>71</v>
      </c>
      <c r="Q16">
        <v>71</v>
      </c>
      <c r="R16">
        <v>70</v>
      </c>
      <c r="S16">
        <v>70</v>
      </c>
      <c r="U16">
        <v>70</v>
      </c>
      <c r="V16">
        <v>70</v>
      </c>
      <c r="W16">
        <v>70</v>
      </c>
      <c r="X16">
        <v>70</v>
      </c>
      <c r="Y16">
        <v>70</v>
      </c>
      <c r="Z16" s="2">
        <f>AVERAGE(Sheet1__5[[#This Row],[00:00:00]:[23:00:00]])</f>
        <v>72.130434782608702</v>
      </c>
      <c r="AA16" t="str" cm="1">
        <f t="array" ref="AA1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7" spans="1:27" x14ac:dyDescent="0.3">
      <c r="A17" s="1">
        <v>45793</v>
      </c>
      <c r="B17">
        <v>71</v>
      </c>
      <c r="C17">
        <v>72</v>
      </c>
      <c r="D17">
        <v>72</v>
      </c>
      <c r="E17">
        <v>73</v>
      </c>
      <c r="F17">
        <v>74</v>
      </c>
      <c r="G17">
        <v>73</v>
      </c>
      <c r="H17">
        <v>72</v>
      </c>
      <c r="I17">
        <v>72</v>
      </c>
      <c r="J17">
        <v>72</v>
      </c>
      <c r="K17">
        <v>72</v>
      </c>
      <c r="L17">
        <v>70</v>
      </c>
      <c r="M17">
        <v>70</v>
      </c>
      <c r="N17">
        <v>69</v>
      </c>
      <c r="O17">
        <v>68</v>
      </c>
      <c r="P17">
        <v>66</v>
      </c>
      <c r="Q17">
        <v>66</v>
      </c>
      <c r="R17">
        <v>64</v>
      </c>
      <c r="S17">
        <v>64</v>
      </c>
      <c r="T17">
        <v>64</v>
      </c>
      <c r="U17">
        <v>63</v>
      </c>
      <c r="V17">
        <v>62</v>
      </c>
      <c r="W17">
        <v>62</v>
      </c>
      <c r="X17">
        <v>62</v>
      </c>
      <c r="Y17">
        <v>62</v>
      </c>
      <c r="Z17" s="2">
        <f>AVERAGE(Sheet1__5[[#This Row],[00:00:00]:[23:00:00]])</f>
        <v>68.125</v>
      </c>
      <c r="AA17" t="str" cm="1">
        <f t="array" ref="AA1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8" spans="1:27" x14ac:dyDescent="0.3">
      <c r="A18" s="1">
        <v>45794</v>
      </c>
      <c r="B18">
        <v>62</v>
      </c>
      <c r="C18">
        <v>62</v>
      </c>
      <c r="D18">
        <v>62</v>
      </c>
      <c r="E18">
        <v>62</v>
      </c>
      <c r="F18">
        <v>64</v>
      </c>
      <c r="G18">
        <v>64</v>
      </c>
      <c r="H18">
        <v>66</v>
      </c>
      <c r="I18">
        <v>66</v>
      </c>
      <c r="J18">
        <v>66</v>
      </c>
      <c r="K18">
        <v>68</v>
      </c>
      <c r="L18">
        <v>69</v>
      </c>
      <c r="M18">
        <v>70</v>
      </c>
      <c r="N18">
        <v>71</v>
      </c>
      <c r="O18">
        <v>71</v>
      </c>
      <c r="P18">
        <v>71</v>
      </c>
      <c r="Q18">
        <v>71</v>
      </c>
      <c r="R18">
        <v>70</v>
      </c>
      <c r="S18">
        <v>70</v>
      </c>
      <c r="T18">
        <v>70</v>
      </c>
      <c r="U18">
        <v>70</v>
      </c>
      <c r="V18">
        <v>70</v>
      </c>
      <c r="W18">
        <v>69</v>
      </c>
      <c r="X18">
        <v>68</v>
      </c>
      <c r="Y18">
        <v>68</v>
      </c>
      <c r="Z18" s="2">
        <f>AVERAGE(Sheet1__5[[#This Row],[00:00:00]:[23:00:00]])</f>
        <v>67.5</v>
      </c>
      <c r="AA18" t="str" cm="1">
        <f t="array" ref="AA1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9" spans="1:27" x14ac:dyDescent="0.3">
      <c r="A19" s="1">
        <v>45795</v>
      </c>
      <c r="B19">
        <v>68</v>
      </c>
      <c r="C19">
        <v>68</v>
      </c>
      <c r="D19">
        <v>66</v>
      </c>
      <c r="E19">
        <v>65</v>
      </c>
      <c r="F19">
        <v>64</v>
      </c>
      <c r="G19">
        <v>62</v>
      </c>
      <c r="H19">
        <v>60</v>
      </c>
      <c r="I19">
        <v>60</v>
      </c>
      <c r="J19">
        <v>60</v>
      </c>
      <c r="K19">
        <v>60</v>
      </c>
      <c r="L19">
        <v>58</v>
      </c>
      <c r="M19">
        <v>58</v>
      </c>
      <c r="N19">
        <v>57</v>
      </c>
      <c r="O19">
        <v>57</v>
      </c>
      <c r="P19">
        <v>58</v>
      </c>
      <c r="Q19">
        <v>58</v>
      </c>
      <c r="R19">
        <v>58</v>
      </c>
      <c r="S19">
        <v>59</v>
      </c>
      <c r="T19">
        <v>60</v>
      </c>
      <c r="U19">
        <v>60</v>
      </c>
      <c r="V19">
        <v>60</v>
      </c>
      <c r="W19">
        <v>60</v>
      </c>
      <c r="X19">
        <v>60</v>
      </c>
      <c r="Y19">
        <v>61</v>
      </c>
      <c r="Z19" s="2">
        <f>AVERAGE(Sheet1__5[[#This Row],[00:00:00]:[23:00:00]])</f>
        <v>60.708333333333336</v>
      </c>
      <c r="AA19" t="str" cm="1">
        <f t="array" ref="AA1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0" spans="1:27" x14ac:dyDescent="0.3">
      <c r="A20" s="1">
        <v>45796</v>
      </c>
      <c r="B20">
        <v>61</v>
      </c>
      <c r="C20">
        <v>60</v>
      </c>
      <c r="D20">
        <v>60</v>
      </c>
      <c r="E20">
        <v>60</v>
      </c>
      <c r="F20">
        <v>60</v>
      </c>
      <c r="G20">
        <v>60</v>
      </c>
      <c r="H20">
        <v>59</v>
      </c>
      <c r="I20">
        <v>58</v>
      </c>
      <c r="J20">
        <v>58</v>
      </c>
      <c r="K20">
        <v>58</v>
      </c>
      <c r="L20">
        <v>57</v>
      </c>
      <c r="M20">
        <v>56</v>
      </c>
      <c r="N20">
        <v>58</v>
      </c>
      <c r="O20">
        <v>58</v>
      </c>
      <c r="P20">
        <v>57</v>
      </c>
      <c r="Q20">
        <v>58</v>
      </c>
      <c r="R20">
        <v>58</v>
      </c>
      <c r="S20">
        <v>58</v>
      </c>
      <c r="T20">
        <v>59</v>
      </c>
      <c r="U20">
        <v>60</v>
      </c>
      <c r="V20">
        <v>60</v>
      </c>
      <c r="W20">
        <v>60</v>
      </c>
      <c r="X20">
        <v>60</v>
      </c>
      <c r="Y20">
        <v>60</v>
      </c>
      <c r="Z20" s="2">
        <f>AVERAGE(Sheet1__5[[#This Row],[00:00:00]:[23:00:00]])</f>
        <v>58.875</v>
      </c>
      <c r="AA20" t="str" cm="1">
        <f t="array" ref="AA2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1" spans="1:27" x14ac:dyDescent="0.3">
      <c r="A21" s="1">
        <v>45797</v>
      </c>
      <c r="B21">
        <v>60</v>
      </c>
      <c r="C21">
        <v>62</v>
      </c>
      <c r="D21">
        <v>62</v>
      </c>
      <c r="E21">
        <v>62</v>
      </c>
      <c r="F21">
        <v>63</v>
      </c>
      <c r="G21">
        <v>62</v>
      </c>
      <c r="H21">
        <v>64</v>
      </c>
      <c r="I21">
        <v>64</v>
      </c>
      <c r="J21">
        <v>65</v>
      </c>
      <c r="K21">
        <v>66</v>
      </c>
      <c r="L21">
        <v>66</v>
      </c>
      <c r="M21">
        <v>65</v>
      </c>
      <c r="N21">
        <v>66</v>
      </c>
      <c r="O21">
        <v>65</v>
      </c>
      <c r="P21">
        <v>65</v>
      </c>
      <c r="Q21">
        <v>66</v>
      </c>
      <c r="R21">
        <v>66</v>
      </c>
      <c r="S21">
        <v>66</v>
      </c>
      <c r="T21">
        <v>65</v>
      </c>
      <c r="U21">
        <v>65</v>
      </c>
      <c r="V21">
        <v>64</v>
      </c>
      <c r="W21">
        <v>64</v>
      </c>
      <c r="X21">
        <v>62</v>
      </c>
      <c r="Y21">
        <v>62</v>
      </c>
      <c r="Z21" s="2">
        <f>AVERAGE(Sheet1__5[[#This Row],[00:00:00]:[23:00:00]])</f>
        <v>64.041666666666671</v>
      </c>
      <c r="AA21" t="str" cm="1">
        <f t="array" ref="AA2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2" spans="1:27" x14ac:dyDescent="0.3">
      <c r="A22" s="1">
        <v>45798</v>
      </c>
      <c r="B22">
        <v>61</v>
      </c>
      <c r="C22">
        <v>60</v>
      </c>
      <c r="D22">
        <v>58</v>
      </c>
      <c r="E22">
        <v>57</v>
      </c>
      <c r="F22">
        <v>56</v>
      </c>
      <c r="G22">
        <v>55</v>
      </c>
      <c r="H22">
        <v>54</v>
      </c>
      <c r="I22">
        <v>52</v>
      </c>
      <c r="J22">
        <v>51</v>
      </c>
      <c r="K22">
        <v>50</v>
      </c>
      <c r="L22">
        <v>48</v>
      </c>
      <c r="M22">
        <v>48</v>
      </c>
      <c r="N22">
        <v>48</v>
      </c>
      <c r="O22">
        <v>47</v>
      </c>
      <c r="P22">
        <v>46</v>
      </c>
      <c r="Q22">
        <v>46</v>
      </c>
      <c r="R22">
        <v>45</v>
      </c>
      <c r="S22">
        <v>44</v>
      </c>
      <c r="T22">
        <v>44</v>
      </c>
      <c r="U22">
        <v>45</v>
      </c>
      <c r="V22">
        <v>45</v>
      </c>
      <c r="W22">
        <v>45</v>
      </c>
      <c r="X22">
        <v>47</v>
      </c>
      <c r="Y22">
        <v>48</v>
      </c>
      <c r="Z22" s="2">
        <f>AVERAGE(Sheet1__5[[#This Row],[00:00:00]:[23:00:00]])</f>
        <v>50</v>
      </c>
      <c r="AA22" t="str" cm="1">
        <f t="array" ref="AA2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3" spans="1:27" x14ac:dyDescent="0.3">
      <c r="A23" s="1">
        <v>45799</v>
      </c>
      <c r="B23">
        <v>49</v>
      </c>
      <c r="C23">
        <v>50</v>
      </c>
      <c r="D23">
        <v>50</v>
      </c>
      <c r="E23">
        <v>50</v>
      </c>
      <c r="F23">
        <v>50</v>
      </c>
      <c r="G23">
        <v>50</v>
      </c>
      <c r="H23">
        <v>50</v>
      </c>
      <c r="I23">
        <v>50</v>
      </c>
      <c r="J23">
        <v>48</v>
      </c>
      <c r="K23">
        <v>48</v>
      </c>
      <c r="L23">
        <v>47</v>
      </c>
      <c r="M23">
        <v>46</v>
      </c>
      <c r="N23">
        <v>44</v>
      </c>
      <c r="O23">
        <v>44</v>
      </c>
      <c r="P23">
        <v>42</v>
      </c>
      <c r="Q23">
        <v>42</v>
      </c>
      <c r="R23">
        <v>44</v>
      </c>
      <c r="S23">
        <v>46</v>
      </c>
      <c r="T23">
        <v>47</v>
      </c>
      <c r="U23">
        <v>48</v>
      </c>
      <c r="V23">
        <v>47</v>
      </c>
      <c r="W23">
        <v>46</v>
      </c>
      <c r="X23">
        <v>42</v>
      </c>
      <c r="Y23">
        <v>40</v>
      </c>
      <c r="Z23" s="2">
        <f>AVERAGE(Sheet1__5[[#This Row],[00:00:00]:[23:00:00]])</f>
        <v>46.666666666666664</v>
      </c>
      <c r="AA23" t="str" cm="1">
        <f t="array" ref="AA2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24" spans="1:27" x14ac:dyDescent="0.3">
      <c r="A24" s="1">
        <v>45800</v>
      </c>
      <c r="B24">
        <v>41</v>
      </c>
      <c r="C24">
        <v>42</v>
      </c>
      <c r="D24">
        <v>44</v>
      </c>
      <c r="E24">
        <v>46</v>
      </c>
      <c r="F24">
        <v>48</v>
      </c>
      <c r="G24">
        <v>49</v>
      </c>
      <c r="H24">
        <v>52</v>
      </c>
      <c r="I24">
        <v>53</v>
      </c>
      <c r="J24">
        <v>40</v>
      </c>
      <c r="K24">
        <v>42</v>
      </c>
      <c r="L24">
        <v>45</v>
      </c>
      <c r="M24">
        <v>46</v>
      </c>
      <c r="N24">
        <v>47</v>
      </c>
      <c r="O24">
        <v>49</v>
      </c>
      <c r="P24">
        <v>51</v>
      </c>
      <c r="Q24">
        <v>53</v>
      </c>
      <c r="R24">
        <v>54</v>
      </c>
      <c r="S24">
        <v>55</v>
      </c>
      <c r="T24">
        <v>56</v>
      </c>
      <c r="U24">
        <v>57</v>
      </c>
      <c r="V24">
        <v>57</v>
      </c>
      <c r="W24">
        <v>57</v>
      </c>
      <c r="X24">
        <v>58</v>
      </c>
      <c r="Y24">
        <v>58</v>
      </c>
      <c r="Z24" s="2">
        <f>AVERAGE(Sheet1__5[[#This Row],[00:00:00]:[23:00:00]])</f>
        <v>50</v>
      </c>
      <c r="AA24" t="str" cm="1">
        <f t="array" ref="AA2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5" spans="1:27" x14ac:dyDescent="0.3">
      <c r="A25" s="1">
        <v>45801</v>
      </c>
      <c r="B25">
        <v>58</v>
      </c>
      <c r="C25">
        <v>58</v>
      </c>
      <c r="D25">
        <v>59</v>
      </c>
      <c r="F25">
        <v>60</v>
      </c>
      <c r="G25">
        <v>76</v>
      </c>
      <c r="H25">
        <v>76</v>
      </c>
      <c r="I25">
        <v>76</v>
      </c>
      <c r="J25">
        <v>76</v>
      </c>
      <c r="K25">
        <v>75</v>
      </c>
      <c r="L25">
        <v>76</v>
      </c>
      <c r="M25">
        <v>75</v>
      </c>
      <c r="N25">
        <v>75</v>
      </c>
      <c r="O25">
        <v>75</v>
      </c>
      <c r="P25">
        <v>74</v>
      </c>
      <c r="Q25">
        <v>74</v>
      </c>
      <c r="R25">
        <v>74</v>
      </c>
      <c r="S25">
        <v>74</v>
      </c>
      <c r="T25">
        <v>74</v>
      </c>
      <c r="U25">
        <v>74</v>
      </c>
      <c r="V25">
        <v>74</v>
      </c>
      <c r="W25">
        <v>75</v>
      </c>
      <c r="X25">
        <v>76</v>
      </c>
      <c r="Y25">
        <v>76</v>
      </c>
      <c r="Z25" s="2">
        <f>AVERAGE(Sheet1__5[[#This Row],[00:00:00]:[23:00:00]])</f>
        <v>72.173913043478265</v>
      </c>
      <c r="AA25" t="str" cm="1">
        <f t="array" ref="AA2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6" spans="1:27" x14ac:dyDescent="0.3">
      <c r="A26" s="1">
        <v>45802</v>
      </c>
      <c r="B26">
        <v>77</v>
      </c>
      <c r="C26">
        <v>78</v>
      </c>
      <c r="D26">
        <v>78</v>
      </c>
      <c r="E26">
        <v>76</v>
      </c>
      <c r="F26">
        <v>75</v>
      </c>
      <c r="G26">
        <v>74</v>
      </c>
      <c r="H26">
        <v>72</v>
      </c>
      <c r="I26">
        <v>70</v>
      </c>
      <c r="J26">
        <v>70</v>
      </c>
      <c r="K26">
        <v>69</v>
      </c>
      <c r="L26">
        <v>69</v>
      </c>
      <c r="M26">
        <v>69</v>
      </c>
      <c r="N26">
        <v>69</v>
      </c>
      <c r="O26">
        <v>68</v>
      </c>
      <c r="P26">
        <v>68</v>
      </c>
      <c r="Q26">
        <v>68</v>
      </c>
      <c r="R26">
        <v>66</v>
      </c>
      <c r="S26">
        <v>66</v>
      </c>
      <c r="T26">
        <v>66</v>
      </c>
      <c r="U26">
        <v>66</v>
      </c>
      <c r="V26">
        <v>66</v>
      </c>
      <c r="Z26" s="2">
        <f>AVERAGE(Sheet1__5[[#This Row],[00:00:00]:[23:00:00]])</f>
        <v>70.476190476190482</v>
      </c>
      <c r="AA26" t="str" cm="1">
        <f t="array" ref="AA2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7" spans="1:27" x14ac:dyDescent="0.3">
      <c r="A27" s="1">
        <v>45803</v>
      </c>
      <c r="D27">
        <v>61</v>
      </c>
      <c r="E27">
        <v>60</v>
      </c>
      <c r="F27">
        <v>58</v>
      </c>
      <c r="G27">
        <v>57</v>
      </c>
      <c r="H27">
        <v>56</v>
      </c>
      <c r="I27">
        <v>56</v>
      </c>
      <c r="J27">
        <v>54</v>
      </c>
      <c r="K27">
        <v>52</v>
      </c>
      <c r="L27">
        <v>50</v>
      </c>
      <c r="M27">
        <v>48</v>
      </c>
      <c r="N27">
        <v>45</v>
      </c>
      <c r="O27">
        <v>42</v>
      </c>
      <c r="P27">
        <v>41</v>
      </c>
      <c r="Q27">
        <v>39</v>
      </c>
      <c r="R27">
        <v>38</v>
      </c>
      <c r="S27">
        <v>36</v>
      </c>
      <c r="T27">
        <v>35</v>
      </c>
      <c r="U27">
        <v>34</v>
      </c>
      <c r="V27">
        <v>34</v>
      </c>
      <c r="W27">
        <v>34</v>
      </c>
      <c r="X27">
        <v>34</v>
      </c>
      <c r="Y27">
        <v>34</v>
      </c>
      <c r="Z27" s="2">
        <f>AVERAGE(Sheet1__5[[#This Row],[00:00:00]:[23:00:00]])</f>
        <v>45.363636363636367</v>
      </c>
      <c r="AA27" t="str" cm="1">
        <f t="array" ref="AA2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28" spans="1:27" x14ac:dyDescent="0.3">
      <c r="A28" s="1">
        <v>45804</v>
      </c>
      <c r="B28">
        <v>34</v>
      </c>
      <c r="C28">
        <v>34</v>
      </c>
      <c r="D28">
        <v>34</v>
      </c>
      <c r="E28">
        <v>33</v>
      </c>
      <c r="F28">
        <v>32</v>
      </c>
      <c r="G28">
        <v>31</v>
      </c>
      <c r="H28">
        <v>30</v>
      </c>
      <c r="I28">
        <v>30</v>
      </c>
      <c r="J28">
        <v>29</v>
      </c>
      <c r="K28">
        <v>28</v>
      </c>
      <c r="L28">
        <v>28</v>
      </c>
      <c r="M28">
        <v>28</v>
      </c>
      <c r="N28">
        <v>28</v>
      </c>
      <c r="O28">
        <v>29</v>
      </c>
      <c r="P28">
        <v>29</v>
      </c>
      <c r="Q28">
        <v>30</v>
      </c>
      <c r="R28">
        <v>30</v>
      </c>
      <c r="S28">
        <v>30</v>
      </c>
      <c r="T28">
        <v>30</v>
      </c>
      <c r="U28">
        <v>30</v>
      </c>
      <c r="V28">
        <v>32</v>
      </c>
      <c r="W28">
        <v>32</v>
      </c>
      <c r="X28">
        <v>34</v>
      </c>
      <c r="Y28">
        <v>35</v>
      </c>
      <c r="Z28" s="2">
        <f>AVERAGE(Sheet1__5[[#This Row],[00:00:00]:[23:00:00]])</f>
        <v>30.833333333333332</v>
      </c>
      <c r="AA28" t="str" cm="1">
        <f t="array" ref="AA2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29" spans="1:27" x14ac:dyDescent="0.3">
      <c r="A29" s="1">
        <v>45805</v>
      </c>
      <c r="B29">
        <v>36</v>
      </c>
      <c r="C29">
        <v>37</v>
      </c>
      <c r="D29">
        <v>38</v>
      </c>
      <c r="E29">
        <v>40</v>
      </c>
      <c r="F29">
        <v>42</v>
      </c>
      <c r="G29">
        <v>42</v>
      </c>
      <c r="H29">
        <v>43</v>
      </c>
      <c r="I29">
        <v>45</v>
      </c>
      <c r="J29">
        <v>46</v>
      </c>
      <c r="K29">
        <v>48</v>
      </c>
      <c r="L29">
        <v>50</v>
      </c>
      <c r="M29">
        <v>52</v>
      </c>
      <c r="N29">
        <v>54</v>
      </c>
      <c r="O29">
        <v>57</v>
      </c>
      <c r="P29">
        <v>58</v>
      </c>
      <c r="Q29">
        <v>60</v>
      </c>
      <c r="R29">
        <v>60</v>
      </c>
      <c r="S29">
        <v>60</v>
      </c>
      <c r="T29">
        <v>60</v>
      </c>
      <c r="U29">
        <v>59</v>
      </c>
      <c r="V29">
        <v>58</v>
      </c>
      <c r="W29">
        <v>58</v>
      </c>
      <c r="X29">
        <v>58</v>
      </c>
      <c r="Y29">
        <v>58</v>
      </c>
      <c r="Z29" s="2">
        <f>AVERAGE(Sheet1__5[[#This Row],[00:00:00]:[23:00:00]])</f>
        <v>50.791666666666664</v>
      </c>
      <c r="AA29" t="str" cm="1">
        <f t="array" ref="AA2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0" spans="1:27" x14ac:dyDescent="0.3">
      <c r="A30" s="1">
        <v>45806</v>
      </c>
      <c r="B30">
        <v>58</v>
      </c>
      <c r="C30">
        <v>57</v>
      </c>
      <c r="D30">
        <v>57</v>
      </c>
      <c r="E30">
        <v>57</v>
      </c>
      <c r="F30">
        <v>57</v>
      </c>
      <c r="G30">
        <v>58</v>
      </c>
      <c r="H30">
        <v>58</v>
      </c>
      <c r="I30">
        <v>58</v>
      </c>
      <c r="J30">
        <v>58</v>
      </c>
      <c r="K30">
        <v>58</v>
      </c>
      <c r="L30">
        <v>58</v>
      </c>
      <c r="M30">
        <v>58</v>
      </c>
      <c r="N30">
        <v>58</v>
      </c>
      <c r="O30">
        <v>58</v>
      </c>
      <c r="P30">
        <v>58</v>
      </c>
      <c r="Q30">
        <v>58</v>
      </c>
      <c r="R30">
        <v>59</v>
      </c>
      <c r="S30">
        <v>60</v>
      </c>
      <c r="T30">
        <v>63</v>
      </c>
      <c r="U30">
        <v>65</v>
      </c>
      <c r="V30">
        <v>68</v>
      </c>
      <c r="W30">
        <v>70</v>
      </c>
      <c r="X30">
        <v>71</v>
      </c>
      <c r="Y30">
        <v>72</v>
      </c>
      <c r="Z30" s="2">
        <f>AVERAGE(Sheet1__5[[#This Row],[00:00:00]:[23:00:00]])</f>
        <v>60.5</v>
      </c>
      <c r="AA30" t="str" cm="1">
        <f t="array" ref="AA3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1" spans="1:27" x14ac:dyDescent="0.3">
      <c r="A31" s="1">
        <v>45807</v>
      </c>
      <c r="B31">
        <v>73</v>
      </c>
      <c r="C31">
        <v>74</v>
      </c>
      <c r="D31">
        <v>74</v>
      </c>
      <c r="E31">
        <v>75</v>
      </c>
      <c r="F31">
        <v>76</v>
      </c>
      <c r="G31">
        <v>76</v>
      </c>
      <c r="H31">
        <v>76</v>
      </c>
      <c r="I31">
        <v>77</v>
      </c>
      <c r="J31">
        <v>76</v>
      </c>
      <c r="K31">
        <v>77</v>
      </c>
      <c r="L31">
        <v>76</v>
      </c>
      <c r="M31">
        <v>76</v>
      </c>
      <c r="N31">
        <v>75</v>
      </c>
      <c r="O31">
        <v>74</v>
      </c>
      <c r="P31">
        <v>74</v>
      </c>
      <c r="Q31">
        <v>73</v>
      </c>
      <c r="R31">
        <v>72</v>
      </c>
      <c r="S31">
        <v>72</v>
      </c>
      <c r="T31">
        <v>72</v>
      </c>
      <c r="U31">
        <v>72</v>
      </c>
      <c r="V31">
        <v>72</v>
      </c>
      <c r="W31">
        <v>72</v>
      </c>
      <c r="X31">
        <v>71</v>
      </c>
      <c r="Y31">
        <v>72</v>
      </c>
      <c r="Z31" s="2">
        <f>AVERAGE(Sheet1__5[[#This Row],[00:00:00]:[23:00:00]])</f>
        <v>74.041666666666671</v>
      </c>
      <c r="AA31" t="str" cm="1">
        <f t="array" ref="AA3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2" spans="1:27" x14ac:dyDescent="0.3">
      <c r="A32" s="1">
        <v>45808</v>
      </c>
      <c r="B32">
        <v>72</v>
      </c>
      <c r="C32">
        <v>72</v>
      </c>
      <c r="D32">
        <v>72</v>
      </c>
      <c r="E32">
        <v>72</v>
      </c>
      <c r="F32">
        <v>72</v>
      </c>
      <c r="G32">
        <v>72</v>
      </c>
      <c r="H32">
        <v>72</v>
      </c>
      <c r="I32">
        <v>72</v>
      </c>
      <c r="J32">
        <v>72</v>
      </c>
      <c r="K32">
        <v>72</v>
      </c>
      <c r="L32">
        <v>72</v>
      </c>
      <c r="M32">
        <v>72</v>
      </c>
      <c r="N32">
        <v>72</v>
      </c>
      <c r="O32">
        <v>72</v>
      </c>
      <c r="P32">
        <v>72</v>
      </c>
      <c r="Q32">
        <v>72</v>
      </c>
      <c r="R32">
        <v>72</v>
      </c>
      <c r="S32">
        <v>72</v>
      </c>
      <c r="T32">
        <v>72</v>
      </c>
      <c r="U32">
        <v>70</v>
      </c>
      <c r="V32">
        <v>70</v>
      </c>
      <c r="W32">
        <v>70</v>
      </c>
      <c r="X32">
        <v>70</v>
      </c>
      <c r="Y32">
        <v>69</v>
      </c>
      <c r="Z32" s="2">
        <f>AVERAGE(Sheet1__5[[#This Row],[00:00:00]:[23:00:00]])</f>
        <v>71.541666666666671</v>
      </c>
      <c r="AA32" t="str" cm="1">
        <f t="array" ref="AA3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3" spans="26:27" x14ac:dyDescent="0.3">
      <c r="Z33" s="2">
        <f>AVERAGE(Sheet1__5[AVERAGE AQI])</f>
        <v>55.747696611476421</v>
      </c>
      <c r="AA33" s="3"/>
    </row>
  </sheetData>
  <conditionalFormatting sqref="AA1:AA1048576">
    <cfRule type="containsText" dxfId="58" priority="2" operator="containsText" text="GOOD">
      <formula>NOT(ISERROR(SEARCH("GOOD",AA1)))</formula>
    </cfRule>
    <cfRule type="containsText" dxfId="59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C8BF-4238-4EF3-BAC7-2028FF2DBE4F}">
  <dimension ref="A1:AA32"/>
  <sheetViews>
    <sheetView topLeftCell="A9" workbookViewId="0">
      <selection activeCell="AB13" sqref="AB1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8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45809</v>
      </c>
      <c r="B2">
        <v>68</v>
      </c>
      <c r="C2">
        <v>68</v>
      </c>
      <c r="D2">
        <v>68</v>
      </c>
      <c r="E2">
        <v>68</v>
      </c>
      <c r="F2">
        <v>67</v>
      </c>
      <c r="G2">
        <v>66</v>
      </c>
      <c r="H2">
        <v>66</v>
      </c>
      <c r="I2">
        <v>64</v>
      </c>
      <c r="J2">
        <v>64</v>
      </c>
      <c r="K2">
        <v>62</v>
      </c>
      <c r="L2">
        <v>62</v>
      </c>
      <c r="M2">
        <v>60</v>
      </c>
      <c r="N2">
        <v>59</v>
      </c>
      <c r="O2">
        <v>58</v>
      </c>
      <c r="P2">
        <v>57</v>
      </c>
      <c r="Q2">
        <v>56</v>
      </c>
      <c r="R2">
        <v>56</v>
      </c>
      <c r="S2">
        <v>55</v>
      </c>
      <c r="T2">
        <v>54</v>
      </c>
      <c r="U2">
        <v>54</v>
      </c>
      <c r="V2">
        <v>54</v>
      </c>
      <c r="W2">
        <v>54</v>
      </c>
      <c r="X2">
        <v>52</v>
      </c>
      <c r="Y2">
        <v>52</v>
      </c>
      <c r="Z2" s="2">
        <f>AVERAGE(Sheet1__6[[#This Row],[00:00:00]:[23:00:00]])</f>
        <v>60.166666666666664</v>
      </c>
      <c r="AA2" t="str" cm="1">
        <f t="array" ref="AA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" spans="1:27" x14ac:dyDescent="0.3">
      <c r="A3" s="1">
        <v>45810</v>
      </c>
      <c r="B3">
        <v>52</v>
      </c>
      <c r="C3">
        <v>51</v>
      </c>
      <c r="D3">
        <v>50</v>
      </c>
      <c r="E3">
        <v>50</v>
      </c>
      <c r="F3">
        <v>50</v>
      </c>
      <c r="G3">
        <v>50</v>
      </c>
      <c r="H3">
        <v>50</v>
      </c>
      <c r="I3">
        <v>52</v>
      </c>
      <c r="J3">
        <v>53</v>
      </c>
      <c r="K3">
        <v>54</v>
      </c>
      <c r="L3">
        <v>55</v>
      </c>
      <c r="M3">
        <v>56</v>
      </c>
      <c r="N3">
        <v>57</v>
      </c>
      <c r="O3">
        <v>58</v>
      </c>
      <c r="P3">
        <v>59</v>
      </c>
      <c r="Q3">
        <v>60</v>
      </c>
      <c r="R3">
        <v>60</v>
      </c>
      <c r="S3">
        <v>60</v>
      </c>
      <c r="T3">
        <v>62</v>
      </c>
      <c r="U3">
        <v>62</v>
      </c>
      <c r="V3">
        <v>63</v>
      </c>
      <c r="W3">
        <v>64</v>
      </c>
      <c r="X3">
        <v>64</v>
      </c>
      <c r="Y3">
        <v>64</v>
      </c>
      <c r="Z3" s="2">
        <f>AVERAGE(Sheet1__6[[#This Row],[00:00:00]:[23:00:00]])</f>
        <v>56.5</v>
      </c>
      <c r="AA3" t="str" cm="1">
        <f t="array" ref="AA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4" spans="1:27" x14ac:dyDescent="0.3">
      <c r="A4" s="1">
        <v>45811</v>
      </c>
      <c r="B4">
        <v>66</v>
      </c>
      <c r="C4">
        <v>66</v>
      </c>
      <c r="D4">
        <v>66</v>
      </c>
      <c r="E4">
        <v>65</v>
      </c>
      <c r="F4">
        <v>66</v>
      </c>
      <c r="G4">
        <v>65</v>
      </c>
      <c r="H4">
        <v>64</v>
      </c>
      <c r="I4">
        <v>63</v>
      </c>
      <c r="J4">
        <v>62</v>
      </c>
      <c r="K4">
        <v>62</v>
      </c>
      <c r="L4">
        <v>62</v>
      </c>
      <c r="M4">
        <v>60</v>
      </c>
      <c r="N4">
        <v>59</v>
      </c>
      <c r="O4">
        <v>58</v>
      </c>
      <c r="P4">
        <v>58</v>
      </c>
      <c r="Q4">
        <v>58</v>
      </c>
      <c r="R4">
        <v>56</v>
      </c>
      <c r="S4">
        <v>56</v>
      </c>
      <c r="W4">
        <v>52</v>
      </c>
      <c r="X4">
        <v>50</v>
      </c>
      <c r="Y4">
        <v>48</v>
      </c>
      <c r="Z4" s="2">
        <f>AVERAGE(Sheet1__6[[#This Row],[00:00:00]:[23:00:00]])</f>
        <v>60.095238095238095</v>
      </c>
      <c r="AA4" t="str" cm="1">
        <f t="array" ref="AA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5" spans="1:27" x14ac:dyDescent="0.3">
      <c r="A5" s="1">
        <v>45812</v>
      </c>
      <c r="B5">
        <v>46</v>
      </c>
      <c r="C5">
        <v>45</v>
      </c>
      <c r="D5">
        <v>44</v>
      </c>
      <c r="E5">
        <v>43</v>
      </c>
      <c r="F5">
        <v>43</v>
      </c>
      <c r="G5">
        <v>42</v>
      </c>
      <c r="H5">
        <v>42</v>
      </c>
      <c r="I5">
        <v>42</v>
      </c>
      <c r="J5">
        <v>41</v>
      </c>
      <c r="K5">
        <v>40</v>
      </c>
      <c r="L5">
        <v>40</v>
      </c>
      <c r="M5">
        <v>39</v>
      </c>
      <c r="N5">
        <v>39</v>
      </c>
      <c r="O5">
        <v>38</v>
      </c>
      <c r="P5">
        <v>36</v>
      </c>
      <c r="Q5">
        <v>34</v>
      </c>
      <c r="R5">
        <v>32</v>
      </c>
      <c r="S5">
        <v>32</v>
      </c>
      <c r="T5">
        <v>32</v>
      </c>
      <c r="U5">
        <v>32</v>
      </c>
      <c r="V5">
        <v>31</v>
      </c>
      <c r="W5">
        <v>31</v>
      </c>
      <c r="X5">
        <v>32</v>
      </c>
      <c r="Y5">
        <v>34</v>
      </c>
      <c r="Z5" s="2">
        <f>AVERAGE(Sheet1__6[[#This Row],[00:00:00]:[23:00:00]])</f>
        <v>37.916666666666664</v>
      </c>
      <c r="AA5" t="str" cm="1">
        <f t="array" ref="AA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6" spans="1:27" x14ac:dyDescent="0.3">
      <c r="A6" s="1">
        <v>45813</v>
      </c>
      <c r="B6">
        <v>36</v>
      </c>
      <c r="C6">
        <v>38</v>
      </c>
      <c r="D6">
        <v>40</v>
      </c>
      <c r="E6">
        <v>42</v>
      </c>
      <c r="G6">
        <v>42</v>
      </c>
      <c r="H6">
        <v>42</v>
      </c>
      <c r="I6">
        <v>40</v>
      </c>
      <c r="J6">
        <v>42</v>
      </c>
      <c r="K6">
        <v>44</v>
      </c>
      <c r="L6">
        <v>45</v>
      </c>
      <c r="M6">
        <v>48</v>
      </c>
      <c r="N6">
        <v>50</v>
      </c>
      <c r="O6">
        <v>52</v>
      </c>
      <c r="Q6">
        <v>59</v>
      </c>
      <c r="R6">
        <v>62</v>
      </c>
      <c r="S6">
        <v>64</v>
      </c>
      <c r="T6">
        <v>66</v>
      </c>
      <c r="U6">
        <v>68</v>
      </c>
      <c r="V6">
        <v>69</v>
      </c>
      <c r="W6">
        <v>70</v>
      </c>
      <c r="X6">
        <v>71</v>
      </c>
      <c r="Y6">
        <v>72</v>
      </c>
      <c r="Z6" s="2">
        <f>AVERAGE(Sheet1__6[[#This Row],[00:00:00]:[23:00:00]])</f>
        <v>52.81818181818182</v>
      </c>
      <c r="AA6" t="str" cm="1">
        <f t="array" ref="AA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7" spans="1:27" x14ac:dyDescent="0.3">
      <c r="A7" s="1">
        <v>45814</v>
      </c>
      <c r="B7">
        <v>72</v>
      </c>
      <c r="C7">
        <v>74</v>
      </c>
      <c r="D7">
        <v>76</v>
      </c>
      <c r="E7">
        <v>76</v>
      </c>
      <c r="F7">
        <v>78</v>
      </c>
      <c r="G7">
        <v>79</v>
      </c>
      <c r="H7">
        <v>80</v>
      </c>
      <c r="I7">
        <v>82</v>
      </c>
      <c r="J7">
        <v>83</v>
      </c>
      <c r="K7">
        <v>84</v>
      </c>
      <c r="L7">
        <v>86</v>
      </c>
      <c r="M7">
        <v>86</v>
      </c>
      <c r="N7">
        <v>88</v>
      </c>
      <c r="O7">
        <v>87</v>
      </c>
      <c r="P7">
        <v>87</v>
      </c>
      <c r="Q7">
        <v>86</v>
      </c>
      <c r="R7">
        <v>86</v>
      </c>
      <c r="S7">
        <v>86</v>
      </c>
      <c r="T7">
        <v>86</v>
      </c>
      <c r="U7">
        <v>84</v>
      </c>
      <c r="V7">
        <v>85</v>
      </c>
      <c r="W7">
        <v>86</v>
      </c>
      <c r="X7">
        <v>85</v>
      </c>
      <c r="Y7">
        <v>84</v>
      </c>
      <c r="Z7" s="2">
        <f>AVERAGE(Sheet1__6[[#This Row],[00:00:00]:[23:00:00]])</f>
        <v>82.75</v>
      </c>
      <c r="AA7" t="str" cm="1">
        <f t="array" ref="AA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8" spans="1:27" x14ac:dyDescent="0.3">
      <c r="A8" s="1">
        <v>45815</v>
      </c>
      <c r="B8">
        <v>84</v>
      </c>
      <c r="C8">
        <v>82</v>
      </c>
      <c r="D8">
        <v>82</v>
      </c>
      <c r="E8">
        <v>80</v>
      </c>
      <c r="F8">
        <v>79</v>
      </c>
      <c r="G8">
        <v>78</v>
      </c>
      <c r="H8">
        <v>77</v>
      </c>
      <c r="I8">
        <v>76</v>
      </c>
      <c r="J8">
        <v>74</v>
      </c>
      <c r="K8">
        <v>73</v>
      </c>
      <c r="L8">
        <v>72</v>
      </c>
      <c r="M8">
        <v>72</v>
      </c>
      <c r="N8">
        <v>70</v>
      </c>
      <c r="O8">
        <v>69</v>
      </c>
      <c r="P8">
        <v>67</v>
      </c>
      <c r="Q8">
        <v>66</v>
      </c>
      <c r="R8">
        <v>64</v>
      </c>
      <c r="S8">
        <v>64</v>
      </c>
      <c r="T8">
        <v>63</v>
      </c>
      <c r="U8">
        <v>62</v>
      </c>
      <c r="V8">
        <v>62</v>
      </c>
      <c r="W8">
        <v>60</v>
      </c>
      <c r="X8">
        <v>60</v>
      </c>
      <c r="Y8">
        <v>60</v>
      </c>
      <c r="Z8" s="2">
        <f>AVERAGE(Sheet1__6[[#This Row],[00:00:00]:[23:00:00]])</f>
        <v>70.666666666666671</v>
      </c>
      <c r="AA8" t="str" cm="1">
        <f t="array" ref="AA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9" spans="1:27" x14ac:dyDescent="0.3">
      <c r="A9" s="1">
        <v>45816</v>
      </c>
      <c r="B9">
        <v>59</v>
      </c>
      <c r="C9">
        <v>58</v>
      </c>
      <c r="D9">
        <v>62</v>
      </c>
      <c r="E9">
        <v>62</v>
      </c>
      <c r="F9">
        <v>64</v>
      </c>
      <c r="G9">
        <v>66</v>
      </c>
      <c r="H9">
        <v>66</v>
      </c>
      <c r="I9">
        <v>64</v>
      </c>
      <c r="J9">
        <v>64</v>
      </c>
      <c r="K9">
        <v>62</v>
      </c>
      <c r="L9">
        <v>60</v>
      </c>
      <c r="M9">
        <v>58</v>
      </c>
      <c r="N9">
        <v>58</v>
      </c>
      <c r="O9">
        <v>58</v>
      </c>
      <c r="P9">
        <v>59</v>
      </c>
      <c r="Q9">
        <v>60</v>
      </c>
      <c r="R9">
        <v>62</v>
      </c>
      <c r="S9">
        <v>62</v>
      </c>
      <c r="U9">
        <v>66</v>
      </c>
      <c r="V9">
        <v>68</v>
      </c>
      <c r="W9">
        <v>70</v>
      </c>
      <c r="X9">
        <v>70</v>
      </c>
      <c r="Y9">
        <v>72</v>
      </c>
      <c r="Z9" s="2">
        <f>AVERAGE(Sheet1__6[[#This Row],[00:00:00]:[23:00:00]])</f>
        <v>63.043478260869563</v>
      </c>
      <c r="AA9" t="str" cm="1">
        <f t="array" ref="AA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0" spans="1:27" x14ac:dyDescent="0.3">
      <c r="A10" s="1">
        <v>45817</v>
      </c>
      <c r="B10">
        <v>73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  <c r="I10">
        <v>74</v>
      </c>
      <c r="J10">
        <v>73</v>
      </c>
      <c r="K10">
        <v>73</v>
      </c>
      <c r="L10">
        <v>73</v>
      </c>
      <c r="M10">
        <v>72</v>
      </c>
      <c r="N10">
        <v>73</v>
      </c>
      <c r="O10">
        <v>73</v>
      </c>
      <c r="P10">
        <v>73</v>
      </c>
      <c r="Q10">
        <v>74</v>
      </c>
      <c r="R10">
        <v>73</v>
      </c>
      <c r="S10">
        <v>73</v>
      </c>
      <c r="T10">
        <v>72</v>
      </c>
      <c r="U10">
        <v>73</v>
      </c>
      <c r="V10">
        <v>73</v>
      </c>
      <c r="W10">
        <v>72</v>
      </c>
      <c r="X10">
        <v>72</v>
      </c>
      <c r="Y10">
        <v>72</v>
      </c>
      <c r="Z10" s="2">
        <f>AVERAGE(Sheet1__6[[#This Row],[00:00:00]:[23:00:00]])</f>
        <v>73.125</v>
      </c>
      <c r="AA10" t="str" cm="1">
        <f t="array" ref="AA1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1" spans="1:27" x14ac:dyDescent="0.3">
      <c r="A11" s="1">
        <v>45818</v>
      </c>
      <c r="B11">
        <v>72</v>
      </c>
      <c r="C11">
        <v>72</v>
      </c>
      <c r="D11">
        <v>72</v>
      </c>
      <c r="E11">
        <v>72</v>
      </c>
      <c r="F11">
        <v>72</v>
      </c>
      <c r="G11">
        <v>71</v>
      </c>
      <c r="H11">
        <v>71</v>
      </c>
      <c r="I11">
        <v>72</v>
      </c>
      <c r="J11">
        <v>72</v>
      </c>
      <c r="K11">
        <v>72</v>
      </c>
      <c r="L11">
        <v>72</v>
      </c>
      <c r="M11">
        <v>72</v>
      </c>
      <c r="N11">
        <v>72</v>
      </c>
      <c r="O11">
        <v>72</v>
      </c>
      <c r="P11">
        <v>72</v>
      </c>
      <c r="Q11">
        <v>71</v>
      </c>
      <c r="R11">
        <v>72</v>
      </c>
      <c r="S11">
        <v>71</v>
      </c>
      <c r="T11">
        <v>70</v>
      </c>
      <c r="U11">
        <v>70</v>
      </c>
      <c r="V11">
        <v>68</v>
      </c>
      <c r="W11">
        <v>67</v>
      </c>
      <c r="X11">
        <v>66</v>
      </c>
      <c r="Y11">
        <v>64</v>
      </c>
      <c r="Z11" s="2">
        <f>AVERAGE(Sheet1__6[[#This Row],[00:00:00]:[23:00:00]])</f>
        <v>70.708333333333329</v>
      </c>
      <c r="AA11" t="str" cm="1">
        <f t="array" ref="AA1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2" spans="1:27" x14ac:dyDescent="0.3">
      <c r="A12" s="1">
        <v>45819</v>
      </c>
      <c r="B12">
        <v>64</v>
      </c>
      <c r="C12">
        <v>63</v>
      </c>
      <c r="D12">
        <v>62</v>
      </c>
      <c r="E12">
        <v>61</v>
      </c>
      <c r="F12">
        <v>60</v>
      </c>
      <c r="G12">
        <v>60</v>
      </c>
      <c r="H12">
        <v>58</v>
      </c>
      <c r="I12">
        <v>58</v>
      </c>
      <c r="J12">
        <v>58</v>
      </c>
      <c r="K12">
        <v>57</v>
      </c>
      <c r="L12">
        <v>57</v>
      </c>
      <c r="M12">
        <v>56</v>
      </c>
      <c r="N12">
        <v>56</v>
      </c>
      <c r="O12">
        <v>54</v>
      </c>
      <c r="P12">
        <v>54</v>
      </c>
      <c r="Q12">
        <v>54</v>
      </c>
      <c r="R12">
        <v>52</v>
      </c>
      <c r="S12">
        <v>51</v>
      </c>
      <c r="T12">
        <v>50</v>
      </c>
      <c r="U12">
        <v>49</v>
      </c>
      <c r="V12">
        <v>48</v>
      </c>
      <c r="W12">
        <v>48</v>
      </c>
      <c r="X12">
        <v>47</v>
      </c>
      <c r="Y12">
        <v>46</v>
      </c>
      <c r="Z12" s="2">
        <f>AVERAGE(Sheet1__6[[#This Row],[00:00:00]:[23:00:00]])</f>
        <v>55.125</v>
      </c>
      <c r="AA12" t="str" cm="1">
        <f t="array" ref="AA1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3" spans="1:27" x14ac:dyDescent="0.3">
      <c r="A13" s="1">
        <v>45820</v>
      </c>
      <c r="B13">
        <v>46</v>
      </c>
      <c r="C13">
        <v>45</v>
      </c>
      <c r="D13">
        <v>44</v>
      </c>
      <c r="E13">
        <v>43</v>
      </c>
      <c r="F13">
        <v>42</v>
      </c>
      <c r="G13">
        <v>42</v>
      </c>
      <c r="H13">
        <v>40</v>
      </c>
      <c r="I13">
        <v>40</v>
      </c>
      <c r="J13">
        <v>40</v>
      </c>
      <c r="K13">
        <v>39</v>
      </c>
      <c r="L13">
        <v>38</v>
      </c>
      <c r="M13">
        <v>37</v>
      </c>
      <c r="N13">
        <v>36</v>
      </c>
      <c r="O13">
        <v>36</v>
      </c>
      <c r="P13">
        <v>34</v>
      </c>
      <c r="Q13">
        <v>34</v>
      </c>
      <c r="R13">
        <v>34</v>
      </c>
      <c r="S13">
        <v>34</v>
      </c>
      <c r="T13">
        <v>34</v>
      </c>
      <c r="U13">
        <v>34</v>
      </c>
      <c r="V13">
        <v>34</v>
      </c>
      <c r="W13">
        <v>33</v>
      </c>
      <c r="X13">
        <v>34</v>
      </c>
      <c r="Y13">
        <v>34</v>
      </c>
      <c r="Z13" s="2">
        <f>AVERAGE(Sheet1__6[[#This Row],[00:00:00]:[23:00:00]])</f>
        <v>37.791666666666664</v>
      </c>
      <c r="AA13" t="str" cm="1">
        <f t="array" ref="AA1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14" spans="1:27" x14ac:dyDescent="0.3">
      <c r="A14" s="1">
        <v>45821</v>
      </c>
      <c r="B14">
        <v>34</v>
      </c>
      <c r="C14">
        <v>34</v>
      </c>
      <c r="D14">
        <v>34</v>
      </c>
      <c r="E14">
        <v>34</v>
      </c>
      <c r="F14">
        <v>34</v>
      </c>
      <c r="G14">
        <v>34</v>
      </c>
      <c r="H14">
        <v>34</v>
      </c>
      <c r="I14">
        <v>34</v>
      </c>
      <c r="J14">
        <v>34</v>
      </c>
      <c r="K14">
        <v>32</v>
      </c>
      <c r="L14">
        <v>32</v>
      </c>
      <c r="M14">
        <v>32</v>
      </c>
      <c r="N14">
        <v>32</v>
      </c>
      <c r="O14">
        <v>32</v>
      </c>
      <c r="P14">
        <v>33</v>
      </c>
      <c r="Q14">
        <v>33</v>
      </c>
      <c r="R14">
        <v>34</v>
      </c>
      <c r="S14">
        <v>34</v>
      </c>
      <c r="T14">
        <v>34</v>
      </c>
      <c r="U14">
        <v>35</v>
      </c>
      <c r="V14">
        <v>36</v>
      </c>
      <c r="W14">
        <v>37</v>
      </c>
      <c r="X14">
        <v>38</v>
      </c>
      <c r="Y14">
        <v>39</v>
      </c>
      <c r="Z14" s="2">
        <f>AVERAGE(Sheet1__6[[#This Row],[00:00:00]:[23:00:00]])</f>
        <v>34.125</v>
      </c>
      <c r="AA14" t="str" cm="1">
        <f t="array" ref="AA1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15" spans="1:27" x14ac:dyDescent="0.3">
      <c r="A15" s="1">
        <v>45822</v>
      </c>
      <c r="B15">
        <v>40</v>
      </c>
      <c r="C15">
        <v>40</v>
      </c>
      <c r="D15">
        <v>42</v>
      </c>
      <c r="E15">
        <v>44</v>
      </c>
      <c r="F15">
        <v>44</v>
      </c>
      <c r="G15">
        <v>46</v>
      </c>
      <c r="H15">
        <v>47</v>
      </c>
      <c r="I15">
        <v>47</v>
      </c>
      <c r="J15">
        <v>48</v>
      </c>
      <c r="K15">
        <v>49</v>
      </c>
      <c r="L15">
        <v>50</v>
      </c>
      <c r="M15">
        <v>52</v>
      </c>
      <c r="N15">
        <v>53</v>
      </c>
      <c r="O15">
        <v>54</v>
      </c>
      <c r="P15">
        <v>54</v>
      </c>
      <c r="Q15">
        <v>56</v>
      </c>
      <c r="R15">
        <v>57</v>
      </c>
      <c r="S15">
        <v>57</v>
      </c>
      <c r="T15">
        <v>62</v>
      </c>
      <c r="U15">
        <v>62</v>
      </c>
      <c r="V15">
        <v>62</v>
      </c>
      <c r="W15">
        <v>60</v>
      </c>
      <c r="X15">
        <v>60</v>
      </c>
      <c r="Y15">
        <v>58</v>
      </c>
      <c r="Z15" s="2">
        <f>AVERAGE(Sheet1__6[[#This Row],[00:00:00]:[23:00:00]])</f>
        <v>51.833333333333336</v>
      </c>
      <c r="AA15" t="str" cm="1">
        <f t="array" ref="AA1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6" spans="1:27" x14ac:dyDescent="0.3">
      <c r="A16" s="1">
        <v>45823</v>
      </c>
      <c r="B16">
        <v>57</v>
      </c>
      <c r="C16">
        <v>56</v>
      </c>
      <c r="D16">
        <v>56</v>
      </c>
      <c r="E16">
        <v>56</v>
      </c>
      <c r="F16">
        <v>54</v>
      </c>
      <c r="G16">
        <v>53</v>
      </c>
      <c r="H16">
        <v>52</v>
      </c>
      <c r="I16">
        <v>51</v>
      </c>
      <c r="J16">
        <v>50</v>
      </c>
      <c r="K16">
        <v>50</v>
      </c>
      <c r="L16">
        <v>48</v>
      </c>
      <c r="M16">
        <v>48</v>
      </c>
      <c r="N16">
        <v>46</v>
      </c>
      <c r="O16">
        <v>47</v>
      </c>
      <c r="P16">
        <v>48</v>
      </c>
      <c r="Q16">
        <v>47</v>
      </c>
      <c r="R16">
        <v>46</v>
      </c>
      <c r="S16">
        <v>46</v>
      </c>
      <c r="T16">
        <v>40</v>
      </c>
      <c r="U16">
        <v>38</v>
      </c>
      <c r="V16">
        <v>37</v>
      </c>
      <c r="W16">
        <v>36</v>
      </c>
      <c r="X16">
        <v>34</v>
      </c>
      <c r="Y16">
        <v>32</v>
      </c>
      <c r="Z16" s="2">
        <f>AVERAGE(Sheet1__6[[#This Row],[00:00:00]:[23:00:00]])</f>
        <v>47</v>
      </c>
      <c r="AA16" t="str" cm="1">
        <f t="array" ref="AA1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17" spans="1:27" x14ac:dyDescent="0.3">
      <c r="A17" s="1">
        <v>45824</v>
      </c>
      <c r="B17">
        <v>32</v>
      </c>
      <c r="C17">
        <v>31</v>
      </c>
      <c r="D17">
        <v>31</v>
      </c>
      <c r="E17">
        <v>30</v>
      </c>
      <c r="F17">
        <v>30</v>
      </c>
      <c r="I17">
        <v>29</v>
      </c>
      <c r="J17">
        <v>28</v>
      </c>
      <c r="K17">
        <v>28</v>
      </c>
      <c r="L17">
        <v>28</v>
      </c>
      <c r="M17">
        <v>28</v>
      </c>
      <c r="N17">
        <v>28</v>
      </c>
      <c r="O17">
        <v>30</v>
      </c>
      <c r="P17">
        <v>28</v>
      </c>
      <c r="Q17">
        <v>28</v>
      </c>
      <c r="R17">
        <v>27</v>
      </c>
      <c r="S17">
        <v>26</v>
      </c>
      <c r="U17">
        <v>26</v>
      </c>
      <c r="V17">
        <v>28</v>
      </c>
      <c r="W17">
        <v>28</v>
      </c>
      <c r="X17">
        <v>30</v>
      </c>
      <c r="Y17">
        <v>32</v>
      </c>
      <c r="Z17" s="2">
        <f>AVERAGE(Sheet1__6[[#This Row],[00:00:00]:[23:00:00]])</f>
        <v>28.857142857142858</v>
      </c>
      <c r="AA17" t="str" cm="1">
        <f t="array" ref="AA1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18" spans="1:27" x14ac:dyDescent="0.3">
      <c r="A18" s="1">
        <v>45825</v>
      </c>
      <c r="B18">
        <v>34</v>
      </c>
      <c r="C18">
        <v>34</v>
      </c>
      <c r="D18">
        <v>34</v>
      </c>
      <c r="E18">
        <v>34</v>
      </c>
      <c r="F18">
        <v>34</v>
      </c>
      <c r="G18">
        <v>34</v>
      </c>
      <c r="H18">
        <v>33</v>
      </c>
      <c r="I18">
        <v>34</v>
      </c>
      <c r="J18">
        <v>34</v>
      </c>
      <c r="K18">
        <v>34</v>
      </c>
      <c r="L18">
        <v>34</v>
      </c>
      <c r="M18">
        <v>35</v>
      </c>
      <c r="N18">
        <v>37</v>
      </c>
      <c r="O18">
        <v>38</v>
      </c>
      <c r="P18">
        <v>41</v>
      </c>
      <c r="Q18">
        <v>44</v>
      </c>
      <c r="R18">
        <v>46</v>
      </c>
      <c r="S18">
        <v>48</v>
      </c>
      <c r="T18">
        <v>51</v>
      </c>
      <c r="U18">
        <v>54</v>
      </c>
      <c r="V18">
        <v>55</v>
      </c>
      <c r="W18">
        <v>58</v>
      </c>
      <c r="X18">
        <v>60</v>
      </c>
      <c r="Y18">
        <v>61</v>
      </c>
      <c r="Z18" s="2">
        <f>AVERAGE(Sheet1__6[[#This Row],[00:00:00]:[23:00:00]])</f>
        <v>41.708333333333336</v>
      </c>
      <c r="AA18" t="str" cm="1">
        <f t="array" ref="AA1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19" spans="1:27" x14ac:dyDescent="0.3">
      <c r="A19" s="1">
        <v>45826</v>
      </c>
      <c r="B19">
        <v>62</v>
      </c>
      <c r="C19">
        <v>63</v>
      </c>
      <c r="D19">
        <v>63</v>
      </c>
      <c r="E19">
        <v>64</v>
      </c>
      <c r="F19">
        <v>64</v>
      </c>
      <c r="G19">
        <v>63</v>
      </c>
      <c r="H19">
        <v>63</v>
      </c>
      <c r="I19">
        <v>62</v>
      </c>
      <c r="J19">
        <v>61</v>
      </c>
      <c r="K19">
        <v>60</v>
      </c>
      <c r="L19">
        <v>59</v>
      </c>
      <c r="M19">
        <v>58</v>
      </c>
      <c r="N19">
        <v>56</v>
      </c>
      <c r="O19">
        <v>55</v>
      </c>
      <c r="P19">
        <v>52</v>
      </c>
      <c r="Q19">
        <v>49</v>
      </c>
      <c r="R19">
        <v>48</v>
      </c>
      <c r="S19">
        <v>47</v>
      </c>
      <c r="T19">
        <v>46</v>
      </c>
      <c r="U19">
        <v>45</v>
      </c>
      <c r="V19">
        <v>44</v>
      </c>
      <c r="W19">
        <v>43</v>
      </c>
      <c r="X19">
        <v>42</v>
      </c>
      <c r="Y19">
        <v>42</v>
      </c>
      <c r="Z19" s="2">
        <f>AVERAGE(Sheet1__6[[#This Row],[00:00:00]:[23:00:00]])</f>
        <v>54.625</v>
      </c>
      <c r="AA19" t="str" cm="1">
        <f t="array" ref="AA1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0" spans="1:27" x14ac:dyDescent="0.3">
      <c r="A20" s="1">
        <v>45827</v>
      </c>
      <c r="B20">
        <v>41</v>
      </c>
      <c r="C20">
        <v>41</v>
      </c>
      <c r="D20">
        <v>40</v>
      </c>
      <c r="E20">
        <v>40</v>
      </c>
      <c r="F20">
        <v>40</v>
      </c>
      <c r="G20">
        <v>40</v>
      </c>
      <c r="H20">
        <v>39</v>
      </c>
      <c r="I20">
        <v>38</v>
      </c>
      <c r="J20">
        <v>38</v>
      </c>
      <c r="K20">
        <v>38</v>
      </c>
      <c r="L20">
        <v>38</v>
      </c>
      <c r="M20">
        <v>38</v>
      </c>
      <c r="N20">
        <v>38</v>
      </c>
      <c r="O20">
        <v>39</v>
      </c>
      <c r="P20">
        <v>40</v>
      </c>
      <c r="Q20">
        <v>40</v>
      </c>
      <c r="R20">
        <v>40</v>
      </c>
      <c r="S20">
        <v>40</v>
      </c>
      <c r="T20">
        <v>40</v>
      </c>
      <c r="U20">
        <v>40</v>
      </c>
      <c r="V20">
        <v>42</v>
      </c>
      <c r="W20">
        <v>42</v>
      </c>
      <c r="X20">
        <v>42</v>
      </c>
      <c r="Y20">
        <v>43</v>
      </c>
      <c r="Z20" s="2">
        <f>AVERAGE(Sheet1__6[[#This Row],[00:00:00]:[23:00:00]])</f>
        <v>39.875</v>
      </c>
      <c r="AA20" t="str" cm="1">
        <f t="array" ref="AA2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1" spans="1:27" x14ac:dyDescent="0.3">
      <c r="A21" s="1">
        <v>45828</v>
      </c>
      <c r="B21">
        <v>43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I21">
        <v>44</v>
      </c>
      <c r="J21">
        <v>44</v>
      </c>
      <c r="K21">
        <v>45</v>
      </c>
      <c r="L21">
        <v>46</v>
      </c>
      <c r="M21">
        <v>46</v>
      </c>
      <c r="N21">
        <v>47</v>
      </c>
      <c r="O21">
        <v>47</v>
      </c>
      <c r="P21">
        <v>47</v>
      </c>
      <c r="Q21">
        <v>48</v>
      </c>
      <c r="R21">
        <v>48</v>
      </c>
      <c r="S21">
        <v>49</v>
      </c>
      <c r="T21">
        <v>49</v>
      </c>
      <c r="U21">
        <v>50</v>
      </c>
      <c r="V21">
        <v>50</v>
      </c>
      <c r="W21">
        <v>49</v>
      </c>
      <c r="X21">
        <v>49</v>
      </c>
      <c r="Y21">
        <v>49</v>
      </c>
      <c r="Z21" s="2">
        <f>AVERAGE(Sheet1__6[[#This Row],[00:00:00]:[23:00:00]])</f>
        <v>46.416666666666664</v>
      </c>
      <c r="AA21" t="str" cm="1">
        <f t="array" ref="AA2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2" spans="1:27" x14ac:dyDescent="0.3">
      <c r="A22" s="1">
        <v>45829</v>
      </c>
      <c r="B22">
        <v>49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  <c r="I22">
        <v>52</v>
      </c>
      <c r="J22">
        <v>51</v>
      </c>
      <c r="K22">
        <v>51</v>
      </c>
      <c r="L22">
        <v>51</v>
      </c>
      <c r="P22">
        <v>52</v>
      </c>
      <c r="Q22">
        <v>52</v>
      </c>
      <c r="R22">
        <v>52</v>
      </c>
      <c r="S22">
        <v>52</v>
      </c>
      <c r="T22">
        <v>54</v>
      </c>
      <c r="U22">
        <v>54</v>
      </c>
      <c r="V22">
        <v>56</v>
      </c>
      <c r="W22">
        <v>56</v>
      </c>
      <c r="X22">
        <v>56</v>
      </c>
      <c r="Y22">
        <v>56</v>
      </c>
      <c r="Z22" s="2">
        <f>AVERAGE(Sheet1__6[[#This Row],[00:00:00]:[23:00:00]])</f>
        <v>52.095238095238095</v>
      </c>
      <c r="AA22" t="str" cm="1">
        <f t="array" ref="AA2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3" spans="1:27" x14ac:dyDescent="0.3">
      <c r="A23" s="1">
        <v>45830</v>
      </c>
      <c r="B23">
        <v>56</v>
      </c>
      <c r="C23">
        <v>56</v>
      </c>
      <c r="D23">
        <v>56</v>
      </c>
      <c r="E23">
        <v>56</v>
      </c>
      <c r="F23">
        <v>56</v>
      </c>
      <c r="G23">
        <v>55</v>
      </c>
      <c r="H23">
        <v>55</v>
      </c>
      <c r="J23">
        <v>54</v>
      </c>
      <c r="K23">
        <v>54</v>
      </c>
      <c r="L23">
        <v>54</v>
      </c>
      <c r="M23">
        <v>54</v>
      </c>
      <c r="N23">
        <v>54</v>
      </c>
      <c r="O23">
        <v>54</v>
      </c>
      <c r="P23">
        <v>54</v>
      </c>
      <c r="Q23">
        <v>53</v>
      </c>
      <c r="R23">
        <v>53</v>
      </c>
      <c r="S23">
        <v>53</v>
      </c>
      <c r="T23">
        <v>52</v>
      </c>
      <c r="U23">
        <v>51</v>
      </c>
      <c r="V23">
        <v>50</v>
      </c>
      <c r="W23">
        <v>50</v>
      </c>
      <c r="X23">
        <v>50</v>
      </c>
      <c r="Y23">
        <v>50</v>
      </c>
      <c r="Z23" s="2">
        <f>AVERAGE(Sheet1__6[[#This Row],[00:00:00]:[23:00:00]])</f>
        <v>53.478260869565219</v>
      </c>
      <c r="AA23" t="str" cm="1">
        <f t="array" ref="AA2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4" spans="1:27" x14ac:dyDescent="0.3">
      <c r="A24" s="1">
        <v>45831</v>
      </c>
      <c r="B24">
        <v>50</v>
      </c>
      <c r="C24">
        <v>50</v>
      </c>
      <c r="D24">
        <v>51</v>
      </c>
      <c r="E24">
        <v>51</v>
      </c>
      <c r="F24">
        <v>51</v>
      </c>
      <c r="G24">
        <v>52</v>
      </c>
      <c r="H24">
        <v>52</v>
      </c>
      <c r="I24">
        <v>52</v>
      </c>
      <c r="J24">
        <v>52</v>
      </c>
      <c r="K24">
        <v>52</v>
      </c>
      <c r="L24">
        <v>52</v>
      </c>
      <c r="M24">
        <v>53</v>
      </c>
      <c r="N24">
        <v>54</v>
      </c>
      <c r="O24">
        <v>54</v>
      </c>
      <c r="P24">
        <v>54</v>
      </c>
      <c r="Q24">
        <v>54</v>
      </c>
      <c r="R24">
        <v>54</v>
      </c>
      <c r="S24">
        <v>55</v>
      </c>
      <c r="T24">
        <v>55</v>
      </c>
      <c r="U24">
        <v>56</v>
      </c>
      <c r="V24">
        <v>56</v>
      </c>
      <c r="W24">
        <v>56</v>
      </c>
      <c r="X24">
        <v>56</v>
      </c>
      <c r="Y24">
        <v>56</v>
      </c>
      <c r="Z24" s="2">
        <f>AVERAGE(Sheet1__6[[#This Row],[00:00:00]:[23:00:00]])</f>
        <v>53.25</v>
      </c>
      <c r="AA24" t="str" cm="1">
        <f t="array" ref="AA2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5" spans="1:27" x14ac:dyDescent="0.3">
      <c r="A25" s="1">
        <v>45832</v>
      </c>
      <c r="B25">
        <v>55</v>
      </c>
      <c r="C25">
        <v>54</v>
      </c>
      <c r="D25">
        <v>53</v>
      </c>
      <c r="E25">
        <v>53</v>
      </c>
      <c r="F25">
        <v>52</v>
      </c>
      <c r="G25">
        <v>50</v>
      </c>
      <c r="H25">
        <v>50</v>
      </c>
      <c r="I25">
        <v>50</v>
      </c>
      <c r="J25">
        <v>50</v>
      </c>
      <c r="K25">
        <v>50</v>
      </c>
      <c r="L25">
        <v>50</v>
      </c>
      <c r="M25">
        <v>49</v>
      </c>
      <c r="N25">
        <v>49</v>
      </c>
      <c r="O25">
        <v>50</v>
      </c>
      <c r="P25">
        <v>50</v>
      </c>
      <c r="Q25">
        <v>49</v>
      </c>
      <c r="R25">
        <v>50</v>
      </c>
      <c r="S25">
        <v>50</v>
      </c>
      <c r="T25">
        <v>50</v>
      </c>
      <c r="U25">
        <v>50</v>
      </c>
      <c r="V25">
        <v>50</v>
      </c>
      <c r="W25">
        <v>50</v>
      </c>
      <c r="X25">
        <v>51</v>
      </c>
      <c r="Y25">
        <v>52</v>
      </c>
      <c r="Z25" s="2">
        <f>AVERAGE(Sheet1__6[[#This Row],[00:00:00]:[23:00:00]])</f>
        <v>50.708333333333336</v>
      </c>
      <c r="AA25" t="str" cm="1">
        <f t="array" ref="AA2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6" spans="1:27" x14ac:dyDescent="0.3">
      <c r="A26" s="1">
        <v>45833</v>
      </c>
      <c r="B26">
        <v>52</v>
      </c>
      <c r="C26">
        <v>54</v>
      </c>
      <c r="D26">
        <v>54</v>
      </c>
      <c r="E26">
        <v>55</v>
      </c>
      <c r="F26">
        <v>56</v>
      </c>
      <c r="G26">
        <v>57</v>
      </c>
      <c r="H26">
        <v>57</v>
      </c>
      <c r="I26">
        <v>58</v>
      </c>
      <c r="J26">
        <v>58</v>
      </c>
      <c r="K26">
        <v>58</v>
      </c>
      <c r="L26">
        <v>58</v>
      </c>
      <c r="M26">
        <v>58</v>
      </c>
      <c r="N26">
        <v>58</v>
      </c>
      <c r="O26">
        <v>58</v>
      </c>
      <c r="P26">
        <v>58</v>
      </c>
      <c r="Q26">
        <v>58</v>
      </c>
      <c r="R26">
        <v>58</v>
      </c>
      <c r="S26">
        <v>58</v>
      </c>
      <c r="T26">
        <v>58</v>
      </c>
      <c r="U26">
        <v>58</v>
      </c>
      <c r="V26">
        <v>58</v>
      </c>
      <c r="W26">
        <v>58</v>
      </c>
      <c r="X26">
        <v>58</v>
      </c>
      <c r="Y26">
        <v>58</v>
      </c>
      <c r="Z26" s="2">
        <f>AVERAGE(Sheet1__6[[#This Row],[00:00:00]:[23:00:00]])</f>
        <v>57.125</v>
      </c>
      <c r="AA26" t="str" cm="1">
        <f t="array" ref="AA2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7" spans="1:27" x14ac:dyDescent="0.3">
      <c r="A27" s="1">
        <v>45834</v>
      </c>
      <c r="B27">
        <v>57</v>
      </c>
      <c r="C27">
        <v>57</v>
      </c>
      <c r="D27">
        <v>56</v>
      </c>
      <c r="E27">
        <v>57</v>
      </c>
      <c r="F27">
        <v>56</v>
      </c>
      <c r="G27">
        <v>58</v>
      </c>
      <c r="H27">
        <v>58</v>
      </c>
      <c r="I27">
        <v>57</v>
      </c>
      <c r="J27">
        <v>57</v>
      </c>
      <c r="K27">
        <v>57</v>
      </c>
      <c r="L27">
        <v>57</v>
      </c>
      <c r="M27">
        <v>57</v>
      </c>
      <c r="N27">
        <v>57</v>
      </c>
      <c r="O27">
        <v>58</v>
      </c>
      <c r="P27">
        <v>58</v>
      </c>
      <c r="Q27">
        <v>57</v>
      </c>
      <c r="R27">
        <v>56</v>
      </c>
      <c r="S27">
        <v>56</v>
      </c>
      <c r="U27">
        <v>56</v>
      </c>
      <c r="V27">
        <v>55</v>
      </c>
      <c r="W27">
        <v>54</v>
      </c>
      <c r="X27">
        <v>54</v>
      </c>
      <c r="Y27">
        <v>55</v>
      </c>
      <c r="Z27" s="2">
        <f>AVERAGE(Sheet1__6[[#This Row],[00:00:00]:[23:00:00]])</f>
        <v>56.521739130434781</v>
      </c>
      <c r="AA27" t="str" cm="1">
        <f t="array" ref="AA2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8" spans="1:27" x14ac:dyDescent="0.3">
      <c r="A28" s="1">
        <v>45835</v>
      </c>
      <c r="B28">
        <v>56</v>
      </c>
      <c r="C28">
        <v>56</v>
      </c>
      <c r="D28">
        <v>56</v>
      </c>
      <c r="E28">
        <v>56</v>
      </c>
      <c r="F28">
        <v>56</v>
      </c>
      <c r="G28">
        <v>56</v>
      </c>
      <c r="H28">
        <v>56</v>
      </c>
      <c r="I28">
        <v>56</v>
      </c>
      <c r="J28">
        <v>56</v>
      </c>
      <c r="K28">
        <v>56</v>
      </c>
      <c r="L28">
        <v>57</v>
      </c>
      <c r="M28">
        <v>57</v>
      </c>
      <c r="N28">
        <v>78</v>
      </c>
      <c r="O28">
        <v>79</v>
      </c>
      <c r="P28">
        <v>79</v>
      </c>
      <c r="Q28">
        <v>79</v>
      </c>
      <c r="R28">
        <v>79</v>
      </c>
      <c r="S28">
        <v>79</v>
      </c>
      <c r="T28">
        <v>79</v>
      </c>
      <c r="U28">
        <v>79</v>
      </c>
      <c r="V28">
        <v>79</v>
      </c>
      <c r="W28">
        <v>79</v>
      </c>
      <c r="X28">
        <v>79</v>
      </c>
      <c r="Y28">
        <v>79</v>
      </c>
      <c r="Z28" s="2">
        <f>AVERAGE(Sheet1__6[[#This Row],[00:00:00]:[23:00:00]])</f>
        <v>67.541666666666671</v>
      </c>
      <c r="AA28" t="str" cm="1">
        <f t="array" ref="AA2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9" spans="1:27" x14ac:dyDescent="0.3">
      <c r="A29" s="1">
        <v>45836</v>
      </c>
      <c r="B29">
        <v>78</v>
      </c>
      <c r="C29">
        <v>79</v>
      </c>
      <c r="D29">
        <v>79</v>
      </c>
      <c r="E29">
        <v>80</v>
      </c>
      <c r="F29">
        <v>80</v>
      </c>
      <c r="G29">
        <v>60</v>
      </c>
      <c r="H29">
        <v>62</v>
      </c>
      <c r="I29">
        <v>63</v>
      </c>
      <c r="J29">
        <v>63</v>
      </c>
      <c r="K29">
        <v>64</v>
      </c>
      <c r="L29">
        <v>64</v>
      </c>
      <c r="M29">
        <v>65</v>
      </c>
      <c r="N29">
        <v>65</v>
      </c>
      <c r="O29">
        <v>64</v>
      </c>
      <c r="P29">
        <v>66</v>
      </c>
      <c r="Q29">
        <v>66</v>
      </c>
      <c r="R29">
        <v>67</v>
      </c>
      <c r="S29">
        <v>67</v>
      </c>
      <c r="T29">
        <v>68</v>
      </c>
      <c r="U29">
        <v>68</v>
      </c>
      <c r="V29">
        <v>68</v>
      </c>
      <c r="W29">
        <v>68</v>
      </c>
      <c r="X29">
        <v>68</v>
      </c>
      <c r="Y29">
        <v>68</v>
      </c>
      <c r="Z29" s="2">
        <f>AVERAGE(Sheet1__6[[#This Row],[00:00:00]:[23:00:00]])</f>
        <v>68.333333333333329</v>
      </c>
      <c r="AA29" t="str" cm="1">
        <f t="array" ref="AA2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0" spans="1:27" x14ac:dyDescent="0.3">
      <c r="A30" s="1">
        <v>45837</v>
      </c>
      <c r="B30">
        <v>67</v>
      </c>
      <c r="C30">
        <v>67</v>
      </c>
      <c r="D30">
        <v>66</v>
      </c>
      <c r="E30">
        <v>66</v>
      </c>
      <c r="F30">
        <v>66</v>
      </c>
      <c r="G30">
        <v>65</v>
      </c>
      <c r="H30">
        <v>64</v>
      </c>
      <c r="I30">
        <v>64</v>
      </c>
      <c r="J30">
        <v>63</v>
      </c>
      <c r="K30">
        <v>63</v>
      </c>
      <c r="L30">
        <v>62</v>
      </c>
      <c r="M30">
        <v>62</v>
      </c>
      <c r="N30">
        <v>62</v>
      </c>
      <c r="O30">
        <v>61</v>
      </c>
      <c r="P30">
        <v>60</v>
      </c>
      <c r="Q30">
        <v>60</v>
      </c>
      <c r="R30">
        <v>59</v>
      </c>
      <c r="S30">
        <v>59</v>
      </c>
      <c r="T30">
        <v>58</v>
      </c>
      <c r="U30">
        <v>58</v>
      </c>
      <c r="V30">
        <v>56</v>
      </c>
      <c r="W30">
        <v>56</v>
      </c>
      <c r="X30">
        <v>55</v>
      </c>
      <c r="Y30">
        <v>55</v>
      </c>
      <c r="Z30" s="2">
        <f>AVERAGE(Sheet1__6[[#This Row],[00:00:00]:[23:00:00]])</f>
        <v>61.416666666666664</v>
      </c>
      <c r="AA30" t="str" cm="1">
        <f t="array" ref="AA3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1" spans="1:27" x14ac:dyDescent="0.3">
      <c r="A31" s="1">
        <v>45838</v>
      </c>
      <c r="B31">
        <v>55</v>
      </c>
      <c r="C31">
        <v>55</v>
      </c>
      <c r="D31">
        <v>54</v>
      </c>
      <c r="E31">
        <v>54</v>
      </c>
      <c r="F31">
        <v>54</v>
      </c>
      <c r="G31">
        <v>54</v>
      </c>
      <c r="H31">
        <v>54</v>
      </c>
      <c r="I31">
        <v>53</v>
      </c>
      <c r="J31">
        <v>53</v>
      </c>
      <c r="K31">
        <v>53</v>
      </c>
      <c r="L31">
        <v>53</v>
      </c>
      <c r="M31">
        <v>53</v>
      </c>
      <c r="N31">
        <v>53</v>
      </c>
      <c r="Q31">
        <v>53</v>
      </c>
      <c r="R31">
        <v>54</v>
      </c>
      <c r="S31">
        <v>53</v>
      </c>
      <c r="T31">
        <v>53</v>
      </c>
      <c r="V31">
        <v>53</v>
      </c>
      <c r="W31">
        <v>53</v>
      </c>
      <c r="X31">
        <v>54</v>
      </c>
      <c r="Y31">
        <v>54</v>
      </c>
      <c r="Z31" s="2">
        <f>AVERAGE(Sheet1__6[[#This Row],[00:00:00]:[23:00:00]])</f>
        <v>53.571428571428569</v>
      </c>
      <c r="AA31" t="str" cm="1">
        <f t="array" ref="AA3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2" spans="1:27" x14ac:dyDescent="0.3">
      <c r="Z32" s="2">
        <f>SUBTOTAL(101,Sheet1__6[AVERAGE AQI])</f>
        <v>54.639634701047754</v>
      </c>
      <c r="AA32" s="3"/>
    </row>
  </sheetData>
  <conditionalFormatting sqref="AA1:AA1048576">
    <cfRule type="containsText" dxfId="50" priority="2" operator="containsText" text="GOOD">
      <formula>NOT(ISERROR(SEARCH("GOOD",AA1)))</formula>
    </cfRule>
    <cfRule type="containsText" dxfId="51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C782-ED9E-4617-997A-3D0F680FE998}">
  <dimension ref="A1:AA33"/>
  <sheetViews>
    <sheetView topLeftCell="A13" workbookViewId="0">
      <selection activeCell="AC6" sqref="AC6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7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45839</v>
      </c>
      <c r="B2">
        <v>54</v>
      </c>
      <c r="C2">
        <v>54</v>
      </c>
      <c r="D2">
        <v>54</v>
      </c>
      <c r="E2">
        <v>55</v>
      </c>
      <c r="F2">
        <v>55</v>
      </c>
      <c r="G2">
        <v>56</v>
      </c>
      <c r="H2">
        <v>56</v>
      </c>
      <c r="I2">
        <v>56</v>
      </c>
      <c r="J2">
        <v>56</v>
      </c>
      <c r="K2">
        <v>56</v>
      </c>
      <c r="L2">
        <v>56</v>
      </c>
      <c r="M2">
        <v>56</v>
      </c>
      <c r="O2">
        <v>57</v>
      </c>
      <c r="P2">
        <v>58</v>
      </c>
      <c r="Q2">
        <v>58</v>
      </c>
      <c r="R2">
        <v>58</v>
      </c>
      <c r="S2">
        <v>59</v>
      </c>
      <c r="T2">
        <v>59</v>
      </c>
      <c r="U2">
        <v>60</v>
      </c>
      <c r="V2">
        <v>59</v>
      </c>
      <c r="W2">
        <v>60</v>
      </c>
      <c r="X2">
        <v>60</v>
      </c>
      <c r="Y2">
        <v>60</v>
      </c>
      <c r="Z2" s="2">
        <f>AVERAGE(Sheet1__7[[#This Row],[00:00:00]:[23:00:00]])</f>
        <v>57.043478260869563</v>
      </c>
      <c r="AA2" t="str" cm="1">
        <f t="array" ref="AA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3" spans="1:27" x14ac:dyDescent="0.3">
      <c r="A3" s="1">
        <v>45840</v>
      </c>
      <c r="B3">
        <v>61</v>
      </c>
      <c r="C3">
        <v>61</v>
      </c>
      <c r="D3">
        <v>61</v>
      </c>
      <c r="E3">
        <v>61</v>
      </c>
      <c r="F3">
        <v>61</v>
      </c>
      <c r="G3">
        <v>60</v>
      </c>
      <c r="H3">
        <v>60</v>
      </c>
      <c r="I3">
        <v>61</v>
      </c>
      <c r="J3">
        <v>62</v>
      </c>
      <c r="K3">
        <v>63</v>
      </c>
      <c r="L3">
        <v>64</v>
      </c>
      <c r="M3">
        <v>64</v>
      </c>
      <c r="N3">
        <v>64</v>
      </c>
      <c r="O3">
        <v>63</v>
      </c>
      <c r="P3">
        <v>62</v>
      </c>
      <c r="Q3">
        <v>61</v>
      </c>
      <c r="R3">
        <v>60</v>
      </c>
      <c r="S3">
        <v>58</v>
      </c>
      <c r="T3">
        <v>58</v>
      </c>
      <c r="U3">
        <v>58</v>
      </c>
      <c r="V3">
        <v>57</v>
      </c>
      <c r="W3">
        <v>56</v>
      </c>
      <c r="X3">
        <v>55</v>
      </c>
      <c r="Y3">
        <v>54</v>
      </c>
      <c r="Z3" s="2">
        <f>AVERAGE(Sheet1__7[[#This Row],[00:00:00]:[23:00:00]])</f>
        <v>60.208333333333336</v>
      </c>
      <c r="AA3" t="str" cm="1">
        <f t="array" ref="AA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4" spans="1:27" x14ac:dyDescent="0.3">
      <c r="A4" s="1">
        <v>45841</v>
      </c>
      <c r="B4">
        <v>54</v>
      </c>
      <c r="C4">
        <v>52</v>
      </c>
      <c r="D4">
        <v>52</v>
      </c>
      <c r="E4">
        <v>51</v>
      </c>
      <c r="F4">
        <v>51</v>
      </c>
      <c r="G4">
        <v>50</v>
      </c>
      <c r="H4">
        <v>50</v>
      </c>
      <c r="I4">
        <v>48</v>
      </c>
      <c r="J4">
        <v>48</v>
      </c>
      <c r="K4">
        <v>47</v>
      </c>
      <c r="L4">
        <v>46</v>
      </c>
      <c r="M4">
        <v>46</v>
      </c>
      <c r="N4">
        <v>46</v>
      </c>
      <c r="O4">
        <v>46</v>
      </c>
      <c r="P4">
        <v>48</v>
      </c>
      <c r="Q4">
        <v>48</v>
      </c>
      <c r="R4">
        <v>48</v>
      </c>
      <c r="S4">
        <v>49</v>
      </c>
      <c r="T4">
        <v>50</v>
      </c>
      <c r="U4">
        <v>50</v>
      </c>
      <c r="V4">
        <v>51</v>
      </c>
      <c r="W4">
        <v>51</v>
      </c>
      <c r="X4">
        <v>52</v>
      </c>
      <c r="Y4">
        <v>52</v>
      </c>
      <c r="Z4" s="2">
        <f>AVERAGE(Sheet1__7[[#This Row],[00:00:00]:[23:00:00]])</f>
        <v>49.416666666666664</v>
      </c>
      <c r="AA4" t="str" cm="1">
        <f t="array" ref="AA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5" spans="1:27" x14ac:dyDescent="0.3">
      <c r="A5" s="1">
        <v>45842</v>
      </c>
      <c r="B5">
        <v>52</v>
      </c>
      <c r="C5">
        <v>53</v>
      </c>
      <c r="D5">
        <v>52</v>
      </c>
      <c r="E5">
        <v>53</v>
      </c>
      <c r="F5">
        <v>52</v>
      </c>
      <c r="G5">
        <v>52</v>
      </c>
      <c r="H5">
        <v>53</v>
      </c>
      <c r="I5">
        <v>52</v>
      </c>
      <c r="J5">
        <v>54</v>
      </c>
      <c r="K5">
        <v>54</v>
      </c>
      <c r="L5">
        <v>54</v>
      </c>
      <c r="M5">
        <v>54</v>
      </c>
      <c r="N5">
        <v>54</v>
      </c>
      <c r="O5">
        <v>54</v>
      </c>
      <c r="P5">
        <v>54</v>
      </c>
      <c r="Q5">
        <v>54</v>
      </c>
      <c r="R5">
        <v>54</v>
      </c>
      <c r="S5">
        <v>54</v>
      </c>
      <c r="T5">
        <v>53</v>
      </c>
      <c r="U5">
        <v>54</v>
      </c>
      <c r="V5">
        <v>53</v>
      </c>
      <c r="W5">
        <v>53</v>
      </c>
      <c r="X5">
        <v>53</v>
      </c>
      <c r="Y5">
        <v>54</v>
      </c>
      <c r="Z5" s="2">
        <f>AVERAGE(Sheet1__7[[#This Row],[00:00:00]:[23:00:00]])</f>
        <v>53.291666666666664</v>
      </c>
      <c r="AA5" t="str" cm="1">
        <f t="array" ref="AA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6" spans="1:27" x14ac:dyDescent="0.3">
      <c r="A6" s="1">
        <v>45843</v>
      </c>
      <c r="B6">
        <v>54</v>
      </c>
      <c r="C6">
        <v>70</v>
      </c>
      <c r="D6">
        <v>70</v>
      </c>
      <c r="E6">
        <v>71</v>
      </c>
      <c r="F6">
        <v>71</v>
      </c>
      <c r="G6">
        <v>71</v>
      </c>
      <c r="H6">
        <v>70</v>
      </c>
      <c r="I6">
        <v>70</v>
      </c>
      <c r="J6">
        <v>69</v>
      </c>
      <c r="K6">
        <v>69</v>
      </c>
      <c r="L6">
        <v>68</v>
      </c>
      <c r="M6">
        <v>68</v>
      </c>
      <c r="N6">
        <v>67</v>
      </c>
      <c r="O6">
        <v>67</v>
      </c>
      <c r="P6">
        <v>67</v>
      </c>
      <c r="Q6">
        <v>66</v>
      </c>
      <c r="R6">
        <v>66</v>
      </c>
      <c r="S6">
        <v>65</v>
      </c>
      <c r="T6">
        <v>65</v>
      </c>
      <c r="U6">
        <v>63</v>
      </c>
      <c r="V6">
        <v>63</v>
      </c>
      <c r="W6">
        <v>62</v>
      </c>
      <c r="X6">
        <v>62</v>
      </c>
      <c r="Y6">
        <v>62</v>
      </c>
      <c r="Z6" s="2">
        <f>AVERAGE(Sheet1__7[[#This Row],[00:00:00]:[23:00:00]])</f>
        <v>66.5</v>
      </c>
      <c r="AA6" t="str" cm="1">
        <f t="array" ref="AA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7" spans="1:27" x14ac:dyDescent="0.3">
      <c r="A7" s="1">
        <v>45844</v>
      </c>
      <c r="B7">
        <v>61</v>
      </c>
      <c r="C7">
        <v>61</v>
      </c>
      <c r="D7">
        <v>61</v>
      </c>
      <c r="E7">
        <v>61</v>
      </c>
      <c r="F7">
        <v>62</v>
      </c>
      <c r="G7">
        <v>62</v>
      </c>
      <c r="H7">
        <v>63</v>
      </c>
      <c r="I7">
        <v>64</v>
      </c>
      <c r="J7">
        <v>64</v>
      </c>
      <c r="K7">
        <v>65</v>
      </c>
      <c r="L7">
        <v>65</v>
      </c>
      <c r="M7">
        <v>65</v>
      </c>
      <c r="N7">
        <v>66</v>
      </c>
      <c r="O7">
        <v>67</v>
      </c>
      <c r="P7">
        <v>67</v>
      </c>
      <c r="Q7">
        <v>68</v>
      </c>
      <c r="R7">
        <v>69</v>
      </c>
      <c r="S7">
        <v>69</v>
      </c>
      <c r="T7">
        <v>70</v>
      </c>
      <c r="U7">
        <v>70</v>
      </c>
      <c r="V7">
        <v>70</v>
      </c>
      <c r="W7">
        <v>70</v>
      </c>
      <c r="X7">
        <v>70</v>
      </c>
      <c r="Y7">
        <v>70</v>
      </c>
      <c r="Z7" s="2">
        <f>AVERAGE(Sheet1__7[[#This Row],[00:00:00]:[23:00:00]])</f>
        <v>65.833333333333329</v>
      </c>
      <c r="AA7" t="str" cm="1">
        <f t="array" ref="AA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8" spans="1:27" x14ac:dyDescent="0.3">
      <c r="A8" s="1">
        <v>45845</v>
      </c>
      <c r="B8">
        <v>71</v>
      </c>
      <c r="C8">
        <v>71</v>
      </c>
      <c r="D8">
        <v>72</v>
      </c>
      <c r="E8">
        <v>72</v>
      </c>
      <c r="F8">
        <v>72</v>
      </c>
      <c r="G8">
        <v>73</v>
      </c>
      <c r="H8">
        <v>73</v>
      </c>
      <c r="I8">
        <v>73</v>
      </c>
      <c r="J8">
        <v>73</v>
      </c>
      <c r="K8">
        <v>74</v>
      </c>
      <c r="L8">
        <v>74</v>
      </c>
      <c r="M8">
        <v>74</v>
      </c>
      <c r="N8">
        <v>71</v>
      </c>
      <c r="O8">
        <v>70</v>
      </c>
      <c r="P8">
        <v>70</v>
      </c>
      <c r="Q8">
        <v>70</v>
      </c>
      <c r="R8">
        <v>69</v>
      </c>
      <c r="S8">
        <v>68</v>
      </c>
      <c r="T8">
        <v>67</v>
      </c>
      <c r="U8">
        <v>67</v>
      </c>
      <c r="V8">
        <v>66</v>
      </c>
      <c r="W8">
        <v>65</v>
      </c>
      <c r="X8">
        <v>64</v>
      </c>
      <c r="Y8">
        <v>63</v>
      </c>
      <c r="Z8" s="2">
        <f>AVERAGE(Sheet1__7[[#This Row],[00:00:00]:[23:00:00]])</f>
        <v>70.083333333333329</v>
      </c>
      <c r="AA8" t="str" cm="1">
        <f t="array" ref="AA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9" spans="1:27" x14ac:dyDescent="0.3">
      <c r="A9" s="1">
        <v>45846</v>
      </c>
      <c r="B9">
        <v>62</v>
      </c>
      <c r="C9">
        <v>61</v>
      </c>
      <c r="D9">
        <v>53</v>
      </c>
      <c r="E9">
        <v>52</v>
      </c>
      <c r="F9">
        <v>52</v>
      </c>
      <c r="G9">
        <v>52</v>
      </c>
      <c r="H9">
        <v>51</v>
      </c>
      <c r="I9">
        <v>50</v>
      </c>
      <c r="J9">
        <v>50</v>
      </c>
      <c r="K9">
        <v>50</v>
      </c>
      <c r="L9">
        <v>48</v>
      </c>
      <c r="M9">
        <v>49</v>
      </c>
      <c r="N9">
        <v>50</v>
      </c>
      <c r="O9">
        <v>50</v>
      </c>
      <c r="P9">
        <v>50</v>
      </c>
      <c r="Q9">
        <v>49</v>
      </c>
      <c r="R9">
        <v>49</v>
      </c>
      <c r="S9">
        <v>49</v>
      </c>
      <c r="T9">
        <v>49</v>
      </c>
      <c r="U9">
        <v>49</v>
      </c>
      <c r="V9">
        <v>50</v>
      </c>
      <c r="W9">
        <v>50</v>
      </c>
      <c r="X9">
        <v>50</v>
      </c>
      <c r="Y9">
        <v>50</v>
      </c>
      <c r="Z9" s="2">
        <f>AVERAGE(Sheet1__7[[#This Row],[00:00:00]:[23:00:00]])</f>
        <v>51.041666666666664</v>
      </c>
      <c r="AA9" t="str" cm="1">
        <f t="array" ref="AA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0" spans="1:27" x14ac:dyDescent="0.3">
      <c r="A10" s="1">
        <v>45847</v>
      </c>
      <c r="B10">
        <v>50</v>
      </c>
      <c r="C10">
        <v>50</v>
      </c>
      <c r="D10">
        <v>50</v>
      </c>
      <c r="E10">
        <v>50</v>
      </c>
      <c r="F10">
        <v>50</v>
      </c>
      <c r="G10">
        <v>50</v>
      </c>
      <c r="H10">
        <v>50</v>
      </c>
      <c r="I10">
        <v>50</v>
      </c>
      <c r="J10">
        <v>50</v>
      </c>
      <c r="K10">
        <v>50</v>
      </c>
      <c r="L10">
        <v>49</v>
      </c>
      <c r="M10">
        <v>49</v>
      </c>
      <c r="N10">
        <v>49</v>
      </c>
      <c r="O10">
        <v>49</v>
      </c>
      <c r="P10">
        <v>48</v>
      </c>
      <c r="Q10">
        <v>48</v>
      </c>
      <c r="R10">
        <v>48</v>
      </c>
      <c r="S10">
        <v>48</v>
      </c>
      <c r="T10">
        <v>48</v>
      </c>
      <c r="U10">
        <v>48</v>
      </c>
      <c r="V10">
        <v>48</v>
      </c>
      <c r="W10">
        <v>48</v>
      </c>
      <c r="X10">
        <v>48</v>
      </c>
      <c r="Y10">
        <v>49</v>
      </c>
      <c r="Z10" s="2">
        <f>AVERAGE(Sheet1__7[[#This Row],[00:00:00]:[23:00:00]])</f>
        <v>49.041666666666664</v>
      </c>
      <c r="AA10" t="str" cm="1">
        <f t="array" ref="AA1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1" spans="1:27" x14ac:dyDescent="0.3">
      <c r="A11" s="1">
        <v>45848</v>
      </c>
      <c r="B11">
        <v>48</v>
      </c>
      <c r="C11">
        <v>49</v>
      </c>
      <c r="D11">
        <v>50</v>
      </c>
      <c r="E11">
        <v>50</v>
      </c>
      <c r="F11">
        <v>50</v>
      </c>
      <c r="G11">
        <v>50</v>
      </c>
      <c r="H11">
        <v>49</v>
      </c>
      <c r="I11">
        <v>50</v>
      </c>
      <c r="J11">
        <v>50</v>
      </c>
      <c r="K11">
        <v>50</v>
      </c>
      <c r="L11">
        <v>50</v>
      </c>
      <c r="M11">
        <v>50</v>
      </c>
      <c r="N11">
        <v>50</v>
      </c>
      <c r="O11">
        <v>50</v>
      </c>
      <c r="P11">
        <v>51</v>
      </c>
      <c r="Q11">
        <v>51</v>
      </c>
      <c r="R11">
        <v>52</v>
      </c>
      <c r="S11">
        <v>52</v>
      </c>
      <c r="T11">
        <v>52</v>
      </c>
      <c r="U11">
        <v>52</v>
      </c>
      <c r="V11">
        <v>52</v>
      </c>
      <c r="W11">
        <v>52</v>
      </c>
      <c r="X11">
        <v>52</v>
      </c>
      <c r="Y11">
        <v>52</v>
      </c>
      <c r="Z11" s="2">
        <f>AVERAGE(Sheet1__7[[#This Row],[00:00:00]:[23:00:00]])</f>
        <v>50.583333333333336</v>
      </c>
      <c r="AA11" t="str" cm="1">
        <f t="array" ref="AA1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2" spans="1:27" x14ac:dyDescent="0.3">
      <c r="A12" s="1">
        <v>45849</v>
      </c>
      <c r="B12">
        <v>51</v>
      </c>
      <c r="C12">
        <v>51</v>
      </c>
      <c r="D12">
        <v>50</v>
      </c>
      <c r="E12">
        <v>50</v>
      </c>
      <c r="F12">
        <v>50</v>
      </c>
      <c r="G12">
        <v>50</v>
      </c>
      <c r="H12">
        <v>50</v>
      </c>
      <c r="I12">
        <v>50</v>
      </c>
      <c r="J12">
        <v>49</v>
      </c>
      <c r="K12">
        <v>48</v>
      </c>
      <c r="L12">
        <v>48</v>
      </c>
      <c r="M12">
        <v>48</v>
      </c>
      <c r="N12">
        <v>48</v>
      </c>
      <c r="O12">
        <v>47</v>
      </c>
      <c r="P12">
        <v>47</v>
      </c>
      <c r="Q12">
        <v>46</v>
      </c>
      <c r="R12">
        <v>46</v>
      </c>
      <c r="S12">
        <v>46</v>
      </c>
      <c r="T12">
        <v>46</v>
      </c>
      <c r="U12">
        <v>46</v>
      </c>
      <c r="V12">
        <v>46</v>
      </c>
      <c r="W12">
        <v>46</v>
      </c>
      <c r="X12">
        <v>46</v>
      </c>
      <c r="Y12">
        <v>46</v>
      </c>
      <c r="Z12" s="2">
        <f>AVERAGE(Sheet1__7[[#This Row],[00:00:00]:[23:00:00]])</f>
        <v>47.958333333333336</v>
      </c>
      <c r="AA12" t="str" cm="1">
        <f t="array" ref="AA1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3" spans="1:27" x14ac:dyDescent="0.3">
      <c r="A13" s="1">
        <v>45850</v>
      </c>
      <c r="B13">
        <v>46</v>
      </c>
      <c r="C13">
        <v>46</v>
      </c>
      <c r="D13">
        <v>46</v>
      </c>
      <c r="E13">
        <v>46</v>
      </c>
      <c r="F13">
        <v>46</v>
      </c>
      <c r="G13">
        <v>45</v>
      </c>
      <c r="H13">
        <v>44</v>
      </c>
      <c r="I13">
        <v>44</v>
      </c>
      <c r="J13">
        <v>44</v>
      </c>
      <c r="K13">
        <v>44</v>
      </c>
      <c r="L13">
        <v>44</v>
      </c>
      <c r="M13">
        <v>44</v>
      </c>
      <c r="N13">
        <v>44</v>
      </c>
      <c r="O13">
        <v>44</v>
      </c>
      <c r="P13">
        <v>43</v>
      </c>
      <c r="Q13">
        <v>43</v>
      </c>
      <c r="R13">
        <v>43</v>
      </c>
      <c r="S13">
        <v>42</v>
      </c>
      <c r="T13">
        <v>43</v>
      </c>
      <c r="U13">
        <v>43</v>
      </c>
      <c r="V13">
        <v>43</v>
      </c>
      <c r="W13">
        <v>43</v>
      </c>
      <c r="X13">
        <v>44</v>
      </c>
      <c r="Y13">
        <v>44</v>
      </c>
      <c r="Z13" s="2">
        <f>AVERAGE(Sheet1__7[[#This Row],[00:00:00]:[23:00:00]])</f>
        <v>44.083333333333336</v>
      </c>
      <c r="AA13" t="str" cm="1">
        <f t="array" ref="AA1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4" spans="1:27" x14ac:dyDescent="0.3">
      <c r="A14" s="1">
        <v>45851</v>
      </c>
      <c r="B14">
        <v>44</v>
      </c>
      <c r="C14">
        <v>44</v>
      </c>
      <c r="D14">
        <v>44</v>
      </c>
      <c r="E14">
        <v>44</v>
      </c>
      <c r="F14">
        <v>44</v>
      </c>
      <c r="G14">
        <v>44</v>
      </c>
      <c r="H14">
        <v>44</v>
      </c>
      <c r="I14">
        <v>45</v>
      </c>
      <c r="J14">
        <v>46</v>
      </c>
      <c r="K14">
        <v>46</v>
      </c>
      <c r="L14">
        <v>46</v>
      </c>
      <c r="M14">
        <v>46</v>
      </c>
      <c r="N14">
        <v>46</v>
      </c>
      <c r="O14">
        <v>46</v>
      </c>
      <c r="P14">
        <v>45</v>
      </c>
      <c r="Q14">
        <v>44</v>
      </c>
      <c r="R14">
        <v>44</v>
      </c>
      <c r="S14">
        <v>42</v>
      </c>
      <c r="T14">
        <v>42</v>
      </c>
      <c r="U14">
        <v>41</v>
      </c>
      <c r="V14">
        <v>40</v>
      </c>
      <c r="W14">
        <v>38</v>
      </c>
      <c r="X14">
        <v>38</v>
      </c>
      <c r="Y14">
        <v>36</v>
      </c>
      <c r="Z14" s="2">
        <f>AVERAGE(Sheet1__7[[#This Row],[00:00:00]:[23:00:00]])</f>
        <v>43.291666666666664</v>
      </c>
      <c r="AA14" t="str" cm="1">
        <f t="array" ref="AA1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5" spans="1:27" x14ac:dyDescent="0.3">
      <c r="A15" s="1">
        <v>45852</v>
      </c>
      <c r="B15">
        <v>36</v>
      </c>
      <c r="C15">
        <v>36</v>
      </c>
      <c r="D15">
        <v>36</v>
      </c>
      <c r="E15">
        <v>34</v>
      </c>
      <c r="F15">
        <v>34</v>
      </c>
      <c r="G15">
        <v>34</v>
      </c>
      <c r="H15">
        <v>33</v>
      </c>
      <c r="I15">
        <v>33</v>
      </c>
      <c r="J15">
        <v>33</v>
      </c>
      <c r="K15">
        <v>34</v>
      </c>
      <c r="L15">
        <v>34</v>
      </c>
      <c r="M15">
        <v>33</v>
      </c>
      <c r="N15">
        <v>33</v>
      </c>
      <c r="O15">
        <v>33</v>
      </c>
      <c r="P15">
        <v>32</v>
      </c>
      <c r="Q15">
        <v>32</v>
      </c>
      <c r="R15">
        <v>32</v>
      </c>
      <c r="S15">
        <v>32</v>
      </c>
      <c r="T15">
        <v>31</v>
      </c>
      <c r="U15">
        <v>31</v>
      </c>
      <c r="V15">
        <v>30</v>
      </c>
      <c r="W15">
        <v>31</v>
      </c>
      <c r="X15">
        <v>32</v>
      </c>
      <c r="Y15">
        <v>32</v>
      </c>
      <c r="Z15" s="2">
        <f>AVERAGE(Sheet1__7[[#This Row],[00:00:00]:[23:00:00]])</f>
        <v>32.958333333333336</v>
      </c>
      <c r="AA15" t="str" cm="1">
        <f t="array" ref="AA1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6" spans="1:27" x14ac:dyDescent="0.3">
      <c r="A16" s="1">
        <v>45853</v>
      </c>
      <c r="B16">
        <v>32</v>
      </c>
      <c r="C16">
        <v>34</v>
      </c>
      <c r="D16">
        <v>34</v>
      </c>
      <c r="E16">
        <v>34</v>
      </c>
      <c r="F16">
        <v>33</v>
      </c>
      <c r="G16">
        <v>32</v>
      </c>
      <c r="H16">
        <v>32</v>
      </c>
      <c r="I16">
        <v>31</v>
      </c>
      <c r="J16">
        <v>31</v>
      </c>
      <c r="K16">
        <v>32</v>
      </c>
      <c r="L16">
        <v>32</v>
      </c>
      <c r="M16">
        <v>32</v>
      </c>
      <c r="N16">
        <v>34</v>
      </c>
      <c r="O16">
        <v>34</v>
      </c>
      <c r="P16">
        <v>36</v>
      </c>
      <c r="Q16">
        <v>38</v>
      </c>
      <c r="R16">
        <v>39</v>
      </c>
      <c r="S16">
        <v>39</v>
      </c>
      <c r="T16">
        <v>38</v>
      </c>
      <c r="U16">
        <v>38</v>
      </c>
      <c r="V16">
        <v>38</v>
      </c>
      <c r="W16">
        <v>38</v>
      </c>
      <c r="X16">
        <v>39</v>
      </c>
      <c r="Y16">
        <v>40</v>
      </c>
      <c r="Z16" s="2">
        <f>AVERAGE(Sheet1__7[[#This Row],[00:00:00]:[23:00:00]])</f>
        <v>35</v>
      </c>
      <c r="AA16" t="str" cm="1">
        <f t="array" ref="AA1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7" spans="1:27" x14ac:dyDescent="0.3">
      <c r="A17" s="1">
        <v>45854</v>
      </c>
      <c r="B17">
        <v>40</v>
      </c>
      <c r="C17">
        <v>40</v>
      </c>
      <c r="D17">
        <v>40</v>
      </c>
      <c r="E17">
        <v>40</v>
      </c>
      <c r="F17">
        <v>40</v>
      </c>
      <c r="G17">
        <v>39</v>
      </c>
      <c r="H17">
        <v>38</v>
      </c>
      <c r="I17">
        <v>38</v>
      </c>
      <c r="J17">
        <v>37</v>
      </c>
      <c r="K17">
        <v>37</v>
      </c>
      <c r="L17">
        <v>37</v>
      </c>
      <c r="M17">
        <v>37</v>
      </c>
      <c r="N17">
        <v>37</v>
      </c>
      <c r="O17">
        <v>38</v>
      </c>
      <c r="P17">
        <v>39</v>
      </c>
      <c r="Q17">
        <v>39</v>
      </c>
      <c r="R17">
        <v>40</v>
      </c>
      <c r="S17">
        <v>40</v>
      </c>
      <c r="T17">
        <v>42</v>
      </c>
      <c r="U17">
        <v>44</v>
      </c>
      <c r="V17">
        <v>45</v>
      </c>
      <c r="W17">
        <v>46</v>
      </c>
      <c r="X17">
        <v>48</v>
      </c>
      <c r="Y17">
        <v>50</v>
      </c>
      <c r="Z17" s="2">
        <f>AVERAGE(Sheet1__7[[#This Row],[00:00:00]:[23:00:00]])</f>
        <v>40.458333333333336</v>
      </c>
      <c r="AA17" t="str" cm="1">
        <f t="array" ref="AA1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8" spans="1:27" x14ac:dyDescent="0.3">
      <c r="A18" s="1">
        <v>45855</v>
      </c>
      <c r="B18">
        <v>50</v>
      </c>
      <c r="C18">
        <v>52</v>
      </c>
      <c r="D18">
        <v>52</v>
      </c>
      <c r="E18">
        <v>52</v>
      </c>
      <c r="F18">
        <v>51</v>
      </c>
      <c r="G18">
        <v>51</v>
      </c>
      <c r="H18">
        <v>50</v>
      </c>
      <c r="I18">
        <v>50</v>
      </c>
      <c r="J18">
        <v>51</v>
      </c>
      <c r="K18">
        <v>52</v>
      </c>
      <c r="L18">
        <v>53</v>
      </c>
      <c r="M18">
        <v>54</v>
      </c>
      <c r="N18">
        <v>54</v>
      </c>
      <c r="O18">
        <v>56</v>
      </c>
      <c r="P18">
        <v>56</v>
      </c>
      <c r="Q18">
        <v>56</v>
      </c>
      <c r="R18">
        <v>57</v>
      </c>
      <c r="S18">
        <v>58</v>
      </c>
      <c r="T18">
        <v>58</v>
      </c>
      <c r="U18">
        <v>58</v>
      </c>
      <c r="V18">
        <v>58</v>
      </c>
      <c r="W18">
        <v>58</v>
      </c>
      <c r="X18">
        <v>58</v>
      </c>
      <c r="Y18">
        <v>58</v>
      </c>
      <c r="Z18" s="2">
        <f>AVERAGE(Sheet1__7[[#This Row],[00:00:00]:[23:00:00]])</f>
        <v>54.291666666666664</v>
      </c>
      <c r="AA18" t="str" cm="1">
        <f t="array" ref="AA1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9" spans="1:27" x14ac:dyDescent="0.3">
      <c r="A19" s="1">
        <v>45856</v>
      </c>
      <c r="B19">
        <v>59</v>
      </c>
      <c r="C19">
        <v>59</v>
      </c>
      <c r="D19">
        <v>60</v>
      </c>
      <c r="E19">
        <v>60</v>
      </c>
      <c r="F19">
        <v>59</v>
      </c>
      <c r="G19">
        <v>59</v>
      </c>
      <c r="H19">
        <v>59</v>
      </c>
      <c r="I19">
        <v>60</v>
      </c>
      <c r="J19">
        <v>59</v>
      </c>
      <c r="K19">
        <v>59</v>
      </c>
      <c r="L19">
        <v>58</v>
      </c>
      <c r="M19">
        <v>58</v>
      </c>
      <c r="N19">
        <v>58</v>
      </c>
      <c r="O19">
        <v>58</v>
      </c>
      <c r="P19">
        <v>59</v>
      </c>
      <c r="Q19">
        <v>60</v>
      </c>
      <c r="R19">
        <v>60</v>
      </c>
      <c r="S19">
        <v>59</v>
      </c>
      <c r="T19">
        <v>59</v>
      </c>
      <c r="U19">
        <v>58</v>
      </c>
      <c r="V19">
        <v>58</v>
      </c>
      <c r="W19">
        <v>58</v>
      </c>
      <c r="X19">
        <v>58</v>
      </c>
      <c r="Y19">
        <v>58</v>
      </c>
      <c r="Z19" s="2">
        <f>AVERAGE(Sheet1__7[[#This Row],[00:00:00]:[23:00:00]])</f>
        <v>58.833333333333336</v>
      </c>
      <c r="AA19" t="str" cm="1">
        <f t="array" ref="AA1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0" spans="1:27" x14ac:dyDescent="0.3">
      <c r="A20" s="1">
        <v>45857</v>
      </c>
      <c r="B20">
        <v>73</v>
      </c>
      <c r="C20">
        <v>74</v>
      </c>
      <c r="D20">
        <v>74</v>
      </c>
      <c r="E20">
        <v>75</v>
      </c>
      <c r="F20">
        <v>76</v>
      </c>
      <c r="G20">
        <v>76</v>
      </c>
      <c r="H20">
        <v>76</v>
      </c>
      <c r="I20">
        <v>76</v>
      </c>
      <c r="J20">
        <v>76</v>
      </c>
      <c r="K20">
        <v>75</v>
      </c>
      <c r="L20">
        <v>75</v>
      </c>
      <c r="M20">
        <v>74</v>
      </c>
      <c r="N20">
        <v>73</v>
      </c>
      <c r="O20">
        <v>72</v>
      </c>
      <c r="P20">
        <v>71</v>
      </c>
      <c r="Q20">
        <v>70</v>
      </c>
      <c r="R20">
        <v>68</v>
      </c>
      <c r="S20">
        <v>66</v>
      </c>
      <c r="T20">
        <v>54</v>
      </c>
      <c r="U20">
        <v>54</v>
      </c>
      <c r="V20">
        <v>54</v>
      </c>
      <c r="W20">
        <v>54</v>
      </c>
      <c r="X20">
        <v>54</v>
      </c>
      <c r="Y20">
        <v>55</v>
      </c>
      <c r="Z20" s="2">
        <f>AVERAGE(Sheet1__7[[#This Row],[00:00:00]:[23:00:00]])</f>
        <v>68.541666666666671</v>
      </c>
      <c r="AA20" t="str" cm="1">
        <f t="array" ref="AA2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1" spans="1:27" x14ac:dyDescent="0.3">
      <c r="A21" s="1">
        <v>45858</v>
      </c>
      <c r="B21">
        <v>56</v>
      </c>
      <c r="C21">
        <v>56</v>
      </c>
      <c r="D21">
        <v>56</v>
      </c>
      <c r="E21">
        <v>56</v>
      </c>
      <c r="F21">
        <v>54</v>
      </c>
      <c r="G21">
        <v>54</v>
      </c>
      <c r="H21">
        <v>52</v>
      </c>
      <c r="I21">
        <v>52</v>
      </c>
      <c r="J21">
        <v>52</v>
      </c>
      <c r="K21">
        <v>52</v>
      </c>
      <c r="L21">
        <v>52</v>
      </c>
      <c r="M21">
        <v>52</v>
      </c>
      <c r="N21">
        <v>51</v>
      </c>
      <c r="O21">
        <v>50</v>
      </c>
      <c r="P21">
        <v>50</v>
      </c>
      <c r="Q21">
        <v>50</v>
      </c>
      <c r="R21">
        <v>50</v>
      </c>
      <c r="S21">
        <v>50</v>
      </c>
      <c r="T21">
        <v>49</v>
      </c>
      <c r="U21">
        <v>48</v>
      </c>
      <c r="V21">
        <v>48</v>
      </c>
      <c r="W21">
        <v>46</v>
      </c>
      <c r="X21">
        <v>48</v>
      </c>
      <c r="Y21">
        <v>48</v>
      </c>
      <c r="Z21" s="2">
        <f>AVERAGE(Sheet1__7[[#This Row],[00:00:00]:[23:00:00]])</f>
        <v>51.333333333333336</v>
      </c>
      <c r="AA21" t="str" cm="1">
        <f t="array" ref="AA2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2" spans="1:27" x14ac:dyDescent="0.3">
      <c r="A22" s="1">
        <v>45859</v>
      </c>
      <c r="B22">
        <v>48</v>
      </c>
      <c r="C22">
        <v>49</v>
      </c>
      <c r="D22">
        <v>48</v>
      </c>
      <c r="E22">
        <v>48</v>
      </c>
      <c r="F22">
        <v>48</v>
      </c>
      <c r="G22">
        <v>48</v>
      </c>
      <c r="H22">
        <v>48</v>
      </c>
      <c r="I22">
        <v>46</v>
      </c>
      <c r="J22">
        <v>46</v>
      </c>
      <c r="K22">
        <v>46</v>
      </c>
      <c r="L22">
        <v>47</v>
      </c>
      <c r="M22">
        <v>47</v>
      </c>
      <c r="N22">
        <v>45</v>
      </c>
      <c r="O22">
        <v>44</v>
      </c>
      <c r="P22">
        <v>44</v>
      </c>
      <c r="Q22">
        <v>42</v>
      </c>
      <c r="R22">
        <v>42</v>
      </c>
      <c r="S22">
        <v>38</v>
      </c>
      <c r="T22">
        <v>34</v>
      </c>
      <c r="U22">
        <v>32</v>
      </c>
      <c r="V22">
        <v>31</v>
      </c>
      <c r="W22">
        <v>30</v>
      </c>
      <c r="X22">
        <v>30</v>
      </c>
      <c r="Y22">
        <v>30</v>
      </c>
      <c r="Z22" s="2">
        <f>AVERAGE(Sheet1__7[[#This Row],[00:00:00]:[23:00:00]])</f>
        <v>42.125</v>
      </c>
      <c r="AA22" t="str" cm="1">
        <f t="array" ref="AA2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3" spans="1:27" x14ac:dyDescent="0.3">
      <c r="A23" s="1">
        <v>45860</v>
      </c>
      <c r="B23">
        <v>31</v>
      </c>
      <c r="C23">
        <v>31</v>
      </c>
      <c r="D23">
        <v>31</v>
      </c>
      <c r="E23">
        <v>32</v>
      </c>
      <c r="F23">
        <v>32</v>
      </c>
      <c r="G23">
        <v>34</v>
      </c>
      <c r="H23">
        <v>34</v>
      </c>
      <c r="I23">
        <v>36</v>
      </c>
      <c r="J23">
        <v>36</v>
      </c>
      <c r="K23">
        <v>36</v>
      </c>
      <c r="M23">
        <v>38</v>
      </c>
      <c r="N23">
        <v>40</v>
      </c>
      <c r="O23">
        <v>40</v>
      </c>
      <c r="P23">
        <v>41</v>
      </c>
      <c r="Q23">
        <v>42</v>
      </c>
      <c r="R23">
        <v>43</v>
      </c>
      <c r="S23">
        <v>43</v>
      </c>
      <c r="T23">
        <v>43</v>
      </c>
      <c r="U23">
        <v>44</v>
      </c>
      <c r="V23">
        <v>44</v>
      </c>
      <c r="Y23">
        <v>44</v>
      </c>
      <c r="Z23" s="2">
        <f>AVERAGE(Sheet1__7[[#This Row],[00:00:00]:[23:00:00]])</f>
        <v>37.857142857142854</v>
      </c>
      <c r="AA23" t="str" cm="1">
        <f t="array" ref="AA2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4" spans="1:27" x14ac:dyDescent="0.3">
      <c r="A24" s="1">
        <v>45861</v>
      </c>
      <c r="B24">
        <v>44</v>
      </c>
      <c r="C24">
        <v>43</v>
      </c>
      <c r="D24">
        <v>43</v>
      </c>
      <c r="E24">
        <v>42</v>
      </c>
      <c r="F24">
        <v>42</v>
      </c>
      <c r="G24">
        <v>42</v>
      </c>
      <c r="H24">
        <v>42</v>
      </c>
      <c r="J24">
        <v>42</v>
      </c>
      <c r="K24">
        <v>41</v>
      </c>
      <c r="L24">
        <v>40</v>
      </c>
      <c r="M24">
        <v>40</v>
      </c>
      <c r="N24">
        <v>40</v>
      </c>
      <c r="O24">
        <v>40</v>
      </c>
      <c r="P24">
        <v>40</v>
      </c>
      <c r="Q24">
        <v>40</v>
      </c>
      <c r="R24">
        <v>40</v>
      </c>
      <c r="S24">
        <v>40</v>
      </c>
      <c r="T24">
        <v>42</v>
      </c>
      <c r="U24">
        <v>42</v>
      </c>
      <c r="V24">
        <v>42</v>
      </c>
      <c r="W24">
        <v>42</v>
      </c>
      <c r="X24">
        <v>43</v>
      </c>
      <c r="Y24">
        <v>44</v>
      </c>
      <c r="Z24" s="2">
        <f>AVERAGE(Sheet1__7[[#This Row],[00:00:00]:[23:00:00]])</f>
        <v>41.565217391304351</v>
      </c>
      <c r="AA24" t="str" cm="1">
        <f t="array" ref="AA2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5" spans="1:27" x14ac:dyDescent="0.3">
      <c r="A25" s="1">
        <v>45862</v>
      </c>
      <c r="B25">
        <v>44</v>
      </c>
      <c r="C25">
        <v>44</v>
      </c>
      <c r="D25">
        <v>45</v>
      </c>
      <c r="E25">
        <v>46</v>
      </c>
      <c r="F25">
        <v>46</v>
      </c>
      <c r="G25">
        <v>47</v>
      </c>
      <c r="H25">
        <v>48</v>
      </c>
      <c r="I25">
        <v>48</v>
      </c>
      <c r="J25">
        <v>48</v>
      </c>
      <c r="K25">
        <v>50</v>
      </c>
      <c r="L25">
        <v>50</v>
      </c>
      <c r="M25">
        <v>51</v>
      </c>
      <c r="N25">
        <v>52</v>
      </c>
      <c r="O25">
        <v>53</v>
      </c>
      <c r="P25">
        <v>54</v>
      </c>
      <c r="Q25">
        <v>54</v>
      </c>
      <c r="R25">
        <v>55</v>
      </c>
      <c r="S25">
        <v>55</v>
      </c>
      <c r="T25">
        <v>55</v>
      </c>
      <c r="U25">
        <v>55</v>
      </c>
      <c r="V25">
        <v>55</v>
      </c>
      <c r="W25">
        <v>55</v>
      </c>
      <c r="X25">
        <v>54</v>
      </c>
      <c r="Y25">
        <v>54</v>
      </c>
      <c r="Z25" s="2">
        <f>AVERAGE(Sheet1__7[[#This Row],[00:00:00]:[23:00:00]])</f>
        <v>50.75</v>
      </c>
      <c r="AA25" t="str" cm="1">
        <f t="array" ref="AA2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6" spans="1:27" x14ac:dyDescent="0.3">
      <c r="A26" s="1">
        <v>45863</v>
      </c>
      <c r="B26">
        <v>54</v>
      </c>
      <c r="C26">
        <v>54</v>
      </c>
      <c r="D26">
        <v>62</v>
      </c>
      <c r="E26">
        <v>61</v>
      </c>
      <c r="F26">
        <v>60</v>
      </c>
      <c r="G26">
        <v>60</v>
      </c>
      <c r="H26">
        <v>59</v>
      </c>
      <c r="I26">
        <v>59</v>
      </c>
      <c r="J26">
        <v>58</v>
      </c>
      <c r="K26">
        <v>58</v>
      </c>
      <c r="L26">
        <v>58</v>
      </c>
      <c r="M26">
        <v>57</v>
      </c>
      <c r="N26">
        <v>55</v>
      </c>
      <c r="O26">
        <v>55</v>
      </c>
      <c r="P26">
        <v>54</v>
      </c>
      <c r="Q26">
        <v>53</v>
      </c>
      <c r="R26">
        <v>52</v>
      </c>
      <c r="S26">
        <v>51</v>
      </c>
      <c r="T26">
        <v>50</v>
      </c>
      <c r="U26">
        <v>50</v>
      </c>
      <c r="V26">
        <v>49</v>
      </c>
      <c r="W26">
        <v>48</v>
      </c>
      <c r="X26">
        <v>48</v>
      </c>
      <c r="Y26">
        <v>47</v>
      </c>
      <c r="Z26" s="2">
        <f>AVERAGE(Sheet1__7[[#This Row],[00:00:00]:[23:00:00]])</f>
        <v>54.666666666666664</v>
      </c>
      <c r="AA26" t="str" cm="1">
        <f t="array" ref="AA2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7" spans="1:27" x14ac:dyDescent="0.3">
      <c r="A27" s="1">
        <v>45864</v>
      </c>
      <c r="B27">
        <v>47</v>
      </c>
      <c r="C27">
        <v>46</v>
      </c>
      <c r="D27">
        <v>46</v>
      </c>
      <c r="E27">
        <v>35</v>
      </c>
      <c r="F27">
        <v>34</v>
      </c>
      <c r="G27">
        <v>34</v>
      </c>
      <c r="H27">
        <v>34</v>
      </c>
      <c r="I27">
        <v>34</v>
      </c>
      <c r="J27">
        <v>34</v>
      </c>
      <c r="K27">
        <v>34</v>
      </c>
      <c r="L27">
        <v>35</v>
      </c>
      <c r="M27">
        <v>36</v>
      </c>
      <c r="N27">
        <v>36</v>
      </c>
      <c r="O27">
        <v>36</v>
      </c>
      <c r="P27">
        <v>37</v>
      </c>
      <c r="Q27">
        <v>38</v>
      </c>
      <c r="R27">
        <v>38</v>
      </c>
      <c r="S27">
        <v>38</v>
      </c>
      <c r="T27">
        <v>39</v>
      </c>
      <c r="U27">
        <v>40</v>
      </c>
      <c r="V27">
        <v>40</v>
      </c>
      <c r="W27">
        <v>40</v>
      </c>
      <c r="X27">
        <v>41</v>
      </c>
      <c r="Y27">
        <v>41</v>
      </c>
      <c r="Z27" s="2">
        <f>AVERAGE(Sheet1__7[[#This Row],[00:00:00]:[23:00:00]])</f>
        <v>38.041666666666664</v>
      </c>
      <c r="AA27" t="str" cm="1">
        <f t="array" ref="AA2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8" spans="1:27" x14ac:dyDescent="0.3">
      <c r="A28" s="1">
        <v>45865</v>
      </c>
      <c r="B28">
        <v>42</v>
      </c>
      <c r="C28">
        <v>42</v>
      </c>
      <c r="D28">
        <v>42</v>
      </c>
      <c r="E28">
        <v>42</v>
      </c>
      <c r="F28">
        <v>42</v>
      </c>
      <c r="G28">
        <v>43</v>
      </c>
      <c r="H28">
        <v>44</v>
      </c>
      <c r="I28">
        <v>45</v>
      </c>
      <c r="J28">
        <v>46</v>
      </c>
      <c r="K28">
        <v>47</v>
      </c>
      <c r="L28">
        <v>48</v>
      </c>
      <c r="M28">
        <v>48</v>
      </c>
      <c r="N28">
        <v>49</v>
      </c>
      <c r="O28">
        <v>48</v>
      </c>
      <c r="P28">
        <v>49</v>
      </c>
      <c r="Q28">
        <v>49</v>
      </c>
      <c r="R28">
        <v>49</v>
      </c>
      <c r="S28">
        <v>50</v>
      </c>
      <c r="T28">
        <v>50</v>
      </c>
      <c r="U28">
        <v>50</v>
      </c>
      <c r="V28">
        <v>50</v>
      </c>
      <c r="X28">
        <v>49</v>
      </c>
      <c r="Y28">
        <v>50</v>
      </c>
      <c r="Z28" s="2">
        <f>AVERAGE(Sheet1__7[[#This Row],[00:00:00]:[23:00:00]])</f>
        <v>46.695652173913047</v>
      </c>
      <c r="AA28" t="str" cm="1">
        <f t="array" ref="AA2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9" spans="1:27" x14ac:dyDescent="0.3">
      <c r="A29" s="1">
        <v>45866</v>
      </c>
      <c r="B29">
        <v>50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49</v>
      </c>
      <c r="J29">
        <v>48</v>
      </c>
      <c r="K29">
        <v>48</v>
      </c>
      <c r="L29">
        <v>48</v>
      </c>
      <c r="M29">
        <v>47</v>
      </c>
      <c r="N29">
        <v>46</v>
      </c>
      <c r="O29">
        <v>46</v>
      </c>
      <c r="P29">
        <v>46</v>
      </c>
      <c r="Q29">
        <v>46</v>
      </c>
      <c r="R29">
        <v>46</v>
      </c>
      <c r="S29">
        <v>46</v>
      </c>
      <c r="T29">
        <v>46</v>
      </c>
      <c r="U29">
        <v>46</v>
      </c>
      <c r="V29">
        <v>46</v>
      </c>
      <c r="W29">
        <v>46</v>
      </c>
      <c r="X29">
        <v>46</v>
      </c>
      <c r="Y29">
        <v>47</v>
      </c>
      <c r="Z29" s="2">
        <f>AVERAGE(Sheet1__7[[#This Row],[00:00:00]:[23:00:00]])</f>
        <v>47.625</v>
      </c>
      <c r="AA29" t="str" cm="1">
        <f t="array" ref="AA2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0" spans="1:27" x14ac:dyDescent="0.3">
      <c r="A30" s="1">
        <v>45867</v>
      </c>
      <c r="B30">
        <v>47</v>
      </c>
      <c r="C30">
        <v>48</v>
      </c>
      <c r="D30">
        <v>48</v>
      </c>
      <c r="E30">
        <v>48</v>
      </c>
      <c r="F30">
        <v>48</v>
      </c>
      <c r="G30">
        <v>48</v>
      </c>
      <c r="H30">
        <v>48</v>
      </c>
      <c r="I30">
        <v>48</v>
      </c>
      <c r="J30">
        <v>48</v>
      </c>
      <c r="K30">
        <v>48</v>
      </c>
      <c r="L30">
        <v>48</v>
      </c>
      <c r="M30">
        <v>48</v>
      </c>
      <c r="N30">
        <v>48</v>
      </c>
      <c r="O30">
        <v>48</v>
      </c>
      <c r="P30">
        <v>48</v>
      </c>
      <c r="Q30">
        <v>48</v>
      </c>
      <c r="R30">
        <v>48</v>
      </c>
      <c r="S30">
        <v>48</v>
      </c>
      <c r="T30">
        <v>48</v>
      </c>
      <c r="U30">
        <v>48</v>
      </c>
      <c r="V30">
        <v>48</v>
      </c>
      <c r="W30">
        <v>48</v>
      </c>
      <c r="X30">
        <v>48</v>
      </c>
      <c r="Y30">
        <v>48</v>
      </c>
      <c r="Z30" s="2">
        <f>AVERAGE(Sheet1__7[[#This Row],[00:00:00]:[23:00:00]])</f>
        <v>47.958333333333336</v>
      </c>
      <c r="AA30" t="str" cm="1">
        <f t="array" ref="AA3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1" spans="1:27" x14ac:dyDescent="0.3">
      <c r="A31" s="1">
        <v>45868</v>
      </c>
      <c r="B31">
        <v>48</v>
      </c>
      <c r="C31">
        <v>48</v>
      </c>
      <c r="D31">
        <v>48</v>
      </c>
      <c r="E31">
        <v>48</v>
      </c>
      <c r="F31">
        <v>48</v>
      </c>
      <c r="G31">
        <v>49</v>
      </c>
      <c r="H31">
        <v>49</v>
      </c>
      <c r="I31">
        <v>49</v>
      </c>
      <c r="J31">
        <v>50</v>
      </c>
      <c r="K31">
        <v>50</v>
      </c>
      <c r="L31">
        <v>50</v>
      </c>
      <c r="M31">
        <v>50</v>
      </c>
      <c r="N31">
        <v>51</v>
      </c>
      <c r="O31">
        <v>52</v>
      </c>
      <c r="P31">
        <v>52</v>
      </c>
      <c r="Q31">
        <v>52</v>
      </c>
      <c r="R31">
        <v>53</v>
      </c>
      <c r="S31">
        <v>54</v>
      </c>
      <c r="T31">
        <v>54</v>
      </c>
      <c r="U31">
        <v>54</v>
      </c>
      <c r="V31">
        <v>55</v>
      </c>
      <c r="W31">
        <v>56</v>
      </c>
      <c r="X31">
        <v>56</v>
      </c>
      <c r="Y31">
        <v>56</v>
      </c>
      <c r="Z31" s="2">
        <f>AVERAGE(Sheet1__7[[#This Row],[00:00:00]:[23:00:00]])</f>
        <v>51.333333333333336</v>
      </c>
      <c r="AA31" t="str" cm="1">
        <f t="array" ref="AA3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32" spans="1:27" x14ac:dyDescent="0.3">
      <c r="A32" s="1">
        <v>45869</v>
      </c>
      <c r="B32">
        <v>56</v>
      </c>
      <c r="C32">
        <v>56</v>
      </c>
      <c r="D32">
        <v>57</v>
      </c>
      <c r="E32">
        <v>57</v>
      </c>
      <c r="F32">
        <v>57</v>
      </c>
      <c r="G32">
        <v>58</v>
      </c>
      <c r="H32">
        <v>58</v>
      </c>
      <c r="I32">
        <v>58</v>
      </c>
      <c r="J32">
        <v>59</v>
      </c>
      <c r="K32">
        <v>59</v>
      </c>
      <c r="L32">
        <v>59</v>
      </c>
      <c r="M32">
        <v>60</v>
      </c>
      <c r="N32">
        <v>60</v>
      </c>
      <c r="O32">
        <v>60</v>
      </c>
      <c r="P32">
        <v>61</v>
      </c>
      <c r="Q32">
        <v>62</v>
      </c>
      <c r="R32">
        <v>62</v>
      </c>
      <c r="S32">
        <v>62</v>
      </c>
      <c r="T32">
        <v>64</v>
      </c>
      <c r="U32">
        <v>64</v>
      </c>
      <c r="V32">
        <v>64</v>
      </c>
      <c r="W32">
        <v>64</v>
      </c>
      <c r="X32">
        <v>64</v>
      </c>
      <c r="Y32">
        <v>64</v>
      </c>
      <c r="Z32" s="2">
        <f>AVERAGE(Sheet1__7[[#This Row],[00:00:00]:[23:00:00]])</f>
        <v>60.208333333333336</v>
      </c>
      <c r="AA32" t="str" cm="1">
        <f t="array" ref="AA3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33" spans="26:27" x14ac:dyDescent="0.3">
      <c r="Z33" s="2">
        <f>SUBTOTAL(101,Sheet1__7[AVERAGE AQI])</f>
        <v>50.600639484405264</v>
      </c>
      <c r="AA33" s="3"/>
    </row>
  </sheetData>
  <conditionalFormatting sqref="AA1:AA1048576">
    <cfRule type="containsText" dxfId="44" priority="2" operator="containsText" text="GOOD">
      <formula>NOT(ISERROR(SEARCH("GOOD",AA1)))</formula>
    </cfRule>
    <cfRule type="containsText" dxfId="45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2932-B9D8-485E-94D7-EDC9AE65F799}">
  <dimension ref="A1:AA34"/>
  <sheetViews>
    <sheetView topLeftCell="A11" workbookViewId="0">
      <selection activeCell="AB23" sqref="AB2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9.441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45870</v>
      </c>
      <c r="B2">
        <v>65</v>
      </c>
      <c r="C2">
        <v>64</v>
      </c>
      <c r="D2">
        <v>64</v>
      </c>
      <c r="E2">
        <v>64</v>
      </c>
      <c r="F2">
        <v>64</v>
      </c>
      <c r="G2">
        <v>62</v>
      </c>
      <c r="H2">
        <v>62</v>
      </c>
      <c r="I2">
        <v>62</v>
      </c>
      <c r="J2">
        <v>61</v>
      </c>
      <c r="K2">
        <v>60</v>
      </c>
      <c r="L2">
        <v>60</v>
      </c>
      <c r="M2">
        <v>60</v>
      </c>
      <c r="N2">
        <v>59</v>
      </c>
      <c r="O2">
        <v>58</v>
      </c>
      <c r="P2">
        <v>58</v>
      </c>
      <c r="Q2">
        <v>58</v>
      </c>
      <c r="R2">
        <v>58</v>
      </c>
      <c r="S2">
        <v>58</v>
      </c>
      <c r="T2">
        <v>58</v>
      </c>
      <c r="U2">
        <v>57</v>
      </c>
      <c r="V2">
        <v>56</v>
      </c>
      <c r="W2">
        <v>56</v>
      </c>
      <c r="X2">
        <v>56</v>
      </c>
      <c r="Y2">
        <v>56</v>
      </c>
      <c r="Z2" s="2">
        <f>AVERAGE(Sheet1__8[[#This Row],[00:00:00]:[23:00:00]])</f>
        <v>59.833333333333336</v>
      </c>
      <c r="AA2" t="str" cm="1">
        <f t="array" ref="AA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" spans="1:27" x14ac:dyDescent="0.3">
      <c r="A3" s="1">
        <v>45871</v>
      </c>
      <c r="B3">
        <v>55</v>
      </c>
      <c r="C3">
        <v>55</v>
      </c>
      <c r="D3">
        <v>55</v>
      </c>
      <c r="E3">
        <v>55</v>
      </c>
      <c r="F3">
        <v>55</v>
      </c>
      <c r="G3">
        <v>54</v>
      </c>
      <c r="H3">
        <v>54</v>
      </c>
      <c r="I3">
        <v>54</v>
      </c>
      <c r="J3">
        <v>52</v>
      </c>
      <c r="K3">
        <v>52</v>
      </c>
      <c r="L3">
        <v>51</v>
      </c>
      <c r="M3">
        <v>50</v>
      </c>
      <c r="N3">
        <v>50</v>
      </c>
      <c r="O3">
        <v>49</v>
      </c>
      <c r="P3">
        <v>48</v>
      </c>
      <c r="Q3">
        <v>48</v>
      </c>
      <c r="R3">
        <v>47</v>
      </c>
      <c r="S3">
        <v>46</v>
      </c>
      <c r="T3">
        <v>46</v>
      </c>
      <c r="U3">
        <v>46</v>
      </c>
      <c r="V3">
        <v>46</v>
      </c>
      <c r="W3">
        <v>46</v>
      </c>
      <c r="X3">
        <v>47</v>
      </c>
      <c r="Y3">
        <v>48</v>
      </c>
      <c r="Z3" s="2">
        <f>AVERAGE(Sheet1__8[[#This Row],[00:00:00]:[23:00:00]])</f>
        <v>50.375</v>
      </c>
      <c r="AA3" t="str" cm="1">
        <f t="array" ref="AA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4" spans="1:27" x14ac:dyDescent="0.3">
      <c r="A4" s="1">
        <v>45872</v>
      </c>
      <c r="B4">
        <v>48</v>
      </c>
      <c r="C4">
        <v>48</v>
      </c>
      <c r="D4">
        <v>50</v>
      </c>
      <c r="E4">
        <v>50</v>
      </c>
      <c r="F4">
        <v>50</v>
      </c>
      <c r="G4">
        <v>50</v>
      </c>
      <c r="H4">
        <v>50</v>
      </c>
      <c r="I4">
        <v>50</v>
      </c>
      <c r="J4">
        <v>50</v>
      </c>
      <c r="K4">
        <v>51</v>
      </c>
      <c r="L4">
        <v>51</v>
      </c>
      <c r="M4">
        <v>52</v>
      </c>
      <c r="N4">
        <v>52</v>
      </c>
      <c r="O4">
        <v>52</v>
      </c>
      <c r="P4">
        <v>52</v>
      </c>
      <c r="Q4">
        <v>52</v>
      </c>
      <c r="R4">
        <v>52</v>
      </c>
      <c r="S4">
        <v>50</v>
      </c>
      <c r="T4">
        <v>50</v>
      </c>
      <c r="U4">
        <v>50</v>
      </c>
      <c r="V4">
        <v>50</v>
      </c>
      <c r="W4">
        <v>50</v>
      </c>
      <c r="X4">
        <v>50</v>
      </c>
      <c r="Y4">
        <v>50</v>
      </c>
      <c r="Z4" s="2">
        <f>AVERAGE(Sheet1__8[[#This Row],[00:00:00]:[23:00:00]])</f>
        <v>50.416666666666664</v>
      </c>
      <c r="AA4" t="str" cm="1">
        <f t="array" ref="AA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5" spans="1:27" x14ac:dyDescent="0.3">
      <c r="A5" s="1">
        <v>45873</v>
      </c>
      <c r="B5">
        <v>50</v>
      </c>
      <c r="C5">
        <v>50</v>
      </c>
      <c r="D5">
        <v>50</v>
      </c>
      <c r="E5">
        <v>51</v>
      </c>
      <c r="F5">
        <v>52</v>
      </c>
      <c r="G5">
        <v>52</v>
      </c>
      <c r="H5">
        <v>52</v>
      </c>
      <c r="I5">
        <v>53</v>
      </c>
      <c r="J5">
        <v>54</v>
      </c>
      <c r="K5">
        <v>54</v>
      </c>
      <c r="L5">
        <v>54</v>
      </c>
      <c r="M5">
        <v>54</v>
      </c>
      <c r="N5">
        <v>55</v>
      </c>
      <c r="O5">
        <v>55</v>
      </c>
      <c r="P5">
        <v>56</v>
      </c>
      <c r="Q5">
        <v>56</v>
      </c>
      <c r="R5">
        <v>56</v>
      </c>
      <c r="S5">
        <v>58</v>
      </c>
      <c r="T5">
        <v>58</v>
      </c>
      <c r="U5">
        <v>58</v>
      </c>
      <c r="V5">
        <v>58</v>
      </c>
      <c r="W5">
        <v>58</v>
      </c>
      <c r="X5">
        <v>58</v>
      </c>
      <c r="Y5">
        <v>59</v>
      </c>
      <c r="Z5" s="2">
        <f>AVERAGE(Sheet1__8[[#This Row],[00:00:00]:[23:00:00]])</f>
        <v>54.625</v>
      </c>
      <c r="AA5" t="str" cm="1">
        <f t="array" ref="AA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6" spans="1:27" x14ac:dyDescent="0.3">
      <c r="A6" s="1">
        <v>45874</v>
      </c>
      <c r="B6">
        <v>59</v>
      </c>
      <c r="C6">
        <v>60</v>
      </c>
      <c r="D6">
        <v>59</v>
      </c>
      <c r="E6">
        <v>59</v>
      </c>
      <c r="F6">
        <v>58</v>
      </c>
      <c r="G6">
        <v>58</v>
      </c>
      <c r="H6">
        <v>57</v>
      </c>
      <c r="I6">
        <v>56</v>
      </c>
      <c r="J6">
        <v>56</v>
      </c>
      <c r="K6">
        <v>55</v>
      </c>
      <c r="L6">
        <v>55</v>
      </c>
      <c r="M6">
        <v>55</v>
      </c>
      <c r="N6">
        <v>56</v>
      </c>
      <c r="O6">
        <v>56</v>
      </c>
      <c r="P6">
        <v>56</v>
      </c>
      <c r="Q6">
        <v>56</v>
      </c>
      <c r="R6">
        <v>56</v>
      </c>
      <c r="S6">
        <v>56</v>
      </c>
      <c r="T6">
        <v>58</v>
      </c>
      <c r="U6">
        <v>58</v>
      </c>
      <c r="V6">
        <v>58</v>
      </c>
      <c r="W6">
        <v>58</v>
      </c>
      <c r="X6">
        <v>58</v>
      </c>
      <c r="Y6">
        <v>58</v>
      </c>
      <c r="Z6" s="2">
        <f>AVERAGE(Sheet1__8[[#This Row],[00:00:00]:[23:00:00]])</f>
        <v>57.125</v>
      </c>
      <c r="AA6" t="str" cm="1">
        <f t="array" ref="AA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7" spans="1:27" x14ac:dyDescent="0.3">
      <c r="A7" s="1">
        <v>45875</v>
      </c>
      <c r="B7">
        <v>58</v>
      </c>
      <c r="C7">
        <v>58</v>
      </c>
      <c r="D7">
        <v>58</v>
      </c>
      <c r="E7">
        <v>58</v>
      </c>
      <c r="F7">
        <v>59</v>
      </c>
      <c r="G7">
        <v>60</v>
      </c>
      <c r="H7">
        <v>62</v>
      </c>
      <c r="I7">
        <v>62</v>
      </c>
      <c r="J7">
        <v>64</v>
      </c>
      <c r="K7">
        <v>66</v>
      </c>
      <c r="L7">
        <v>67</v>
      </c>
      <c r="M7">
        <v>69</v>
      </c>
      <c r="N7">
        <v>70</v>
      </c>
      <c r="O7">
        <v>72</v>
      </c>
      <c r="P7">
        <v>73</v>
      </c>
      <c r="Q7">
        <v>74</v>
      </c>
      <c r="R7">
        <v>74</v>
      </c>
      <c r="S7">
        <v>74</v>
      </c>
      <c r="T7">
        <v>74</v>
      </c>
      <c r="U7">
        <v>74</v>
      </c>
      <c r="V7">
        <v>74</v>
      </c>
      <c r="W7">
        <v>74</v>
      </c>
      <c r="X7">
        <v>74</v>
      </c>
      <c r="Y7">
        <v>75</v>
      </c>
      <c r="Z7" s="2">
        <f>AVERAGE(Sheet1__8[[#This Row],[00:00:00]:[23:00:00]])</f>
        <v>67.625</v>
      </c>
      <c r="AA7" t="str" cm="1">
        <f t="array" ref="AA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8" spans="1:27" x14ac:dyDescent="0.3">
      <c r="A8" s="1">
        <v>45876</v>
      </c>
      <c r="B8">
        <v>75</v>
      </c>
      <c r="C8">
        <v>75</v>
      </c>
      <c r="D8">
        <v>75</v>
      </c>
      <c r="F8">
        <v>76</v>
      </c>
      <c r="G8">
        <v>76</v>
      </c>
      <c r="H8">
        <v>76</v>
      </c>
      <c r="I8">
        <v>75</v>
      </c>
      <c r="J8">
        <v>76</v>
      </c>
      <c r="K8">
        <v>74</v>
      </c>
      <c r="L8">
        <v>73</v>
      </c>
      <c r="M8">
        <v>71</v>
      </c>
      <c r="N8">
        <v>69</v>
      </c>
      <c r="P8">
        <v>66</v>
      </c>
      <c r="Q8">
        <v>65</v>
      </c>
      <c r="R8">
        <v>65</v>
      </c>
      <c r="S8">
        <v>64</v>
      </c>
      <c r="T8">
        <v>64</v>
      </c>
      <c r="U8">
        <v>64</v>
      </c>
      <c r="V8">
        <v>64</v>
      </c>
      <c r="W8">
        <v>65</v>
      </c>
      <c r="X8">
        <v>64</v>
      </c>
      <c r="Y8">
        <v>64</v>
      </c>
      <c r="Z8" s="2">
        <f>AVERAGE(Sheet1__8[[#This Row],[00:00:00]:[23:00:00]])</f>
        <v>69.818181818181813</v>
      </c>
      <c r="AA8" t="str" cm="1">
        <f t="array" ref="AA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9" spans="1:27" x14ac:dyDescent="0.3">
      <c r="A9" s="1">
        <v>45877</v>
      </c>
      <c r="B9">
        <v>63</v>
      </c>
      <c r="C9">
        <v>63</v>
      </c>
      <c r="D9">
        <v>62</v>
      </c>
      <c r="E9">
        <v>62</v>
      </c>
      <c r="F9">
        <v>62</v>
      </c>
      <c r="G9">
        <v>62</v>
      </c>
      <c r="H9">
        <v>62</v>
      </c>
      <c r="I9">
        <v>61</v>
      </c>
      <c r="J9">
        <v>60</v>
      </c>
      <c r="K9">
        <v>60</v>
      </c>
      <c r="L9">
        <v>59</v>
      </c>
      <c r="M9">
        <v>59</v>
      </c>
      <c r="N9">
        <v>60</v>
      </c>
      <c r="O9">
        <v>60</v>
      </c>
      <c r="P9">
        <v>60</v>
      </c>
      <c r="Q9">
        <v>60</v>
      </c>
      <c r="R9">
        <v>60</v>
      </c>
      <c r="S9">
        <v>60</v>
      </c>
      <c r="T9">
        <v>60</v>
      </c>
      <c r="U9">
        <v>60</v>
      </c>
      <c r="V9">
        <v>58</v>
      </c>
      <c r="W9">
        <v>58</v>
      </c>
      <c r="X9">
        <v>57</v>
      </c>
      <c r="Y9">
        <v>56</v>
      </c>
      <c r="Z9" s="2">
        <f>AVERAGE(Sheet1__8[[#This Row],[00:00:00]:[23:00:00]])</f>
        <v>60.166666666666664</v>
      </c>
      <c r="AA9" t="str" cm="1">
        <f t="array" ref="AA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0" spans="1:27" x14ac:dyDescent="0.3">
      <c r="A10" s="1">
        <v>45878</v>
      </c>
      <c r="B10">
        <v>46</v>
      </c>
      <c r="C10">
        <v>48</v>
      </c>
      <c r="D10">
        <v>50</v>
      </c>
      <c r="E10">
        <v>51</v>
      </c>
      <c r="F10">
        <v>50</v>
      </c>
      <c r="G10">
        <v>50</v>
      </c>
      <c r="H10">
        <v>50</v>
      </c>
      <c r="I10">
        <v>49</v>
      </c>
      <c r="J10">
        <v>49</v>
      </c>
      <c r="K10">
        <v>48</v>
      </c>
      <c r="L10">
        <v>47</v>
      </c>
      <c r="M10">
        <v>46</v>
      </c>
      <c r="N10">
        <v>46</v>
      </c>
      <c r="O10">
        <v>46</v>
      </c>
      <c r="P10">
        <v>46</v>
      </c>
      <c r="Q10">
        <v>45</v>
      </c>
      <c r="R10">
        <v>45</v>
      </c>
      <c r="S10">
        <v>45</v>
      </c>
      <c r="T10">
        <v>45</v>
      </c>
      <c r="U10">
        <v>45</v>
      </c>
      <c r="V10">
        <v>45</v>
      </c>
      <c r="W10">
        <v>45</v>
      </c>
      <c r="X10">
        <v>45</v>
      </c>
      <c r="Y10">
        <v>46</v>
      </c>
      <c r="Z10" s="2">
        <f>AVERAGE(Sheet1__8[[#This Row],[00:00:00]:[23:00:00]])</f>
        <v>47</v>
      </c>
      <c r="AA10" t="str" cm="1">
        <f t="array" ref="AA1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1" spans="1:27" x14ac:dyDescent="0.3">
      <c r="A11" s="1">
        <v>45879</v>
      </c>
      <c r="B11">
        <v>46</v>
      </c>
      <c r="C11">
        <v>46</v>
      </c>
      <c r="D11">
        <v>46</v>
      </c>
      <c r="E11">
        <v>46</v>
      </c>
      <c r="F11">
        <v>46</v>
      </c>
      <c r="G11">
        <v>46</v>
      </c>
      <c r="H11">
        <v>45</v>
      </c>
      <c r="I11">
        <v>45</v>
      </c>
      <c r="J11">
        <v>45</v>
      </c>
      <c r="K11">
        <v>44</v>
      </c>
      <c r="L11">
        <v>43</v>
      </c>
      <c r="M11">
        <v>43</v>
      </c>
      <c r="N11">
        <v>42</v>
      </c>
      <c r="O11">
        <v>42</v>
      </c>
      <c r="P11">
        <v>43</v>
      </c>
      <c r="Q11">
        <v>43</v>
      </c>
      <c r="R11">
        <v>43</v>
      </c>
      <c r="S11">
        <v>42</v>
      </c>
      <c r="T11">
        <v>42</v>
      </c>
      <c r="U11">
        <v>41</v>
      </c>
      <c r="V11">
        <v>40</v>
      </c>
      <c r="W11">
        <v>39</v>
      </c>
      <c r="X11">
        <v>38</v>
      </c>
      <c r="Y11">
        <v>40</v>
      </c>
      <c r="Z11" s="2">
        <f>AVERAGE(Sheet1__8[[#This Row],[00:00:00]:[23:00:00]])</f>
        <v>43.166666666666664</v>
      </c>
      <c r="AA11" t="str" cm="1">
        <f t="array" ref="AA1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2" spans="1:27" x14ac:dyDescent="0.3">
      <c r="A12" s="1">
        <v>45880</v>
      </c>
      <c r="B12">
        <v>42</v>
      </c>
      <c r="C12">
        <v>44</v>
      </c>
      <c r="D12">
        <v>47</v>
      </c>
      <c r="E12">
        <v>48</v>
      </c>
      <c r="F12">
        <v>48</v>
      </c>
      <c r="G12">
        <v>48</v>
      </c>
      <c r="H12">
        <v>48</v>
      </c>
      <c r="I12">
        <v>46</v>
      </c>
      <c r="J12">
        <v>46</v>
      </c>
      <c r="K12">
        <v>46</v>
      </c>
      <c r="L12">
        <v>46</v>
      </c>
      <c r="M12">
        <v>44</v>
      </c>
      <c r="N12">
        <v>43</v>
      </c>
      <c r="O12">
        <v>42</v>
      </c>
      <c r="P12">
        <v>42</v>
      </c>
      <c r="Q12">
        <v>41</v>
      </c>
      <c r="R12">
        <v>40</v>
      </c>
      <c r="S12">
        <v>40</v>
      </c>
      <c r="T12">
        <v>38</v>
      </c>
      <c r="U12">
        <v>36</v>
      </c>
      <c r="V12">
        <v>36</v>
      </c>
      <c r="W12">
        <v>37</v>
      </c>
      <c r="X12">
        <v>39</v>
      </c>
      <c r="Y12">
        <v>41</v>
      </c>
      <c r="Z12" s="2">
        <f>AVERAGE(Sheet1__8[[#This Row],[00:00:00]:[23:00:00]])</f>
        <v>42.833333333333336</v>
      </c>
      <c r="AA12" t="str" cm="1">
        <f t="array" ref="AA1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3" spans="1:27" x14ac:dyDescent="0.3">
      <c r="A13" s="1">
        <v>45881</v>
      </c>
      <c r="B13">
        <v>43</v>
      </c>
      <c r="C13">
        <v>45</v>
      </c>
      <c r="D13">
        <v>47</v>
      </c>
      <c r="E13">
        <v>48</v>
      </c>
      <c r="F13">
        <v>48</v>
      </c>
      <c r="G13">
        <v>47</v>
      </c>
      <c r="H13">
        <v>45</v>
      </c>
      <c r="I13">
        <v>51</v>
      </c>
      <c r="J13">
        <v>52</v>
      </c>
      <c r="K13">
        <v>52</v>
      </c>
      <c r="L13">
        <v>52</v>
      </c>
      <c r="M13">
        <v>50</v>
      </c>
      <c r="N13">
        <v>49</v>
      </c>
      <c r="O13">
        <v>48</v>
      </c>
      <c r="P13">
        <v>48</v>
      </c>
      <c r="Q13">
        <v>48</v>
      </c>
      <c r="R13">
        <v>47</v>
      </c>
      <c r="S13">
        <v>46</v>
      </c>
      <c r="T13">
        <v>45</v>
      </c>
      <c r="U13">
        <v>44</v>
      </c>
      <c r="V13">
        <v>44</v>
      </c>
      <c r="W13">
        <v>44</v>
      </c>
      <c r="X13">
        <v>44</v>
      </c>
      <c r="Y13">
        <v>44</v>
      </c>
      <c r="Z13" s="2">
        <f>AVERAGE(Sheet1__8[[#This Row],[00:00:00]:[23:00:00]])</f>
        <v>47.125</v>
      </c>
      <c r="AA13" t="str" cm="1">
        <f t="array" ref="AA1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4" spans="1:27" x14ac:dyDescent="0.3">
      <c r="A14" s="1">
        <v>45882</v>
      </c>
      <c r="B14">
        <v>46</v>
      </c>
      <c r="C14">
        <v>46</v>
      </c>
      <c r="D14">
        <v>46</v>
      </c>
      <c r="E14">
        <v>46</v>
      </c>
      <c r="F14">
        <v>45</v>
      </c>
      <c r="G14">
        <v>44</v>
      </c>
      <c r="H14">
        <v>44</v>
      </c>
      <c r="I14">
        <v>42</v>
      </c>
      <c r="J14">
        <v>42</v>
      </c>
      <c r="K14">
        <v>40</v>
      </c>
      <c r="L14">
        <v>39</v>
      </c>
      <c r="M14">
        <v>38</v>
      </c>
      <c r="N14">
        <v>38</v>
      </c>
      <c r="O14">
        <v>38</v>
      </c>
      <c r="P14">
        <v>40</v>
      </c>
      <c r="Q14">
        <v>40</v>
      </c>
      <c r="R14">
        <v>40</v>
      </c>
      <c r="S14">
        <v>41</v>
      </c>
      <c r="T14">
        <v>41</v>
      </c>
      <c r="U14">
        <v>42</v>
      </c>
      <c r="V14">
        <v>41</v>
      </c>
      <c r="W14">
        <v>48</v>
      </c>
      <c r="X14">
        <v>50</v>
      </c>
      <c r="Y14">
        <v>52</v>
      </c>
      <c r="Z14" s="2">
        <f>AVERAGE(Sheet1__8[[#This Row],[00:00:00]:[23:00:00]])</f>
        <v>42.875</v>
      </c>
      <c r="AA14" t="str" cm="1">
        <f t="array" ref="AA1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5" spans="1:27" x14ac:dyDescent="0.3">
      <c r="A15" s="1">
        <v>45883</v>
      </c>
      <c r="B15">
        <v>52</v>
      </c>
      <c r="C15">
        <v>53</v>
      </c>
      <c r="D15">
        <v>54</v>
      </c>
      <c r="E15">
        <v>54</v>
      </c>
      <c r="F15">
        <v>55</v>
      </c>
      <c r="G15">
        <v>53</v>
      </c>
      <c r="H15">
        <v>51</v>
      </c>
      <c r="I15">
        <v>49</v>
      </c>
      <c r="J15">
        <v>48</v>
      </c>
      <c r="K15">
        <v>47</v>
      </c>
      <c r="L15">
        <v>46</v>
      </c>
      <c r="M15">
        <v>46</v>
      </c>
      <c r="N15">
        <v>48</v>
      </c>
      <c r="O15">
        <v>47</v>
      </c>
      <c r="P15">
        <v>46</v>
      </c>
      <c r="Q15">
        <v>45</v>
      </c>
      <c r="R15">
        <v>44</v>
      </c>
      <c r="S15">
        <v>44</v>
      </c>
      <c r="T15">
        <v>42</v>
      </c>
      <c r="U15">
        <v>42</v>
      </c>
      <c r="V15">
        <v>43</v>
      </c>
      <c r="W15">
        <v>43</v>
      </c>
      <c r="X15">
        <v>44</v>
      </c>
      <c r="Y15">
        <v>43</v>
      </c>
      <c r="Z15" s="2">
        <f>AVERAGE(Sheet1__8[[#This Row],[00:00:00]:[23:00:00]])</f>
        <v>47.458333333333336</v>
      </c>
      <c r="AA15" t="str" cm="1">
        <f t="array" ref="AA1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6" spans="1:27" x14ac:dyDescent="0.3">
      <c r="A16" s="1">
        <v>45884</v>
      </c>
      <c r="B16">
        <v>43</v>
      </c>
      <c r="C16">
        <v>42</v>
      </c>
      <c r="D16">
        <v>42</v>
      </c>
      <c r="E16">
        <v>40</v>
      </c>
      <c r="F16">
        <v>41</v>
      </c>
      <c r="G16">
        <v>40</v>
      </c>
      <c r="H16">
        <v>40</v>
      </c>
      <c r="I16">
        <v>37</v>
      </c>
      <c r="J16">
        <v>38</v>
      </c>
      <c r="K16">
        <v>39</v>
      </c>
      <c r="L16">
        <v>40</v>
      </c>
      <c r="M16">
        <v>40</v>
      </c>
      <c r="N16">
        <v>42</v>
      </c>
      <c r="O16">
        <v>42</v>
      </c>
      <c r="P16">
        <v>41</v>
      </c>
      <c r="Q16">
        <v>40</v>
      </c>
      <c r="R16">
        <v>39</v>
      </c>
      <c r="S16">
        <v>38</v>
      </c>
      <c r="T16">
        <v>36</v>
      </c>
      <c r="U16">
        <v>36</v>
      </c>
      <c r="V16">
        <v>38</v>
      </c>
      <c r="W16">
        <v>40</v>
      </c>
      <c r="X16">
        <v>42</v>
      </c>
      <c r="Y16">
        <v>42</v>
      </c>
      <c r="Z16" s="2">
        <f>AVERAGE(Sheet1__8[[#This Row],[00:00:00]:[23:00:00]])</f>
        <v>39.916666666666664</v>
      </c>
      <c r="AA16" t="str" cm="1">
        <f t="array" ref="AA1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7" spans="1:27" x14ac:dyDescent="0.3">
      <c r="A17" s="1">
        <v>45885</v>
      </c>
      <c r="B17">
        <v>43</v>
      </c>
      <c r="C17">
        <v>44</v>
      </c>
      <c r="D17">
        <v>45</v>
      </c>
      <c r="E17">
        <v>46</v>
      </c>
      <c r="F17">
        <v>46</v>
      </c>
      <c r="G17">
        <v>44</v>
      </c>
      <c r="H17">
        <v>42</v>
      </c>
      <c r="I17">
        <v>39</v>
      </c>
      <c r="J17">
        <v>39</v>
      </c>
      <c r="K17">
        <v>38</v>
      </c>
      <c r="L17">
        <v>37</v>
      </c>
      <c r="M17">
        <v>37</v>
      </c>
      <c r="N17">
        <v>38</v>
      </c>
      <c r="O17">
        <v>38</v>
      </c>
      <c r="P17">
        <v>38</v>
      </c>
      <c r="Q17">
        <v>38</v>
      </c>
      <c r="R17">
        <v>38</v>
      </c>
      <c r="S17">
        <v>38</v>
      </c>
      <c r="T17">
        <v>38</v>
      </c>
      <c r="U17">
        <v>38</v>
      </c>
      <c r="V17">
        <v>38</v>
      </c>
      <c r="W17">
        <v>36</v>
      </c>
      <c r="X17">
        <v>36</v>
      </c>
      <c r="Y17">
        <v>36</v>
      </c>
      <c r="Z17" s="2">
        <f>AVERAGE(Sheet1__8[[#This Row],[00:00:00]:[23:00:00]])</f>
        <v>39.583333333333336</v>
      </c>
      <c r="AA17" t="str" cm="1">
        <f t="array" ref="AA1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8" spans="1:27" x14ac:dyDescent="0.3">
      <c r="A18" s="1">
        <v>45886</v>
      </c>
      <c r="B18">
        <v>36</v>
      </c>
      <c r="C18">
        <v>35</v>
      </c>
      <c r="D18">
        <v>47</v>
      </c>
      <c r="E18">
        <v>47</v>
      </c>
      <c r="F18">
        <v>48</v>
      </c>
      <c r="G18">
        <v>49</v>
      </c>
      <c r="H18">
        <v>50</v>
      </c>
      <c r="I18">
        <v>36</v>
      </c>
      <c r="J18">
        <v>36</v>
      </c>
      <c r="K18">
        <v>37</v>
      </c>
      <c r="L18">
        <v>38</v>
      </c>
      <c r="M18">
        <v>38</v>
      </c>
      <c r="N18">
        <v>40</v>
      </c>
      <c r="O18">
        <v>40</v>
      </c>
      <c r="P18">
        <v>42</v>
      </c>
      <c r="Q18">
        <v>42</v>
      </c>
      <c r="R18">
        <v>40</v>
      </c>
      <c r="S18">
        <v>40</v>
      </c>
      <c r="T18">
        <v>38</v>
      </c>
      <c r="U18">
        <v>38</v>
      </c>
      <c r="V18">
        <v>38</v>
      </c>
      <c r="W18">
        <v>38</v>
      </c>
      <c r="X18">
        <v>38</v>
      </c>
      <c r="Y18">
        <v>36</v>
      </c>
      <c r="Z18" s="2">
        <f>AVERAGE(Sheet1__8[[#This Row],[00:00:00]:[23:00:00]])</f>
        <v>40.291666666666664</v>
      </c>
      <c r="AA18" t="str" cm="1">
        <f t="array" ref="AA1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9" spans="1:27" x14ac:dyDescent="0.3">
      <c r="A19" s="1">
        <v>45887</v>
      </c>
      <c r="B19">
        <v>36</v>
      </c>
      <c r="C19">
        <v>36</v>
      </c>
      <c r="D19">
        <v>37</v>
      </c>
      <c r="E19">
        <v>38</v>
      </c>
      <c r="F19">
        <v>37</v>
      </c>
      <c r="G19">
        <v>38</v>
      </c>
      <c r="H19">
        <v>38</v>
      </c>
      <c r="I19">
        <v>36</v>
      </c>
      <c r="J19">
        <v>36</v>
      </c>
      <c r="K19">
        <v>36</v>
      </c>
      <c r="L19">
        <v>35</v>
      </c>
      <c r="M19">
        <v>35</v>
      </c>
      <c r="N19">
        <v>34</v>
      </c>
      <c r="O19">
        <v>35</v>
      </c>
      <c r="P19">
        <v>35</v>
      </c>
      <c r="Q19">
        <v>34</v>
      </c>
      <c r="R19">
        <v>33</v>
      </c>
      <c r="S19">
        <v>33</v>
      </c>
      <c r="T19">
        <v>32</v>
      </c>
      <c r="U19">
        <v>30</v>
      </c>
      <c r="V19">
        <v>31</v>
      </c>
      <c r="W19">
        <v>32</v>
      </c>
      <c r="X19">
        <v>32</v>
      </c>
      <c r="Y19">
        <v>33</v>
      </c>
      <c r="Z19" s="2">
        <f>AVERAGE(Sheet1__8[[#This Row],[00:00:00]:[23:00:00]])</f>
        <v>34.666666666666664</v>
      </c>
      <c r="AA19" t="str" cm="1">
        <f t="array" ref="AA1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0" spans="1:27" x14ac:dyDescent="0.3">
      <c r="A20" s="1">
        <v>45888</v>
      </c>
      <c r="B20">
        <v>34</v>
      </c>
      <c r="C20">
        <v>34</v>
      </c>
      <c r="D20">
        <v>34</v>
      </c>
      <c r="E20">
        <v>34</v>
      </c>
      <c r="F20">
        <v>33</v>
      </c>
      <c r="G20">
        <v>32</v>
      </c>
      <c r="H20">
        <v>32</v>
      </c>
      <c r="I20">
        <v>41</v>
      </c>
      <c r="J20">
        <v>42</v>
      </c>
      <c r="K20">
        <v>42</v>
      </c>
      <c r="L20">
        <v>41</v>
      </c>
      <c r="M20">
        <v>41</v>
      </c>
      <c r="N20">
        <v>41</v>
      </c>
      <c r="O20">
        <v>42</v>
      </c>
      <c r="P20">
        <v>42</v>
      </c>
      <c r="Q20">
        <v>42</v>
      </c>
      <c r="R20">
        <v>42</v>
      </c>
      <c r="S20">
        <v>41</v>
      </c>
      <c r="T20">
        <v>41</v>
      </c>
      <c r="U20">
        <v>41</v>
      </c>
      <c r="V20">
        <v>41</v>
      </c>
      <c r="W20">
        <v>42</v>
      </c>
      <c r="X20">
        <v>42</v>
      </c>
      <c r="Y20">
        <v>42</v>
      </c>
      <c r="Z20" s="2">
        <f>AVERAGE(Sheet1__8[[#This Row],[00:00:00]:[23:00:00]])</f>
        <v>39.125</v>
      </c>
      <c r="AA20" t="str" cm="1">
        <f t="array" ref="AA2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1" spans="1:27" x14ac:dyDescent="0.3">
      <c r="A21" s="1">
        <v>45889</v>
      </c>
      <c r="B21">
        <v>42</v>
      </c>
      <c r="C21">
        <v>43</v>
      </c>
      <c r="D21">
        <v>43</v>
      </c>
      <c r="E21">
        <v>43</v>
      </c>
      <c r="F21">
        <v>43</v>
      </c>
      <c r="G21">
        <v>43</v>
      </c>
      <c r="H21">
        <v>43</v>
      </c>
      <c r="I21">
        <v>42</v>
      </c>
      <c r="J21">
        <v>41</v>
      </c>
      <c r="K21">
        <v>41</v>
      </c>
      <c r="L21">
        <v>41</v>
      </c>
      <c r="M21">
        <v>41</v>
      </c>
      <c r="N21">
        <v>41</v>
      </c>
      <c r="O21">
        <v>41</v>
      </c>
      <c r="P21">
        <v>41</v>
      </c>
      <c r="Q21">
        <v>32</v>
      </c>
      <c r="R21">
        <v>32</v>
      </c>
      <c r="S21">
        <v>32</v>
      </c>
      <c r="T21">
        <v>32</v>
      </c>
      <c r="U21">
        <v>33</v>
      </c>
      <c r="V21">
        <v>34</v>
      </c>
      <c r="W21">
        <v>34</v>
      </c>
      <c r="X21">
        <v>34</v>
      </c>
      <c r="Y21">
        <v>34</v>
      </c>
      <c r="Z21" s="2">
        <f>AVERAGE(Sheet1__8[[#This Row],[00:00:00]:[23:00:00]])</f>
        <v>38.583333333333336</v>
      </c>
      <c r="AA21" t="str" cm="1">
        <f t="array" ref="AA2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2" spans="1:27" x14ac:dyDescent="0.3">
      <c r="A22" s="1">
        <v>45890</v>
      </c>
      <c r="B22">
        <v>34</v>
      </c>
      <c r="C22">
        <v>34</v>
      </c>
      <c r="D22">
        <v>34</v>
      </c>
      <c r="E22">
        <v>34</v>
      </c>
      <c r="F22">
        <v>34</v>
      </c>
      <c r="G22">
        <v>34</v>
      </c>
      <c r="H22">
        <v>34</v>
      </c>
      <c r="I22">
        <v>33</v>
      </c>
      <c r="J22">
        <v>34</v>
      </c>
      <c r="K22">
        <v>34</v>
      </c>
      <c r="L22">
        <v>35</v>
      </c>
      <c r="M22">
        <v>36</v>
      </c>
      <c r="N22">
        <v>36</v>
      </c>
      <c r="O22">
        <v>36</v>
      </c>
      <c r="P22">
        <v>36</v>
      </c>
      <c r="Q22">
        <v>36</v>
      </c>
      <c r="R22">
        <v>36</v>
      </c>
      <c r="S22">
        <v>36</v>
      </c>
      <c r="T22">
        <v>36</v>
      </c>
      <c r="U22">
        <v>36</v>
      </c>
      <c r="V22">
        <v>36</v>
      </c>
      <c r="W22">
        <v>37</v>
      </c>
      <c r="X22">
        <v>38</v>
      </c>
      <c r="Y22">
        <v>38</v>
      </c>
      <c r="Z22" s="2">
        <f>AVERAGE(Sheet1__8[[#This Row],[00:00:00]:[23:00:00]])</f>
        <v>35.291666666666664</v>
      </c>
      <c r="AA22" t="str" cm="1">
        <f t="array" ref="AA2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3" spans="1:27" x14ac:dyDescent="0.3">
      <c r="A23" s="1">
        <v>45891</v>
      </c>
      <c r="B23">
        <v>38</v>
      </c>
      <c r="C23">
        <v>38</v>
      </c>
      <c r="D23">
        <v>38</v>
      </c>
      <c r="E23">
        <v>39</v>
      </c>
      <c r="F23">
        <v>40</v>
      </c>
      <c r="G23">
        <v>40</v>
      </c>
      <c r="H23">
        <v>40</v>
      </c>
      <c r="I23">
        <v>40</v>
      </c>
      <c r="J23">
        <v>40</v>
      </c>
      <c r="K23">
        <v>40</v>
      </c>
      <c r="L23">
        <v>40</v>
      </c>
      <c r="M23">
        <v>40</v>
      </c>
      <c r="N23">
        <v>40</v>
      </c>
      <c r="O23">
        <v>40</v>
      </c>
      <c r="P23">
        <v>40</v>
      </c>
      <c r="Q23">
        <v>40</v>
      </c>
      <c r="R23">
        <v>40</v>
      </c>
      <c r="S23">
        <v>40</v>
      </c>
      <c r="T23">
        <v>40</v>
      </c>
      <c r="U23">
        <v>40</v>
      </c>
      <c r="V23">
        <v>41</v>
      </c>
      <c r="W23">
        <v>42</v>
      </c>
      <c r="X23">
        <v>42</v>
      </c>
      <c r="Y23">
        <v>42</v>
      </c>
      <c r="Z23" s="2">
        <f>AVERAGE(Sheet1__8[[#This Row],[00:00:00]:[23:00:00]])</f>
        <v>40</v>
      </c>
      <c r="AA23" t="str" cm="1">
        <f t="array" ref="AA2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4" spans="1:27" x14ac:dyDescent="0.3">
      <c r="A24" s="1">
        <v>45892</v>
      </c>
      <c r="B24">
        <v>42</v>
      </c>
      <c r="C24">
        <v>42</v>
      </c>
      <c r="D24">
        <v>42</v>
      </c>
      <c r="E24">
        <v>43</v>
      </c>
      <c r="F24">
        <v>42</v>
      </c>
      <c r="G24">
        <v>43</v>
      </c>
      <c r="H24">
        <v>43</v>
      </c>
      <c r="I24">
        <v>42</v>
      </c>
      <c r="J24">
        <v>42</v>
      </c>
      <c r="K24">
        <v>43</v>
      </c>
      <c r="L24">
        <v>43</v>
      </c>
      <c r="M24">
        <v>44</v>
      </c>
      <c r="N24">
        <v>44</v>
      </c>
      <c r="O24">
        <v>44</v>
      </c>
      <c r="P24">
        <v>45</v>
      </c>
      <c r="Q24">
        <v>46</v>
      </c>
      <c r="R24">
        <v>47</v>
      </c>
      <c r="S24">
        <v>48</v>
      </c>
      <c r="T24">
        <v>48</v>
      </c>
      <c r="U24">
        <v>49</v>
      </c>
      <c r="V24">
        <v>49</v>
      </c>
      <c r="W24">
        <v>50</v>
      </c>
      <c r="X24">
        <v>50</v>
      </c>
      <c r="Y24">
        <v>50</v>
      </c>
      <c r="Z24" s="2">
        <f>AVERAGE(Sheet1__8[[#This Row],[00:00:00]:[23:00:00]])</f>
        <v>45.041666666666664</v>
      </c>
      <c r="AA24" t="str" cm="1">
        <f t="array" ref="AA2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5" spans="1:27" x14ac:dyDescent="0.3">
      <c r="A25" s="1">
        <v>45893</v>
      </c>
      <c r="B25">
        <v>50</v>
      </c>
      <c r="C25">
        <v>50</v>
      </c>
      <c r="D25">
        <v>50</v>
      </c>
      <c r="E25">
        <v>50</v>
      </c>
      <c r="F25">
        <v>50</v>
      </c>
      <c r="G25">
        <v>50</v>
      </c>
      <c r="H25">
        <v>50</v>
      </c>
      <c r="I25">
        <v>50</v>
      </c>
      <c r="J25">
        <v>50</v>
      </c>
      <c r="K25">
        <v>50</v>
      </c>
      <c r="L25">
        <v>50</v>
      </c>
      <c r="M25">
        <v>49</v>
      </c>
      <c r="O25">
        <v>50</v>
      </c>
      <c r="P25">
        <v>50</v>
      </c>
      <c r="Q25">
        <v>50</v>
      </c>
      <c r="R25">
        <v>50</v>
      </c>
      <c r="S25">
        <v>49</v>
      </c>
      <c r="T25">
        <v>48</v>
      </c>
      <c r="U25">
        <v>48</v>
      </c>
      <c r="V25">
        <v>47</v>
      </c>
      <c r="W25">
        <v>47</v>
      </c>
      <c r="X25">
        <v>46</v>
      </c>
      <c r="Y25">
        <v>46</v>
      </c>
      <c r="Z25" s="2">
        <f>AVERAGE(Sheet1__8[[#This Row],[00:00:00]:[23:00:00]])</f>
        <v>49.130434782608695</v>
      </c>
      <c r="AA25" t="str" cm="1">
        <f t="array" ref="AA2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6" spans="1:27" x14ac:dyDescent="0.3">
      <c r="A26" s="1">
        <v>45894</v>
      </c>
      <c r="B26">
        <v>46</v>
      </c>
      <c r="C26">
        <v>45</v>
      </c>
      <c r="D26">
        <v>45</v>
      </c>
      <c r="E26">
        <v>44</v>
      </c>
      <c r="F26">
        <v>44</v>
      </c>
      <c r="G26">
        <v>44</v>
      </c>
      <c r="H26">
        <v>43</v>
      </c>
      <c r="I26">
        <v>42</v>
      </c>
      <c r="J26">
        <v>42</v>
      </c>
      <c r="K26">
        <v>42</v>
      </c>
      <c r="L26">
        <v>42</v>
      </c>
      <c r="M26">
        <v>42</v>
      </c>
      <c r="N26">
        <v>42</v>
      </c>
      <c r="O26">
        <v>42</v>
      </c>
      <c r="P26">
        <v>41</v>
      </c>
      <c r="Q26">
        <v>40</v>
      </c>
      <c r="R26">
        <v>40</v>
      </c>
      <c r="S26">
        <v>40</v>
      </c>
      <c r="T26">
        <v>40</v>
      </c>
      <c r="U26">
        <v>38</v>
      </c>
      <c r="V26">
        <v>38</v>
      </c>
      <c r="W26">
        <v>38</v>
      </c>
      <c r="X26">
        <v>38</v>
      </c>
      <c r="Y26">
        <v>38</v>
      </c>
      <c r="Z26" s="2">
        <f>AVERAGE(Sheet1__8[[#This Row],[00:00:00]:[23:00:00]])</f>
        <v>41.5</v>
      </c>
      <c r="AA26" t="str" cm="1">
        <f t="array" ref="AA2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7" spans="1:27" x14ac:dyDescent="0.3">
      <c r="A27" s="1">
        <v>45895</v>
      </c>
      <c r="B27">
        <v>40</v>
      </c>
      <c r="C27">
        <v>39</v>
      </c>
      <c r="D27">
        <v>38</v>
      </c>
      <c r="E27">
        <v>38</v>
      </c>
      <c r="F27">
        <v>36</v>
      </c>
      <c r="G27">
        <v>36</v>
      </c>
      <c r="H27">
        <v>35</v>
      </c>
      <c r="I27">
        <v>34</v>
      </c>
      <c r="J27">
        <v>34</v>
      </c>
      <c r="K27">
        <v>34</v>
      </c>
      <c r="L27">
        <v>34</v>
      </c>
      <c r="M27">
        <v>35</v>
      </c>
      <c r="N27">
        <v>35</v>
      </c>
      <c r="O27">
        <v>36</v>
      </c>
      <c r="P27">
        <v>36</v>
      </c>
      <c r="Q27">
        <v>38</v>
      </c>
      <c r="R27">
        <v>38</v>
      </c>
      <c r="S27">
        <v>37</v>
      </c>
      <c r="T27">
        <v>38</v>
      </c>
      <c r="U27">
        <v>38</v>
      </c>
      <c r="V27">
        <v>38</v>
      </c>
      <c r="W27">
        <v>38</v>
      </c>
      <c r="X27">
        <v>38</v>
      </c>
      <c r="Y27">
        <v>38</v>
      </c>
      <c r="Z27" s="2">
        <f>AVERAGE(Sheet1__8[[#This Row],[00:00:00]:[23:00:00]])</f>
        <v>36.708333333333336</v>
      </c>
      <c r="AA27" t="str" cm="1">
        <f t="array" ref="AA2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8" spans="1:27" x14ac:dyDescent="0.3">
      <c r="A28" s="1">
        <v>45896</v>
      </c>
      <c r="B28">
        <v>38</v>
      </c>
      <c r="C28">
        <v>38</v>
      </c>
      <c r="D28">
        <v>38</v>
      </c>
      <c r="E28">
        <v>38</v>
      </c>
      <c r="F28">
        <v>38</v>
      </c>
      <c r="G28">
        <v>38</v>
      </c>
      <c r="H28">
        <v>38</v>
      </c>
      <c r="I28">
        <v>38</v>
      </c>
      <c r="J28">
        <v>37</v>
      </c>
      <c r="K28">
        <v>38</v>
      </c>
      <c r="L28">
        <v>38</v>
      </c>
      <c r="M28">
        <v>38</v>
      </c>
      <c r="N28">
        <v>38</v>
      </c>
      <c r="O28">
        <v>38</v>
      </c>
      <c r="P28">
        <v>38</v>
      </c>
      <c r="Q28">
        <v>38</v>
      </c>
      <c r="R28">
        <v>38</v>
      </c>
      <c r="S28">
        <v>38</v>
      </c>
      <c r="T28">
        <v>38</v>
      </c>
      <c r="U28">
        <v>38</v>
      </c>
      <c r="V28">
        <v>38</v>
      </c>
      <c r="W28">
        <v>38</v>
      </c>
      <c r="X28">
        <v>39</v>
      </c>
      <c r="Y28">
        <v>40</v>
      </c>
      <c r="Z28" s="2">
        <f>AVERAGE(Sheet1__8[[#This Row],[00:00:00]:[23:00:00]])</f>
        <v>38.083333333333336</v>
      </c>
      <c r="AA28" t="str" cm="1">
        <f t="array" ref="AA2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9" spans="1:27" x14ac:dyDescent="0.3">
      <c r="A29" s="1">
        <v>45897</v>
      </c>
      <c r="B29">
        <v>40</v>
      </c>
      <c r="C29">
        <v>40</v>
      </c>
      <c r="D29">
        <v>40</v>
      </c>
      <c r="F29">
        <v>40</v>
      </c>
      <c r="G29">
        <v>40</v>
      </c>
      <c r="H29">
        <v>40</v>
      </c>
      <c r="I29">
        <v>40</v>
      </c>
      <c r="J29">
        <v>40</v>
      </c>
      <c r="K29">
        <v>40</v>
      </c>
      <c r="L29">
        <v>42</v>
      </c>
      <c r="M29">
        <v>42</v>
      </c>
      <c r="N29">
        <v>42</v>
      </c>
      <c r="O29">
        <v>42</v>
      </c>
      <c r="P29">
        <v>42</v>
      </c>
      <c r="Q29">
        <v>42</v>
      </c>
      <c r="R29">
        <v>40</v>
      </c>
      <c r="S29">
        <v>40</v>
      </c>
      <c r="U29">
        <v>40</v>
      </c>
      <c r="V29">
        <v>40</v>
      </c>
      <c r="W29">
        <v>40</v>
      </c>
      <c r="X29">
        <v>41</v>
      </c>
      <c r="Y29">
        <v>42</v>
      </c>
      <c r="Z29" s="2">
        <f>AVERAGE(Sheet1__8[[#This Row],[00:00:00]:[23:00:00]])</f>
        <v>40.68181818181818</v>
      </c>
      <c r="AA29" t="str" cm="1">
        <f t="array" ref="AA2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30" spans="1:27" x14ac:dyDescent="0.3">
      <c r="A30" s="1">
        <v>45898</v>
      </c>
      <c r="B30">
        <v>43</v>
      </c>
      <c r="C30">
        <v>45</v>
      </c>
      <c r="D30">
        <v>46</v>
      </c>
      <c r="E30">
        <v>47</v>
      </c>
      <c r="F30">
        <v>48</v>
      </c>
      <c r="G30">
        <v>48</v>
      </c>
      <c r="H30">
        <v>47</v>
      </c>
      <c r="I30">
        <v>46</v>
      </c>
      <c r="J30">
        <v>44</v>
      </c>
      <c r="K30">
        <v>44</v>
      </c>
      <c r="L30">
        <v>44</v>
      </c>
      <c r="M30">
        <v>44</v>
      </c>
      <c r="N30">
        <v>42</v>
      </c>
      <c r="O30">
        <v>42</v>
      </c>
      <c r="P30">
        <v>43</v>
      </c>
      <c r="Q30">
        <v>43</v>
      </c>
      <c r="R30">
        <v>43</v>
      </c>
      <c r="S30">
        <v>42</v>
      </c>
      <c r="T30">
        <v>46</v>
      </c>
      <c r="U30">
        <v>52</v>
      </c>
      <c r="V30">
        <v>108</v>
      </c>
      <c r="W30">
        <v>128</v>
      </c>
      <c r="X30">
        <v>119</v>
      </c>
      <c r="Y30">
        <v>92</v>
      </c>
      <c r="Z30" s="2">
        <f>AVERAGE(Sheet1__8[[#This Row],[00:00:00]:[23:00:00]])</f>
        <v>56.083333333333336</v>
      </c>
      <c r="AA30" t="str" cm="1">
        <f t="array" ref="AA3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1" spans="1:27" x14ac:dyDescent="0.3">
      <c r="A31" s="1">
        <v>45899</v>
      </c>
      <c r="B31">
        <v>96</v>
      </c>
      <c r="C31">
        <v>98</v>
      </c>
      <c r="D31">
        <v>102</v>
      </c>
      <c r="E31">
        <v>104</v>
      </c>
      <c r="F31">
        <v>103</v>
      </c>
      <c r="G31">
        <v>98</v>
      </c>
      <c r="H31">
        <v>110</v>
      </c>
      <c r="I31">
        <v>89</v>
      </c>
      <c r="J31">
        <v>88</v>
      </c>
      <c r="K31">
        <v>82</v>
      </c>
      <c r="L31">
        <v>78</v>
      </c>
      <c r="M31">
        <v>78</v>
      </c>
      <c r="N31">
        <v>68</v>
      </c>
      <c r="O31">
        <v>64</v>
      </c>
      <c r="P31">
        <v>62</v>
      </c>
      <c r="Q31">
        <v>56</v>
      </c>
      <c r="R31">
        <v>56</v>
      </c>
      <c r="S31">
        <v>56</v>
      </c>
      <c r="T31">
        <v>59</v>
      </c>
      <c r="U31">
        <v>60</v>
      </c>
      <c r="V31">
        <v>62</v>
      </c>
      <c r="W31">
        <v>64</v>
      </c>
      <c r="X31">
        <v>64</v>
      </c>
      <c r="Y31">
        <v>65</v>
      </c>
      <c r="Z31" s="2">
        <f>AVERAGE(Sheet1__8[[#This Row],[00:00:00]:[23:00:00]])</f>
        <v>77.583333333333329</v>
      </c>
      <c r="AA31" t="str" cm="1">
        <f t="array" ref="AA3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2" spans="1:27" x14ac:dyDescent="0.3">
      <c r="A32" s="1">
        <v>45900</v>
      </c>
      <c r="C32">
        <v>65</v>
      </c>
      <c r="D32">
        <v>61</v>
      </c>
      <c r="E32">
        <v>58</v>
      </c>
      <c r="F32">
        <v>54</v>
      </c>
      <c r="G32">
        <v>51</v>
      </c>
      <c r="H32">
        <v>52</v>
      </c>
      <c r="I32">
        <v>50</v>
      </c>
      <c r="J32">
        <v>50</v>
      </c>
      <c r="K32">
        <v>50</v>
      </c>
      <c r="L32">
        <v>52</v>
      </c>
      <c r="M32">
        <v>54</v>
      </c>
      <c r="N32">
        <v>56</v>
      </c>
      <c r="O32">
        <v>58</v>
      </c>
      <c r="P32">
        <v>59</v>
      </c>
      <c r="Q32">
        <v>58</v>
      </c>
      <c r="R32">
        <v>58</v>
      </c>
      <c r="S32">
        <v>58</v>
      </c>
      <c r="T32">
        <v>60</v>
      </c>
      <c r="U32">
        <v>70</v>
      </c>
      <c r="V32">
        <v>68</v>
      </c>
      <c r="W32">
        <v>68</v>
      </c>
      <c r="X32">
        <v>68</v>
      </c>
      <c r="Y32">
        <v>66</v>
      </c>
      <c r="Z32" s="2">
        <f>AVERAGE(Sheet1__8[[#This Row],[00:00:00]:[23:00:00]])</f>
        <v>58.434782608695649</v>
      </c>
      <c r="AA32" t="str" cm="1">
        <f t="array" ref="AA3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3" spans="26:27" x14ac:dyDescent="0.3">
      <c r="Z33" s="2">
        <f>SUBTOTAL(101,Sheet1__8[AVERAGE AQI])</f>
        <v>48.101566152407663</v>
      </c>
      <c r="AA33" s="3"/>
    </row>
    <row r="34" spans="26:27" x14ac:dyDescent="0.3">
      <c r="Z34" s="2"/>
    </row>
  </sheetData>
  <conditionalFormatting sqref="AA1:AA1048576">
    <cfRule type="containsText" dxfId="38" priority="2" operator="containsText" text="GOOD">
      <formula>NOT(ISERROR(SEARCH("GOOD",AA1)))</formula>
    </cfRule>
    <cfRule type="containsText" dxfId="39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AF97-DC61-480E-BC99-C6E59AE3D3A7}">
  <dimension ref="A1:AA32"/>
  <sheetViews>
    <sheetView topLeftCell="A13" workbookViewId="0">
      <selection activeCell="AD13" sqref="AD1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7.77734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45901</v>
      </c>
      <c r="B2">
        <v>66</v>
      </c>
      <c r="C2">
        <v>64</v>
      </c>
      <c r="D2">
        <v>60</v>
      </c>
      <c r="E2">
        <v>54</v>
      </c>
      <c r="F2">
        <v>49</v>
      </c>
      <c r="G2">
        <v>50</v>
      </c>
      <c r="H2">
        <v>48</v>
      </c>
      <c r="I2">
        <v>48</v>
      </c>
      <c r="J2">
        <v>48</v>
      </c>
      <c r="K2">
        <v>49</v>
      </c>
      <c r="L2">
        <v>49</v>
      </c>
      <c r="M2">
        <v>50</v>
      </c>
      <c r="N2">
        <v>52</v>
      </c>
      <c r="O2">
        <v>52</v>
      </c>
      <c r="P2">
        <v>55</v>
      </c>
      <c r="Q2">
        <v>56</v>
      </c>
      <c r="R2">
        <v>60</v>
      </c>
      <c r="S2">
        <v>62</v>
      </c>
      <c r="T2">
        <v>62</v>
      </c>
      <c r="U2">
        <v>62</v>
      </c>
      <c r="V2">
        <v>62</v>
      </c>
      <c r="W2">
        <v>62</v>
      </c>
      <c r="X2">
        <v>60</v>
      </c>
      <c r="Y2">
        <v>60</v>
      </c>
      <c r="Z2" s="2">
        <f>AVERAGE(Sheet1__9[[#This Row],[00:00:00]:[23:00:00]])</f>
        <v>55.833333333333336</v>
      </c>
      <c r="AA2" t="str" cm="1">
        <f t="array" ref="AA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3" spans="1:27" x14ac:dyDescent="0.3">
      <c r="A3" s="1">
        <v>45902</v>
      </c>
      <c r="B3">
        <v>58</v>
      </c>
      <c r="C3">
        <v>56</v>
      </c>
      <c r="D3">
        <v>56</v>
      </c>
      <c r="E3">
        <v>56</v>
      </c>
      <c r="F3">
        <v>55</v>
      </c>
      <c r="G3">
        <v>54</v>
      </c>
      <c r="H3">
        <v>53</v>
      </c>
      <c r="I3">
        <v>52</v>
      </c>
      <c r="J3">
        <v>51</v>
      </c>
      <c r="K3">
        <v>51</v>
      </c>
      <c r="L3">
        <v>54</v>
      </c>
      <c r="M3">
        <v>56</v>
      </c>
      <c r="N3">
        <v>58</v>
      </c>
      <c r="O3">
        <v>59</v>
      </c>
      <c r="P3">
        <v>56</v>
      </c>
      <c r="Q3">
        <v>58</v>
      </c>
      <c r="R3">
        <v>101</v>
      </c>
      <c r="S3">
        <v>60</v>
      </c>
      <c r="T3">
        <v>57</v>
      </c>
      <c r="U3">
        <v>50</v>
      </c>
      <c r="V3">
        <v>44</v>
      </c>
      <c r="W3">
        <v>44</v>
      </c>
      <c r="X3">
        <v>43</v>
      </c>
      <c r="Y3">
        <v>44</v>
      </c>
      <c r="Z3" s="2">
        <f>AVERAGE(Sheet1__9[[#This Row],[00:00:00]:[23:00:00]])</f>
        <v>55.25</v>
      </c>
      <c r="AA3" t="str" cm="1">
        <f t="array" ref="AA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4" spans="1:27" x14ac:dyDescent="0.3">
      <c r="A4" s="1">
        <v>45903</v>
      </c>
      <c r="B4">
        <v>46</v>
      </c>
      <c r="C4">
        <v>46</v>
      </c>
      <c r="D4">
        <v>46</v>
      </c>
      <c r="E4">
        <v>46</v>
      </c>
      <c r="F4">
        <v>46</v>
      </c>
      <c r="G4">
        <v>46</v>
      </c>
      <c r="H4">
        <v>46</v>
      </c>
      <c r="I4">
        <v>44</v>
      </c>
      <c r="J4">
        <v>45</v>
      </c>
      <c r="K4">
        <v>46</v>
      </c>
      <c r="L4">
        <v>46</v>
      </c>
      <c r="M4">
        <v>46</v>
      </c>
      <c r="N4">
        <v>46</v>
      </c>
      <c r="O4">
        <v>47</v>
      </c>
      <c r="P4">
        <v>48</v>
      </c>
      <c r="Q4">
        <v>48</v>
      </c>
      <c r="R4">
        <v>50</v>
      </c>
      <c r="S4">
        <v>51</v>
      </c>
      <c r="T4">
        <v>52</v>
      </c>
      <c r="U4">
        <v>52</v>
      </c>
      <c r="V4">
        <v>53</v>
      </c>
      <c r="W4">
        <v>54</v>
      </c>
      <c r="X4">
        <v>54</v>
      </c>
      <c r="Y4">
        <v>55</v>
      </c>
      <c r="Z4" s="2">
        <f>AVERAGE(Sheet1__9[[#This Row],[00:00:00]:[23:00:00]])</f>
        <v>48.291666666666664</v>
      </c>
      <c r="AA4" t="str" cm="1">
        <f t="array" ref="AA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5" spans="1:27" x14ac:dyDescent="0.3">
      <c r="A5" s="1">
        <v>45904</v>
      </c>
      <c r="B5">
        <v>55</v>
      </c>
      <c r="C5">
        <v>56</v>
      </c>
      <c r="D5">
        <v>56</v>
      </c>
      <c r="E5">
        <v>56</v>
      </c>
      <c r="F5">
        <v>56</v>
      </c>
      <c r="G5">
        <v>56</v>
      </c>
      <c r="H5">
        <v>56</v>
      </c>
      <c r="I5">
        <v>56</v>
      </c>
      <c r="J5">
        <v>57</v>
      </c>
      <c r="K5">
        <v>58</v>
      </c>
      <c r="M5">
        <v>58</v>
      </c>
      <c r="N5">
        <v>58</v>
      </c>
      <c r="O5">
        <v>58</v>
      </c>
      <c r="P5">
        <v>57</v>
      </c>
      <c r="Q5">
        <v>56</v>
      </c>
      <c r="R5">
        <v>54</v>
      </c>
      <c r="S5">
        <v>53</v>
      </c>
      <c r="T5">
        <v>52</v>
      </c>
      <c r="U5">
        <v>50</v>
      </c>
      <c r="V5">
        <v>52</v>
      </c>
      <c r="W5">
        <v>54</v>
      </c>
      <c r="X5">
        <v>55</v>
      </c>
      <c r="Y5">
        <v>54</v>
      </c>
      <c r="Z5" s="2">
        <f>AVERAGE(Sheet1__9[[#This Row],[00:00:00]:[23:00:00]])</f>
        <v>55.347826086956523</v>
      </c>
      <c r="AA5" t="str" cm="1">
        <f t="array" ref="AA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6" spans="1:27" x14ac:dyDescent="0.3">
      <c r="A6" s="1">
        <v>45905</v>
      </c>
      <c r="B6">
        <v>54</v>
      </c>
      <c r="C6">
        <v>54</v>
      </c>
      <c r="D6">
        <v>53</v>
      </c>
      <c r="E6">
        <v>52</v>
      </c>
      <c r="F6">
        <v>52</v>
      </c>
      <c r="G6">
        <v>50</v>
      </c>
      <c r="H6">
        <v>48</v>
      </c>
      <c r="I6">
        <v>46</v>
      </c>
      <c r="J6">
        <v>45</v>
      </c>
      <c r="K6">
        <v>45</v>
      </c>
      <c r="L6">
        <v>46</v>
      </c>
      <c r="M6">
        <v>46</v>
      </c>
      <c r="N6">
        <v>46</v>
      </c>
      <c r="O6">
        <v>47</v>
      </c>
      <c r="P6">
        <v>47</v>
      </c>
      <c r="Q6">
        <v>48</v>
      </c>
      <c r="R6">
        <v>48</v>
      </c>
      <c r="S6">
        <v>48</v>
      </c>
      <c r="T6">
        <v>48</v>
      </c>
      <c r="U6">
        <v>50</v>
      </c>
      <c r="V6">
        <v>50</v>
      </c>
      <c r="W6">
        <v>51</v>
      </c>
      <c r="X6">
        <v>54</v>
      </c>
      <c r="Z6" s="2">
        <f>AVERAGE(Sheet1__9[[#This Row],[00:00:00]:[23:00:00]])</f>
        <v>49.043478260869563</v>
      </c>
      <c r="AA6" t="str" cm="1">
        <f t="array" ref="AA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7" spans="1:27" x14ac:dyDescent="0.3">
      <c r="A7" s="1">
        <v>45906</v>
      </c>
      <c r="B7">
        <v>55</v>
      </c>
      <c r="C7">
        <v>56</v>
      </c>
      <c r="D7">
        <v>56</v>
      </c>
      <c r="F7">
        <v>55</v>
      </c>
      <c r="G7">
        <v>54</v>
      </c>
      <c r="H7">
        <v>53</v>
      </c>
      <c r="I7">
        <v>50</v>
      </c>
      <c r="J7">
        <v>50</v>
      </c>
      <c r="K7">
        <v>49</v>
      </c>
      <c r="L7">
        <v>48</v>
      </c>
      <c r="M7">
        <v>48</v>
      </c>
      <c r="N7">
        <v>47</v>
      </c>
      <c r="O7">
        <v>48</v>
      </c>
      <c r="P7">
        <v>46</v>
      </c>
      <c r="Q7">
        <v>46</v>
      </c>
      <c r="R7">
        <v>46</v>
      </c>
      <c r="S7">
        <v>46</v>
      </c>
      <c r="T7">
        <v>47</v>
      </c>
      <c r="U7">
        <v>48</v>
      </c>
      <c r="V7">
        <v>50</v>
      </c>
      <c r="W7">
        <v>52</v>
      </c>
      <c r="X7">
        <v>53</v>
      </c>
      <c r="Y7">
        <v>54</v>
      </c>
      <c r="Z7" s="2">
        <f>AVERAGE(Sheet1__9[[#This Row],[00:00:00]:[23:00:00]])</f>
        <v>50.304347826086953</v>
      </c>
      <c r="AA7" t="str" cm="1">
        <f t="array" ref="AA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8" spans="1:27" x14ac:dyDescent="0.3">
      <c r="A8" s="1">
        <v>45907</v>
      </c>
      <c r="B8">
        <v>56</v>
      </c>
      <c r="C8">
        <v>56</v>
      </c>
      <c r="D8">
        <v>57</v>
      </c>
      <c r="E8">
        <v>58</v>
      </c>
      <c r="F8">
        <v>57</v>
      </c>
      <c r="G8">
        <v>56</v>
      </c>
      <c r="H8">
        <v>54</v>
      </c>
      <c r="I8">
        <v>54</v>
      </c>
      <c r="J8">
        <v>53</v>
      </c>
      <c r="K8">
        <v>52</v>
      </c>
      <c r="L8">
        <v>52</v>
      </c>
      <c r="M8">
        <v>52</v>
      </c>
      <c r="N8">
        <v>52</v>
      </c>
      <c r="O8">
        <v>52</v>
      </c>
      <c r="P8">
        <v>52</v>
      </c>
      <c r="Q8">
        <v>52</v>
      </c>
      <c r="R8">
        <v>53</v>
      </c>
      <c r="S8">
        <v>53</v>
      </c>
      <c r="T8">
        <v>53</v>
      </c>
      <c r="U8">
        <v>54</v>
      </c>
      <c r="V8">
        <v>56</v>
      </c>
      <c r="W8">
        <v>56</v>
      </c>
      <c r="X8">
        <v>58</v>
      </c>
      <c r="Y8">
        <v>58</v>
      </c>
      <c r="Z8" s="2">
        <f>AVERAGE(Sheet1__9[[#This Row],[00:00:00]:[23:00:00]])</f>
        <v>54.416666666666664</v>
      </c>
      <c r="AA8" t="str" cm="1">
        <f t="array" ref="AA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9" spans="1:27" x14ac:dyDescent="0.3">
      <c r="A9" s="1">
        <v>45908</v>
      </c>
      <c r="B9">
        <v>58</v>
      </c>
      <c r="C9">
        <v>60</v>
      </c>
      <c r="D9">
        <v>60</v>
      </c>
      <c r="E9">
        <v>60</v>
      </c>
      <c r="F9">
        <v>61</v>
      </c>
      <c r="G9">
        <v>60</v>
      </c>
      <c r="H9">
        <v>61</v>
      </c>
      <c r="I9">
        <v>62</v>
      </c>
      <c r="J9">
        <v>62</v>
      </c>
      <c r="K9">
        <v>64</v>
      </c>
      <c r="L9">
        <v>64</v>
      </c>
      <c r="M9">
        <v>65</v>
      </c>
      <c r="O9">
        <v>64</v>
      </c>
      <c r="P9">
        <v>62</v>
      </c>
      <c r="Q9">
        <v>62</v>
      </c>
      <c r="R9">
        <v>58</v>
      </c>
      <c r="S9">
        <v>56</v>
      </c>
      <c r="T9">
        <v>56</v>
      </c>
      <c r="U9">
        <v>54</v>
      </c>
      <c r="V9">
        <v>54</v>
      </c>
      <c r="W9">
        <v>54</v>
      </c>
      <c r="X9">
        <v>54</v>
      </c>
      <c r="Y9">
        <v>56</v>
      </c>
      <c r="Z9" s="2">
        <f>AVERAGE(Sheet1__9[[#This Row],[00:00:00]:[23:00:00]])</f>
        <v>59.434782608695649</v>
      </c>
      <c r="AA9" t="str" cm="1">
        <f t="array" ref="AA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0" spans="1:27" x14ac:dyDescent="0.3">
      <c r="A10" s="1">
        <v>45909</v>
      </c>
      <c r="B10">
        <v>60</v>
      </c>
      <c r="C10">
        <v>61</v>
      </c>
      <c r="D10">
        <v>62</v>
      </c>
      <c r="E10">
        <v>63</v>
      </c>
      <c r="F10">
        <v>64</v>
      </c>
      <c r="G10">
        <v>64</v>
      </c>
      <c r="H10">
        <v>64</v>
      </c>
      <c r="I10">
        <v>64</v>
      </c>
      <c r="J10">
        <v>62</v>
      </c>
      <c r="K10">
        <v>61</v>
      </c>
      <c r="L10">
        <v>62</v>
      </c>
      <c r="M10">
        <v>62</v>
      </c>
      <c r="N10">
        <v>62</v>
      </c>
      <c r="O10">
        <v>62</v>
      </c>
      <c r="P10">
        <v>64</v>
      </c>
      <c r="Q10">
        <v>64</v>
      </c>
      <c r="R10">
        <v>64</v>
      </c>
      <c r="S10">
        <v>66</v>
      </c>
      <c r="T10">
        <v>66</v>
      </c>
      <c r="U10">
        <v>68</v>
      </c>
      <c r="V10">
        <v>68</v>
      </c>
      <c r="W10">
        <v>68</v>
      </c>
      <c r="X10">
        <v>70</v>
      </c>
      <c r="Y10">
        <v>70</v>
      </c>
      <c r="Z10" s="2">
        <f>AVERAGE(Sheet1__9[[#This Row],[00:00:00]:[23:00:00]])</f>
        <v>64.208333333333329</v>
      </c>
      <c r="AA10" t="str" cm="1">
        <f t="array" ref="AA1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1" spans="1:27" x14ac:dyDescent="0.3">
      <c r="A11" s="1">
        <v>45910</v>
      </c>
      <c r="B11">
        <v>70</v>
      </c>
      <c r="C11">
        <v>71</v>
      </c>
      <c r="D11">
        <v>72</v>
      </c>
      <c r="E11">
        <v>73</v>
      </c>
      <c r="F11">
        <v>74</v>
      </c>
      <c r="G11">
        <v>73</v>
      </c>
      <c r="H11">
        <v>73</v>
      </c>
      <c r="I11">
        <v>74</v>
      </c>
      <c r="J11">
        <v>74</v>
      </c>
      <c r="K11">
        <v>74</v>
      </c>
      <c r="L11">
        <v>75</v>
      </c>
      <c r="M11">
        <v>76</v>
      </c>
      <c r="N11">
        <v>75</v>
      </c>
      <c r="O11">
        <v>74</v>
      </c>
      <c r="P11">
        <v>74</v>
      </c>
      <c r="Q11">
        <v>73</v>
      </c>
      <c r="R11">
        <v>74</v>
      </c>
      <c r="S11">
        <v>73</v>
      </c>
      <c r="T11">
        <v>72</v>
      </c>
      <c r="U11">
        <v>72</v>
      </c>
      <c r="V11">
        <v>72</v>
      </c>
      <c r="W11">
        <v>72</v>
      </c>
      <c r="X11">
        <v>72</v>
      </c>
      <c r="Y11">
        <v>72</v>
      </c>
      <c r="Z11" s="2">
        <f>AVERAGE(Sheet1__9[[#This Row],[00:00:00]:[23:00:00]])</f>
        <v>73.083333333333329</v>
      </c>
      <c r="AA11" t="str" cm="1">
        <f t="array" ref="AA1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2" spans="1:27" x14ac:dyDescent="0.3">
      <c r="A12" s="1">
        <v>45911</v>
      </c>
      <c r="B12">
        <v>72</v>
      </c>
      <c r="C12">
        <v>72</v>
      </c>
      <c r="D12">
        <v>72</v>
      </c>
      <c r="E12">
        <v>72</v>
      </c>
      <c r="F12">
        <v>72</v>
      </c>
      <c r="G12">
        <v>72</v>
      </c>
      <c r="H12">
        <v>72</v>
      </c>
      <c r="I12">
        <v>72</v>
      </c>
      <c r="J12">
        <v>71</v>
      </c>
      <c r="K12">
        <v>70</v>
      </c>
      <c r="L12">
        <v>70</v>
      </c>
      <c r="M12">
        <v>69</v>
      </c>
      <c r="N12">
        <v>68</v>
      </c>
      <c r="O12">
        <v>68</v>
      </c>
      <c r="P12">
        <v>69</v>
      </c>
      <c r="Q12">
        <v>68</v>
      </c>
      <c r="R12">
        <v>68</v>
      </c>
      <c r="S12">
        <v>68</v>
      </c>
      <c r="T12">
        <v>68</v>
      </c>
      <c r="U12">
        <v>68</v>
      </c>
      <c r="V12">
        <v>68</v>
      </c>
      <c r="W12">
        <v>68</v>
      </c>
      <c r="X12">
        <v>68</v>
      </c>
      <c r="Y12">
        <v>68</v>
      </c>
      <c r="Z12" s="2">
        <f>AVERAGE(Sheet1__9[[#This Row],[00:00:00]:[23:00:00]])</f>
        <v>69.708333333333329</v>
      </c>
      <c r="AA12" t="str" cm="1">
        <f t="array" ref="AA1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3" spans="1:27" x14ac:dyDescent="0.3">
      <c r="A13" s="1">
        <v>45912</v>
      </c>
      <c r="B13">
        <v>67</v>
      </c>
      <c r="C13">
        <v>67</v>
      </c>
      <c r="D13">
        <v>67</v>
      </c>
      <c r="E13">
        <v>67</v>
      </c>
      <c r="F13">
        <v>67</v>
      </c>
      <c r="G13">
        <v>67</v>
      </c>
      <c r="H13">
        <v>67</v>
      </c>
      <c r="I13">
        <v>67</v>
      </c>
      <c r="J13">
        <v>68</v>
      </c>
      <c r="K13">
        <v>67</v>
      </c>
      <c r="L13">
        <v>67</v>
      </c>
      <c r="M13">
        <v>66</v>
      </c>
      <c r="N13">
        <v>66</v>
      </c>
      <c r="O13">
        <v>65</v>
      </c>
      <c r="P13">
        <v>64</v>
      </c>
      <c r="Q13">
        <v>63</v>
      </c>
      <c r="R13">
        <v>62</v>
      </c>
      <c r="S13">
        <v>62</v>
      </c>
      <c r="T13">
        <v>61</v>
      </c>
      <c r="U13">
        <v>60</v>
      </c>
      <c r="V13">
        <v>58</v>
      </c>
      <c r="W13">
        <v>56</v>
      </c>
      <c r="X13">
        <v>55</v>
      </c>
      <c r="Y13">
        <v>54</v>
      </c>
      <c r="Z13" s="2">
        <f>AVERAGE(Sheet1__9[[#This Row],[00:00:00]:[23:00:00]])</f>
        <v>63.75</v>
      </c>
      <c r="AA13" t="str" cm="1">
        <f t="array" ref="AA1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4" spans="1:27" x14ac:dyDescent="0.3">
      <c r="A14" s="1">
        <v>45913</v>
      </c>
      <c r="B14">
        <v>54</v>
      </c>
      <c r="C14">
        <v>53</v>
      </c>
      <c r="D14">
        <v>52</v>
      </c>
      <c r="E14">
        <v>52</v>
      </c>
      <c r="F14">
        <v>52</v>
      </c>
      <c r="G14">
        <v>51</v>
      </c>
      <c r="H14">
        <v>51</v>
      </c>
      <c r="I14">
        <v>50</v>
      </c>
      <c r="J14">
        <v>51</v>
      </c>
      <c r="K14">
        <v>51</v>
      </c>
      <c r="L14">
        <v>50</v>
      </c>
      <c r="M14">
        <v>50</v>
      </c>
      <c r="N14">
        <v>50</v>
      </c>
      <c r="O14">
        <v>50</v>
      </c>
      <c r="P14">
        <v>50</v>
      </c>
      <c r="Q14">
        <v>50</v>
      </c>
      <c r="R14">
        <v>51</v>
      </c>
      <c r="S14">
        <v>51</v>
      </c>
      <c r="T14">
        <v>52</v>
      </c>
      <c r="U14">
        <v>52</v>
      </c>
      <c r="V14">
        <v>53</v>
      </c>
      <c r="W14">
        <v>54</v>
      </c>
      <c r="X14">
        <v>54</v>
      </c>
      <c r="Y14">
        <v>54</v>
      </c>
      <c r="Z14" s="2">
        <f>AVERAGE(Sheet1__9[[#This Row],[00:00:00]:[23:00:00]])</f>
        <v>51.583333333333336</v>
      </c>
      <c r="AA14" t="str" cm="1">
        <f t="array" ref="AA1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5" spans="1:27" x14ac:dyDescent="0.3">
      <c r="A15" s="1">
        <v>45914</v>
      </c>
      <c r="B15">
        <v>54</v>
      </c>
      <c r="C15">
        <v>53</v>
      </c>
      <c r="E15">
        <v>52</v>
      </c>
      <c r="F15">
        <v>52</v>
      </c>
      <c r="G15">
        <v>52</v>
      </c>
      <c r="H15">
        <v>50</v>
      </c>
      <c r="I15">
        <v>50</v>
      </c>
      <c r="J15">
        <v>48</v>
      </c>
      <c r="K15">
        <v>48</v>
      </c>
      <c r="L15">
        <v>47</v>
      </c>
      <c r="M15">
        <v>46</v>
      </c>
      <c r="N15">
        <v>45</v>
      </c>
      <c r="O15">
        <v>44</v>
      </c>
      <c r="P15">
        <v>44</v>
      </c>
      <c r="Q15">
        <v>42</v>
      </c>
      <c r="R15">
        <v>42</v>
      </c>
      <c r="S15">
        <v>42</v>
      </c>
      <c r="T15">
        <v>41</v>
      </c>
      <c r="U15">
        <v>40</v>
      </c>
      <c r="V15">
        <v>40</v>
      </c>
      <c r="W15">
        <v>40</v>
      </c>
      <c r="X15">
        <v>40</v>
      </c>
      <c r="Y15">
        <v>40</v>
      </c>
      <c r="Z15" s="2">
        <f>AVERAGE(Sheet1__9[[#This Row],[00:00:00]:[23:00:00]])</f>
        <v>45.739130434782609</v>
      </c>
      <c r="AA15" t="str" cm="1">
        <f t="array" ref="AA1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6" spans="1:27" x14ac:dyDescent="0.3">
      <c r="A16" s="1">
        <v>45915</v>
      </c>
      <c r="B16">
        <v>42</v>
      </c>
      <c r="C16">
        <v>42</v>
      </c>
      <c r="D16">
        <v>42</v>
      </c>
      <c r="E16">
        <v>44</v>
      </c>
      <c r="F16">
        <v>44</v>
      </c>
      <c r="G16">
        <v>44</v>
      </c>
      <c r="H16">
        <v>44</v>
      </c>
      <c r="I16">
        <v>44</v>
      </c>
      <c r="J16">
        <v>44</v>
      </c>
      <c r="K16">
        <v>45</v>
      </c>
      <c r="L16">
        <v>44</v>
      </c>
      <c r="M16">
        <v>44</v>
      </c>
      <c r="N16">
        <v>43</v>
      </c>
      <c r="O16">
        <v>42</v>
      </c>
      <c r="P16">
        <v>42</v>
      </c>
      <c r="Q16">
        <v>42</v>
      </c>
      <c r="R16">
        <v>41</v>
      </c>
      <c r="S16">
        <v>40</v>
      </c>
      <c r="T16">
        <v>40</v>
      </c>
      <c r="U16">
        <v>39</v>
      </c>
      <c r="V16">
        <v>38</v>
      </c>
      <c r="W16">
        <v>38</v>
      </c>
      <c r="X16">
        <v>38</v>
      </c>
      <c r="Y16">
        <v>37</v>
      </c>
      <c r="Z16" s="2">
        <f>AVERAGE(Sheet1__9[[#This Row],[00:00:00]:[23:00:00]])</f>
        <v>41.791666666666664</v>
      </c>
      <c r="AA16" t="str" cm="1">
        <f t="array" ref="AA1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7" spans="1:27" x14ac:dyDescent="0.3">
      <c r="A17" s="1">
        <v>45916</v>
      </c>
      <c r="B17">
        <v>37</v>
      </c>
      <c r="C17">
        <v>38</v>
      </c>
      <c r="D17">
        <v>38</v>
      </c>
      <c r="E17">
        <v>38</v>
      </c>
      <c r="F17">
        <v>40</v>
      </c>
      <c r="G17">
        <v>40</v>
      </c>
      <c r="H17">
        <v>41</v>
      </c>
      <c r="I17">
        <v>40</v>
      </c>
      <c r="J17">
        <v>40</v>
      </c>
      <c r="K17">
        <v>38</v>
      </c>
      <c r="L17">
        <v>38</v>
      </c>
      <c r="M17">
        <v>39</v>
      </c>
      <c r="N17">
        <v>40</v>
      </c>
      <c r="O17">
        <v>40</v>
      </c>
      <c r="P17">
        <v>40</v>
      </c>
      <c r="Q17">
        <v>41</v>
      </c>
      <c r="R17">
        <v>42</v>
      </c>
      <c r="S17">
        <v>42</v>
      </c>
      <c r="T17">
        <v>43</v>
      </c>
      <c r="U17">
        <v>44</v>
      </c>
      <c r="V17">
        <v>44</v>
      </c>
      <c r="W17">
        <v>44</v>
      </c>
      <c r="X17">
        <v>44</v>
      </c>
      <c r="Y17">
        <v>44</v>
      </c>
      <c r="Z17" s="2">
        <f>AVERAGE(Sheet1__9[[#This Row],[00:00:00]:[23:00:00]])</f>
        <v>40.625</v>
      </c>
      <c r="AA17" t="str" cm="1">
        <f t="array" ref="AA1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8" spans="1:27" x14ac:dyDescent="0.3">
      <c r="A18" s="1">
        <v>45917</v>
      </c>
      <c r="B18">
        <v>45</v>
      </c>
      <c r="C18">
        <v>46</v>
      </c>
      <c r="D18">
        <v>46</v>
      </c>
      <c r="E18">
        <v>45</v>
      </c>
      <c r="F18">
        <v>45</v>
      </c>
      <c r="G18">
        <v>44</v>
      </c>
      <c r="H18">
        <v>44</v>
      </c>
      <c r="I18">
        <v>42</v>
      </c>
      <c r="J18">
        <v>42</v>
      </c>
      <c r="K18">
        <v>42</v>
      </c>
      <c r="L18">
        <v>42</v>
      </c>
      <c r="M18">
        <v>42</v>
      </c>
      <c r="N18">
        <v>42</v>
      </c>
      <c r="O18">
        <v>42</v>
      </c>
      <c r="P18">
        <v>42</v>
      </c>
      <c r="Q18">
        <v>42</v>
      </c>
      <c r="R18">
        <v>42</v>
      </c>
      <c r="S18">
        <v>43</v>
      </c>
      <c r="T18">
        <v>44</v>
      </c>
      <c r="U18">
        <v>44</v>
      </c>
      <c r="V18">
        <v>44</v>
      </c>
      <c r="W18">
        <v>44</v>
      </c>
      <c r="X18">
        <v>43</v>
      </c>
      <c r="Y18">
        <v>42</v>
      </c>
      <c r="Z18" s="2">
        <f>AVERAGE(Sheet1__9[[#This Row],[00:00:00]:[23:00:00]])</f>
        <v>43.291666666666664</v>
      </c>
      <c r="AA18" t="str" cm="1">
        <f t="array" ref="AA1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9" spans="1:27" x14ac:dyDescent="0.3">
      <c r="A19" s="1">
        <v>45918</v>
      </c>
      <c r="B19">
        <v>41</v>
      </c>
      <c r="C19">
        <v>41</v>
      </c>
      <c r="D19">
        <v>40</v>
      </c>
      <c r="E19">
        <v>38</v>
      </c>
      <c r="F19">
        <v>38</v>
      </c>
      <c r="G19">
        <v>37</v>
      </c>
      <c r="H19">
        <v>36</v>
      </c>
      <c r="I19">
        <v>36</v>
      </c>
      <c r="J19">
        <v>34</v>
      </c>
      <c r="K19">
        <v>34</v>
      </c>
      <c r="L19">
        <v>32</v>
      </c>
      <c r="M19">
        <v>32</v>
      </c>
      <c r="N19">
        <v>45</v>
      </c>
      <c r="O19">
        <v>44</v>
      </c>
      <c r="P19">
        <v>44</v>
      </c>
      <c r="Q19">
        <v>44</v>
      </c>
      <c r="R19">
        <v>44</v>
      </c>
      <c r="S19">
        <v>44</v>
      </c>
      <c r="U19">
        <v>44</v>
      </c>
      <c r="V19">
        <v>46</v>
      </c>
      <c r="W19">
        <v>47</v>
      </c>
      <c r="X19">
        <v>48</v>
      </c>
      <c r="Y19">
        <v>49</v>
      </c>
      <c r="Z19" s="2">
        <f>AVERAGE(Sheet1__9[[#This Row],[00:00:00]:[23:00:00]])</f>
        <v>40.782608695652172</v>
      </c>
      <c r="AA19" t="str" cm="1">
        <f t="array" ref="AA1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0" spans="1:27" x14ac:dyDescent="0.3">
      <c r="A20" s="1">
        <v>45919</v>
      </c>
      <c r="B20">
        <v>50</v>
      </c>
      <c r="C20">
        <v>51</v>
      </c>
      <c r="D20">
        <v>52</v>
      </c>
      <c r="E20">
        <v>53</v>
      </c>
      <c r="F20">
        <v>54</v>
      </c>
      <c r="G20">
        <v>54</v>
      </c>
      <c r="H20">
        <v>54</v>
      </c>
      <c r="I20">
        <v>54</v>
      </c>
      <c r="J20">
        <v>55</v>
      </c>
      <c r="K20">
        <v>55</v>
      </c>
      <c r="L20">
        <v>56</v>
      </c>
      <c r="M20">
        <v>57</v>
      </c>
      <c r="N20">
        <v>57</v>
      </c>
      <c r="O20">
        <v>58</v>
      </c>
      <c r="P20">
        <v>58</v>
      </c>
      <c r="Q20">
        <v>58</v>
      </c>
      <c r="R20">
        <v>57</v>
      </c>
      <c r="S20">
        <v>56</v>
      </c>
      <c r="T20">
        <v>56</v>
      </c>
      <c r="U20">
        <v>46</v>
      </c>
      <c r="V20">
        <v>46</v>
      </c>
      <c r="W20">
        <v>47</v>
      </c>
      <c r="X20">
        <v>48</v>
      </c>
      <c r="Y20">
        <v>48</v>
      </c>
      <c r="Z20" s="2">
        <f>AVERAGE(Sheet1__9[[#This Row],[00:00:00]:[23:00:00]])</f>
        <v>53.333333333333336</v>
      </c>
      <c r="AA20" t="str" cm="1">
        <f t="array" ref="AA2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1" spans="1:27" x14ac:dyDescent="0.3">
      <c r="A21" s="1">
        <v>45920</v>
      </c>
      <c r="B21">
        <v>48</v>
      </c>
      <c r="C21">
        <v>48</v>
      </c>
      <c r="D21">
        <v>49</v>
      </c>
      <c r="E21">
        <v>49</v>
      </c>
      <c r="F21">
        <v>49</v>
      </c>
      <c r="G21">
        <v>49</v>
      </c>
      <c r="H21">
        <v>50</v>
      </c>
      <c r="I21">
        <v>50</v>
      </c>
      <c r="J21">
        <v>50</v>
      </c>
      <c r="K21">
        <v>51</v>
      </c>
      <c r="L21">
        <v>52</v>
      </c>
      <c r="M21">
        <v>52</v>
      </c>
      <c r="N21">
        <v>52</v>
      </c>
      <c r="O21">
        <v>52</v>
      </c>
      <c r="P21">
        <v>53</v>
      </c>
      <c r="Q21">
        <v>52</v>
      </c>
      <c r="R21">
        <v>52</v>
      </c>
      <c r="S21">
        <v>52</v>
      </c>
      <c r="T21">
        <v>52</v>
      </c>
      <c r="U21">
        <v>51</v>
      </c>
      <c r="V21">
        <v>51</v>
      </c>
      <c r="W21">
        <v>50</v>
      </c>
      <c r="X21">
        <v>51</v>
      </c>
      <c r="Y21">
        <v>51</v>
      </c>
      <c r="Z21" s="2">
        <f>AVERAGE(Sheet1__9[[#This Row],[00:00:00]:[23:00:00]])</f>
        <v>50.666666666666664</v>
      </c>
      <c r="AA21" t="str" cm="1">
        <f t="array" ref="AA2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2" spans="1:27" x14ac:dyDescent="0.3">
      <c r="A22" s="1">
        <v>45921</v>
      </c>
      <c r="B22">
        <v>51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  <c r="I22">
        <v>50</v>
      </c>
      <c r="J22">
        <v>50</v>
      </c>
      <c r="K22">
        <v>50</v>
      </c>
      <c r="L22">
        <v>49</v>
      </c>
      <c r="M22">
        <v>49</v>
      </c>
      <c r="N22">
        <v>49</v>
      </c>
      <c r="O22">
        <v>49</v>
      </c>
      <c r="P22">
        <v>48</v>
      </c>
      <c r="Q22">
        <v>48</v>
      </c>
      <c r="R22">
        <v>47</v>
      </c>
      <c r="S22">
        <v>46</v>
      </c>
      <c r="T22">
        <v>46</v>
      </c>
      <c r="U22">
        <v>46</v>
      </c>
      <c r="V22">
        <v>46</v>
      </c>
      <c r="W22">
        <v>44</v>
      </c>
      <c r="X22">
        <v>44</v>
      </c>
      <c r="Y22">
        <v>42</v>
      </c>
      <c r="Z22" s="2">
        <f>AVERAGE(Sheet1__9[[#This Row],[00:00:00]:[23:00:00]])</f>
        <v>48.083333333333336</v>
      </c>
      <c r="AA22" t="str" cm="1">
        <f t="array" ref="AA2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3" spans="1:27" x14ac:dyDescent="0.3">
      <c r="A23" s="1">
        <v>45922</v>
      </c>
      <c r="B23">
        <v>41</v>
      </c>
      <c r="C23">
        <v>40</v>
      </c>
      <c r="D23">
        <v>40</v>
      </c>
      <c r="E23">
        <v>38</v>
      </c>
      <c r="F23">
        <v>37</v>
      </c>
      <c r="G23">
        <v>36</v>
      </c>
      <c r="H23">
        <v>35</v>
      </c>
      <c r="I23">
        <v>34</v>
      </c>
      <c r="J23">
        <v>33</v>
      </c>
      <c r="K23">
        <v>32</v>
      </c>
      <c r="L23">
        <v>32</v>
      </c>
      <c r="M23">
        <v>32</v>
      </c>
      <c r="N23">
        <v>32</v>
      </c>
      <c r="O23">
        <v>34</v>
      </c>
      <c r="P23">
        <v>34</v>
      </c>
      <c r="Q23">
        <v>34</v>
      </c>
      <c r="R23">
        <v>34</v>
      </c>
      <c r="S23">
        <v>34</v>
      </c>
      <c r="T23">
        <v>34</v>
      </c>
      <c r="U23">
        <v>34</v>
      </c>
      <c r="V23">
        <v>34</v>
      </c>
      <c r="W23">
        <v>34</v>
      </c>
      <c r="X23">
        <v>35</v>
      </c>
      <c r="Y23">
        <v>34</v>
      </c>
      <c r="Z23" s="2">
        <f>AVERAGE(Sheet1__9[[#This Row],[00:00:00]:[23:00:00]])</f>
        <v>34.875</v>
      </c>
      <c r="AA23" t="str" cm="1">
        <f t="array" ref="AA2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4" spans="1:27" x14ac:dyDescent="0.3">
      <c r="A24" s="1">
        <v>45923</v>
      </c>
      <c r="B24">
        <v>34</v>
      </c>
      <c r="C24">
        <v>35</v>
      </c>
      <c r="D24">
        <v>34</v>
      </c>
      <c r="E24">
        <v>34</v>
      </c>
      <c r="F24">
        <v>35</v>
      </c>
      <c r="G24">
        <v>35</v>
      </c>
      <c r="H24">
        <v>35</v>
      </c>
      <c r="I24">
        <v>34</v>
      </c>
      <c r="J24">
        <v>34</v>
      </c>
      <c r="K24">
        <v>34</v>
      </c>
      <c r="L24">
        <v>34</v>
      </c>
      <c r="M24">
        <v>34</v>
      </c>
      <c r="N24">
        <v>34</v>
      </c>
      <c r="O24">
        <v>34</v>
      </c>
      <c r="P24">
        <v>34</v>
      </c>
      <c r="Q24">
        <v>34</v>
      </c>
      <c r="R24">
        <v>34</v>
      </c>
      <c r="S24">
        <v>36</v>
      </c>
      <c r="T24">
        <v>38</v>
      </c>
      <c r="U24">
        <v>38</v>
      </c>
      <c r="V24">
        <v>38</v>
      </c>
      <c r="W24">
        <v>38</v>
      </c>
      <c r="X24">
        <v>38</v>
      </c>
      <c r="Y24">
        <v>38</v>
      </c>
      <c r="Z24" s="2">
        <f>AVERAGE(Sheet1__9[[#This Row],[00:00:00]:[23:00:00]])</f>
        <v>35.25</v>
      </c>
      <c r="AA24" t="str" cm="1">
        <f t="array" ref="AA2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5" spans="1:27" x14ac:dyDescent="0.3">
      <c r="A25" s="1">
        <v>45924</v>
      </c>
      <c r="B25">
        <v>39</v>
      </c>
      <c r="C25">
        <v>40</v>
      </c>
      <c r="D25">
        <v>42</v>
      </c>
      <c r="E25">
        <v>42</v>
      </c>
      <c r="F25">
        <v>44</v>
      </c>
      <c r="G25">
        <v>45</v>
      </c>
      <c r="H25">
        <v>46</v>
      </c>
      <c r="I25">
        <v>48</v>
      </c>
      <c r="J25">
        <v>50</v>
      </c>
      <c r="K25">
        <v>51</v>
      </c>
      <c r="L25">
        <v>53</v>
      </c>
      <c r="M25">
        <v>55</v>
      </c>
      <c r="N25">
        <v>56</v>
      </c>
      <c r="O25">
        <v>57</v>
      </c>
      <c r="P25">
        <v>58</v>
      </c>
      <c r="Q25">
        <v>58</v>
      </c>
      <c r="R25">
        <v>58</v>
      </c>
      <c r="S25">
        <v>58</v>
      </c>
      <c r="T25">
        <v>58</v>
      </c>
      <c r="U25">
        <v>58</v>
      </c>
      <c r="V25">
        <v>58</v>
      </c>
      <c r="W25">
        <v>58</v>
      </c>
      <c r="X25">
        <v>58</v>
      </c>
      <c r="Y25">
        <v>58</v>
      </c>
      <c r="Z25" s="2">
        <f>AVERAGE(Sheet1__9[[#This Row],[00:00:00]:[23:00:00]])</f>
        <v>52</v>
      </c>
      <c r="AA25" t="str" cm="1">
        <f t="array" ref="AA2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6" spans="1:27" x14ac:dyDescent="0.3">
      <c r="A26" s="1">
        <v>45925</v>
      </c>
      <c r="B26">
        <v>58</v>
      </c>
      <c r="C26">
        <v>58</v>
      </c>
      <c r="D26">
        <v>58</v>
      </c>
      <c r="E26">
        <v>58</v>
      </c>
      <c r="F26">
        <v>58</v>
      </c>
      <c r="G26">
        <v>58</v>
      </c>
      <c r="H26">
        <v>57</v>
      </c>
      <c r="I26">
        <v>56</v>
      </c>
      <c r="J26">
        <v>56</v>
      </c>
      <c r="K26">
        <v>55</v>
      </c>
      <c r="L26">
        <v>54</v>
      </c>
      <c r="M26">
        <v>54</v>
      </c>
      <c r="N26">
        <v>53</v>
      </c>
      <c r="O26">
        <v>52</v>
      </c>
      <c r="P26">
        <v>52</v>
      </c>
      <c r="Q26">
        <v>52</v>
      </c>
      <c r="R26">
        <v>52</v>
      </c>
      <c r="S26">
        <v>52</v>
      </c>
      <c r="T26">
        <v>52</v>
      </c>
      <c r="U26">
        <v>52</v>
      </c>
      <c r="V26">
        <v>52</v>
      </c>
      <c r="W26">
        <v>52</v>
      </c>
      <c r="X26">
        <v>52</v>
      </c>
      <c r="Y26">
        <v>52</v>
      </c>
      <c r="Z26" s="2">
        <f>AVERAGE(Sheet1__9[[#This Row],[00:00:00]:[23:00:00]])</f>
        <v>54.375</v>
      </c>
      <c r="AA26" t="str" cm="1">
        <f t="array" ref="AA2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7" spans="1:27" x14ac:dyDescent="0.3">
      <c r="A27" s="1">
        <v>45926</v>
      </c>
      <c r="B27">
        <v>52</v>
      </c>
      <c r="C27">
        <v>52</v>
      </c>
      <c r="D27">
        <v>54</v>
      </c>
      <c r="E27">
        <v>54</v>
      </c>
      <c r="F27">
        <v>54</v>
      </c>
      <c r="G27">
        <v>54</v>
      </c>
      <c r="H27">
        <v>55</v>
      </c>
      <c r="I27">
        <v>56</v>
      </c>
      <c r="J27">
        <v>57</v>
      </c>
      <c r="K27">
        <v>58</v>
      </c>
      <c r="L27">
        <v>60</v>
      </c>
      <c r="N27">
        <v>62</v>
      </c>
      <c r="O27">
        <v>62</v>
      </c>
      <c r="P27">
        <v>64</v>
      </c>
      <c r="Q27">
        <v>64</v>
      </c>
      <c r="R27">
        <v>65</v>
      </c>
      <c r="S27">
        <v>66</v>
      </c>
      <c r="T27">
        <v>67</v>
      </c>
      <c r="U27">
        <v>66</v>
      </c>
      <c r="V27">
        <v>66</v>
      </c>
      <c r="W27">
        <v>66</v>
      </c>
      <c r="X27">
        <v>66</v>
      </c>
      <c r="Y27">
        <v>64</v>
      </c>
      <c r="Z27" s="2">
        <f>AVERAGE(Sheet1__9[[#This Row],[00:00:00]:[23:00:00]])</f>
        <v>60.173913043478258</v>
      </c>
      <c r="AA27" t="str" cm="1">
        <f t="array" ref="AA2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8" spans="1:27" x14ac:dyDescent="0.3">
      <c r="A28" s="1">
        <v>45927</v>
      </c>
      <c r="B28">
        <v>64</v>
      </c>
      <c r="C28">
        <v>63</v>
      </c>
      <c r="D28">
        <v>62</v>
      </c>
      <c r="E28">
        <v>62</v>
      </c>
      <c r="F28">
        <v>62</v>
      </c>
      <c r="G28">
        <v>61</v>
      </c>
      <c r="H28">
        <v>61</v>
      </c>
      <c r="I28">
        <v>61</v>
      </c>
      <c r="J28">
        <v>60</v>
      </c>
      <c r="K28">
        <v>58</v>
      </c>
      <c r="L28">
        <v>56</v>
      </c>
      <c r="M28">
        <v>55</v>
      </c>
      <c r="N28">
        <v>52</v>
      </c>
      <c r="O28">
        <v>50</v>
      </c>
      <c r="P28">
        <v>48</v>
      </c>
      <c r="Q28">
        <v>48</v>
      </c>
      <c r="R28">
        <v>47</v>
      </c>
      <c r="S28">
        <v>46</v>
      </c>
      <c r="T28">
        <v>46</v>
      </c>
      <c r="U28">
        <v>44</v>
      </c>
      <c r="V28">
        <v>45</v>
      </c>
      <c r="W28">
        <v>45</v>
      </c>
      <c r="X28">
        <v>46</v>
      </c>
      <c r="Y28">
        <v>46</v>
      </c>
      <c r="Z28" s="2">
        <f>AVERAGE(Sheet1__9[[#This Row],[00:00:00]:[23:00:00]])</f>
        <v>53.666666666666664</v>
      </c>
      <c r="AA28" t="str" cm="1">
        <f t="array" ref="AA2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29" spans="1:27" x14ac:dyDescent="0.3">
      <c r="A29" s="1">
        <v>45928</v>
      </c>
      <c r="B29">
        <v>46</v>
      </c>
      <c r="C29">
        <v>46</v>
      </c>
      <c r="D29">
        <v>44</v>
      </c>
      <c r="E29">
        <v>44</v>
      </c>
      <c r="F29">
        <v>42</v>
      </c>
      <c r="G29">
        <v>41</v>
      </c>
      <c r="H29">
        <v>40</v>
      </c>
      <c r="I29">
        <v>39</v>
      </c>
      <c r="J29">
        <v>40</v>
      </c>
      <c r="K29">
        <v>42</v>
      </c>
      <c r="L29">
        <v>42</v>
      </c>
      <c r="M29">
        <v>42</v>
      </c>
      <c r="N29">
        <v>42</v>
      </c>
      <c r="O29">
        <v>42</v>
      </c>
      <c r="P29">
        <v>41</v>
      </c>
      <c r="Q29">
        <v>41</v>
      </c>
      <c r="R29">
        <v>41</v>
      </c>
      <c r="S29">
        <v>41</v>
      </c>
      <c r="T29">
        <v>41</v>
      </c>
      <c r="U29">
        <v>42</v>
      </c>
      <c r="V29">
        <v>42</v>
      </c>
      <c r="W29">
        <v>42</v>
      </c>
      <c r="X29">
        <v>42</v>
      </c>
      <c r="Y29">
        <v>42</v>
      </c>
      <c r="Z29" s="2">
        <f>AVERAGE(Sheet1__9[[#This Row],[00:00:00]:[23:00:00]])</f>
        <v>41.958333333333336</v>
      </c>
      <c r="AA29" t="str" cm="1">
        <f t="array" ref="AA2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0" spans="1:27" x14ac:dyDescent="0.3">
      <c r="A30" s="1">
        <v>45929</v>
      </c>
      <c r="B30">
        <v>42</v>
      </c>
      <c r="C30">
        <v>42</v>
      </c>
      <c r="D30">
        <v>42</v>
      </c>
      <c r="E30">
        <v>42</v>
      </c>
      <c r="F30">
        <v>42</v>
      </c>
      <c r="G30">
        <v>42</v>
      </c>
      <c r="H30">
        <v>40</v>
      </c>
      <c r="I30">
        <v>40</v>
      </c>
      <c r="J30">
        <v>38</v>
      </c>
      <c r="K30">
        <v>37</v>
      </c>
      <c r="L30">
        <v>36</v>
      </c>
      <c r="M30">
        <v>36</v>
      </c>
      <c r="N30">
        <v>34</v>
      </c>
      <c r="O30">
        <v>34</v>
      </c>
      <c r="P30">
        <v>32</v>
      </c>
      <c r="Q30">
        <v>32</v>
      </c>
      <c r="R30">
        <v>34</v>
      </c>
      <c r="S30">
        <v>36</v>
      </c>
      <c r="T30">
        <v>36</v>
      </c>
      <c r="U30">
        <v>37</v>
      </c>
      <c r="V30">
        <v>37</v>
      </c>
      <c r="W30">
        <v>40</v>
      </c>
      <c r="X30">
        <v>40</v>
      </c>
      <c r="Y30">
        <v>40</v>
      </c>
      <c r="Z30" s="2">
        <f>AVERAGE(Sheet1__9[[#This Row],[00:00:00]:[23:00:00]])</f>
        <v>37.958333333333336</v>
      </c>
      <c r="AA30" t="str" cm="1">
        <f t="array" ref="AA3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1" spans="1:27" x14ac:dyDescent="0.3">
      <c r="A31" s="1">
        <v>45930</v>
      </c>
      <c r="B31">
        <v>41</v>
      </c>
      <c r="C31">
        <v>42</v>
      </c>
      <c r="D31">
        <v>41</v>
      </c>
      <c r="E31">
        <v>41</v>
      </c>
      <c r="F31">
        <v>40</v>
      </c>
      <c r="G31">
        <v>40</v>
      </c>
      <c r="H31">
        <v>40</v>
      </c>
      <c r="I31">
        <v>40</v>
      </c>
      <c r="J31">
        <v>40</v>
      </c>
      <c r="K31">
        <v>41</v>
      </c>
      <c r="L31">
        <v>42</v>
      </c>
      <c r="M31">
        <v>42</v>
      </c>
      <c r="N31">
        <v>42</v>
      </c>
      <c r="O31">
        <v>42</v>
      </c>
      <c r="P31">
        <v>42</v>
      </c>
      <c r="Q31">
        <v>42</v>
      </c>
      <c r="R31">
        <v>42</v>
      </c>
      <c r="S31">
        <v>42</v>
      </c>
      <c r="T31">
        <v>42</v>
      </c>
      <c r="U31">
        <v>42</v>
      </c>
      <c r="V31">
        <v>42</v>
      </c>
      <c r="W31">
        <v>42</v>
      </c>
      <c r="X31">
        <v>42</v>
      </c>
      <c r="Y31">
        <v>42</v>
      </c>
      <c r="Z31" s="2">
        <f>AVERAGE(Sheet1__9[[#This Row],[00:00:00]:[23:00:00]])</f>
        <v>41.416666666666664</v>
      </c>
      <c r="AA31" t="str" cm="1">
        <f t="array" ref="AA3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2" spans="1:27" x14ac:dyDescent="0.3">
      <c r="Z32" s="2">
        <f>SUBTOTAL(101,Sheet1__9[AVERAGE AQI])</f>
        <v>50.874758454106278</v>
      </c>
      <c r="AA32" s="3"/>
    </row>
  </sheetData>
  <conditionalFormatting sqref="AA1:AA1048576">
    <cfRule type="containsText" dxfId="31" priority="2" operator="containsText" text="MODERATE">
      <formula>NOT(ISERROR(SEARCH("MODERATE",AA1)))</formula>
    </cfRule>
    <cfRule type="containsText" dxfId="32" priority="1" operator="containsText" text="GOOD">
      <formula>NOT(ISERROR(SEARCH("GOOD",AA1)))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C390-78D7-44C2-8212-255D3D63E6F7}">
  <dimension ref="A1:AA33"/>
  <sheetViews>
    <sheetView topLeftCell="A13" workbookViewId="0">
      <selection activeCell="Z33" sqref="Z3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6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45931</v>
      </c>
      <c r="B2">
        <v>42</v>
      </c>
      <c r="C2">
        <v>44</v>
      </c>
      <c r="D2">
        <v>45</v>
      </c>
      <c r="E2">
        <v>46</v>
      </c>
      <c r="F2">
        <v>46</v>
      </c>
      <c r="G2">
        <v>45</v>
      </c>
      <c r="H2">
        <v>44</v>
      </c>
      <c r="I2">
        <v>44</v>
      </c>
      <c r="J2">
        <v>44</v>
      </c>
      <c r="K2">
        <v>44</v>
      </c>
      <c r="L2">
        <v>44</v>
      </c>
      <c r="M2">
        <v>45</v>
      </c>
      <c r="N2">
        <v>46</v>
      </c>
      <c r="O2">
        <v>45</v>
      </c>
      <c r="P2">
        <v>45</v>
      </c>
      <c r="Q2">
        <v>45</v>
      </c>
      <c r="R2">
        <v>45</v>
      </c>
      <c r="S2">
        <v>46</v>
      </c>
      <c r="T2">
        <v>46</v>
      </c>
      <c r="U2">
        <v>46</v>
      </c>
      <c r="V2">
        <v>46</v>
      </c>
      <c r="W2">
        <v>46</v>
      </c>
      <c r="X2">
        <v>46</v>
      </c>
      <c r="Y2">
        <v>46</v>
      </c>
      <c r="Z2" s="2">
        <f>AVERAGE(Sheet1__10[[#This Row],[00:00:00]:[23:00:00]])</f>
        <v>45.041666666666664</v>
      </c>
      <c r="AA2" t="str" cm="1">
        <f t="array" ref="AA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3" spans="1:27" x14ac:dyDescent="0.3">
      <c r="A3" s="1">
        <v>45932</v>
      </c>
      <c r="B3">
        <v>45</v>
      </c>
      <c r="C3">
        <v>45</v>
      </c>
      <c r="D3">
        <v>45</v>
      </c>
      <c r="E3">
        <v>47</v>
      </c>
      <c r="F3">
        <v>48</v>
      </c>
      <c r="G3">
        <v>48</v>
      </c>
      <c r="H3">
        <v>47</v>
      </c>
      <c r="I3">
        <v>48</v>
      </c>
      <c r="J3">
        <v>48</v>
      </c>
      <c r="K3">
        <v>48</v>
      </c>
      <c r="L3">
        <v>46</v>
      </c>
      <c r="M3">
        <v>45</v>
      </c>
      <c r="N3">
        <v>44</v>
      </c>
      <c r="O3">
        <v>44</v>
      </c>
      <c r="P3">
        <v>44</v>
      </c>
      <c r="Q3">
        <v>44</v>
      </c>
      <c r="R3">
        <v>44</v>
      </c>
      <c r="S3">
        <v>43</v>
      </c>
      <c r="T3">
        <v>43</v>
      </c>
      <c r="U3">
        <v>37</v>
      </c>
      <c r="V3">
        <v>36</v>
      </c>
      <c r="W3">
        <v>36</v>
      </c>
      <c r="X3">
        <v>35</v>
      </c>
      <c r="Y3">
        <v>35</v>
      </c>
      <c r="Z3" s="2">
        <f>AVERAGE(Sheet1__10[[#This Row],[00:00:00]:[23:00:00]])</f>
        <v>43.541666666666664</v>
      </c>
      <c r="AA3" t="str" cm="1">
        <f t="array" ref="AA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4" spans="1:27" x14ac:dyDescent="0.3">
      <c r="A4" s="1">
        <v>45933</v>
      </c>
      <c r="B4">
        <v>38</v>
      </c>
      <c r="C4">
        <v>41</v>
      </c>
      <c r="D4">
        <v>44</v>
      </c>
      <c r="E4">
        <v>46</v>
      </c>
      <c r="F4">
        <v>48</v>
      </c>
      <c r="G4">
        <v>48</v>
      </c>
      <c r="H4">
        <v>47</v>
      </c>
      <c r="I4">
        <v>48</v>
      </c>
      <c r="J4">
        <v>48</v>
      </c>
      <c r="K4">
        <v>46</v>
      </c>
      <c r="L4">
        <v>45</v>
      </c>
      <c r="M4">
        <v>45</v>
      </c>
      <c r="N4">
        <v>44</v>
      </c>
      <c r="O4">
        <v>42</v>
      </c>
      <c r="P4">
        <v>41</v>
      </c>
      <c r="Q4">
        <v>41</v>
      </c>
      <c r="R4">
        <v>41</v>
      </c>
      <c r="S4">
        <v>41</v>
      </c>
      <c r="T4">
        <v>40</v>
      </c>
      <c r="U4">
        <v>41</v>
      </c>
      <c r="V4">
        <v>41</v>
      </c>
      <c r="W4">
        <v>41</v>
      </c>
      <c r="X4">
        <v>41</v>
      </c>
      <c r="Y4">
        <v>42</v>
      </c>
      <c r="Z4" s="2">
        <f>AVERAGE(Sheet1__10[[#This Row],[00:00:00]:[23:00:00]])</f>
        <v>43.333333333333336</v>
      </c>
      <c r="AA4" t="str" cm="1">
        <f t="array" ref="AA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5" spans="1:27" x14ac:dyDescent="0.3">
      <c r="A5" s="1">
        <v>45934</v>
      </c>
      <c r="B5">
        <v>42</v>
      </c>
      <c r="C5">
        <v>43</v>
      </c>
      <c r="D5">
        <v>44</v>
      </c>
      <c r="E5">
        <v>45</v>
      </c>
      <c r="F5">
        <v>43</v>
      </c>
      <c r="G5">
        <v>43</v>
      </c>
      <c r="H5">
        <v>42</v>
      </c>
      <c r="I5">
        <v>40</v>
      </c>
      <c r="J5">
        <v>40</v>
      </c>
      <c r="K5">
        <v>39</v>
      </c>
      <c r="L5">
        <v>39</v>
      </c>
      <c r="M5">
        <v>39</v>
      </c>
      <c r="N5">
        <v>39</v>
      </c>
      <c r="O5">
        <v>39</v>
      </c>
      <c r="P5">
        <v>39</v>
      </c>
      <c r="Q5">
        <v>39</v>
      </c>
      <c r="R5">
        <v>39</v>
      </c>
      <c r="S5">
        <v>39</v>
      </c>
      <c r="T5">
        <v>40</v>
      </c>
      <c r="U5">
        <v>40</v>
      </c>
      <c r="V5">
        <v>40</v>
      </c>
      <c r="W5">
        <v>40</v>
      </c>
      <c r="X5">
        <v>40</v>
      </c>
      <c r="Y5">
        <v>39</v>
      </c>
      <c r="Z5" s="2">
        <f>AVERAGE(Sheet1__10[[#This Row],[00:00:00]:[23:00:00]])</f>
        <v>40.5</v>
      </c>
      <c r="AA5" t="str" cm="1">
        <f t="array" ref="AA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6" spans="1:27" x14ac:dyDescent="0.3">
      <c r="A6" s="1">
        <v>45935</v>
      </c>
      <c r="B6">
        <v>38</v>
      </c>
      <c r="C6">
        <v>40</v>
      </c>
      <c r="D6">
        <v>44</v>
      </c>
      <c r="E6">
        <v>46</v>
      </c>
      <c r="F6">
        <v>47</v>
      </c>
      <c r="G6">
        <v>48</v>
      </c>
      <c r="H6">
        <v>50</v>
      </c>
      <c r="I6">
        <v>51</v>
      </c>
      <c r="J6">
        <v>52</v>
      </c>
      <c r="K6">
        <v>52</v>
      </c>
      <c r="L6">
        <v>49</v>
      </c>
      <c r="M6">
        <v>48</v>
      </c>
      <c r="N6">
        <v>50</v>
      </c>
      <c r="O6">
        <v>51</v>
      </c>
      <c r="P6">
        <v>52</v>
      </c>
      <c r="Q6">
        <v>52</v>
      </c>
      <c r="R6">
        <v>52</v>
      </c>
      <c r="S6">
        <v>53</v>
      </c>
      <c r="T6">
        <v>53</v>
      </c>
      <c r="U6">
        <v>54</v>
      </c>
      <c r="V6">
        <v>55</v>
      </c>
      <c r="W6">
        <v>56</v>
      </c>
      <c r="X6">
        <v>57</v>
      </c>
      <c r="Y6">
        <v>58</v>
      </c>
      <c r="Z6" s="2">
        <f>AVERAGE(Sheet1__10[[#This Row],[00:00:00]:[23:00:00]])</f>
        <v>50.333333333333336</v>
      </c>
      <c r="AA6" t="str" cm="1">
        <f t="array" ref="AA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7" spans="1:27" x14ac:dyDescent="0.3">
      <c r="A7" s="1">
        <v>45936</v>
      </c>
      <c r="B7">
        <v>58</v>
      </c>
      <c r="C7">
        <v>59</v>
      </c>
      <c r="D7">
        <v>60</v>
      </c>
      <c r="E7">
        <v>60</v>
      </c>
      <c r="F7">
        <v>60</v>
      </c>
      <c r="G7">
        <v>60</v>
      </c>
      <c r="H7">
        <v>61</v>
      </c>
      <c r="I7">
        <v>60</v>
      </c>
      <c r="J7">
        <v>60</v>
      </c>
      <c r="K7">
        <v>60</v>
      </c>
      <c r="L7">
        <v>60</v>
      </c>
      <c r="M7">
        <v>61</v>
      </c>
      <c r="N7">
        <v>61</v>
      </c>
      <c r="O7">
        <v>61</v>
      </c>
      <c r="P7">
        <v>62</v>
      </c>
      <c r="Q7">
        <v>62</v>
      </c>
      <c r="R7">
        <v>78</v>
      </c>
      <c r="S7">
        <v>78</v>
      </c>
      <c r="T7">
        <v>78</v>
      </c>
      <c r="U7">
        <v>77</v>
      </c>
      <c r="V7">
        <v>76</v>
      </c>
      <c r="W7">
        <v>76</v>
      </c>
      <c r="X7">
        <v>75</v>
      </c>
      <c r="Y7">
        <v>75</v>
      </c>
      <c r="Z7" s="2">
        <f>AVERAGE(Sheet1__10[[#This Row],[00:00:00]:[23:00:00]])</f>
        <v>65.75</v>
      </c>
      <c r="AA7" t="str" cm="1">
        <f t="array" ref="AA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8" spans="1:27" x14ac:dyDescent="0.3">
      <c r="A8" s="1">
        <v>45937</v>
      </c>
      <c r="B8">
        <v>74</v>
      </c>
      <c r="C8">
        <v>74</v>
      </c>
      <c r="D8">
        <v>74</v>
      </c>
      <c r="E8">
        <v>74</v>
      </c>
      <c r="F8">
        <v>74</v>
      </c>
      <c r="G8">
        <v>74</v>
      </c>
      <c r="H8">
        <v>75</v>
      </c>
      <c r="I8">
        <v>75</v>
      </c>
      <c r="J8">
        <v>75</v>
      </c>
      <c r="K8">
        <v>75</v>
      </c>
      <c r="L8">
        <v>75</v>
      </c>
      <c r="M8">
        <v>76</v>
      </c>
      <c r="N8">
        <v>75</v>
      </c>
      <c r="O8">
        <v>74</v>
      </c>
      <c r="P8">
        <v>74</v>
      </c>
      <c r="Q8">
        <v>74</v>
      </c>
      <c r="R8">
        <v>74</v>
      </c>
      <c r="S8">
        <v>74</v>
      </c>
      <c r="T8">
        <v>74</v>
      </c>
      <c r="U8">
        <v>74</v>
      </c>
      <c r="V8">
        <v>74</v>
      </c>
      <c r="W8">
        <v>74</v>
      </c>
      <c r="X8">
        <v>74</v>
      </c>
      <c r="Y8">
        <v>74</v>
      </c>
      <c r="Z8" s="2">
        <f>AVERAGE(Sheet1__10[[#This Row],[00:00:00]:[23:00:00]])</f>
        <v>74.333333333333329</v>
      </c>
      <c r="AA8" t="str" cm="1">
        <f t="array" ref="AA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9" spans="1:27" x14ac:dyDescent="0.3">
      <c r="A9" s="1">
        <v>45938</v>
      </c>
      <c r="B9">
        <v>75</v>
      </c>
      <c r="C9">
        <v>74</v>
      </c>
      <c r="D9">
        <v>74</v>
      </c>
      <c r="E9">
        <v>74</v>
      </c>
      <c r="F9">
        <v>74</v>
      </c>
      <c r="G9">
        <v>74</v>
      </c>
      <c r="H9">
        <v>73</v>
      </c>
      <c r="I9">
        <v>73</v>
      </c>
      <c r="J9">
        <v>73</v>
      </c>
      <c r="K9">
        <v>72</v>
      </c>
      <c r="L9">
        <v>71</v>
      </c>
      <c r="M9">
        <v>70</v>
      </c>
      <c r="N9">
        <v>70</v>
      </c>
      <c r="O9">
        <v>69</v>
      </c>
      <c r="P9">
        <v>69</v>
      </c>
      <c r="Q9">
        <v>70</v>
      </c>
      <c r="R9">
        <v>71</v>
      </c>
      <c r="S9">
        <v>72</v>
      </c>
      <c r="T9">
        <v>72</v>
      </c>
      <c r="U9">
        <v>72</v>
      </c>
      <c r="V9">
        <v>72</v>
      </c>
      <c r="W9">
        <v>72</v>
      </c>
      <c r="X9">
        <v>71</v>
      </c>
      <c r="Y9">
        <v>71</v>
      </c>
      <c r="Z9" s="2">
        <f>AVERAGE(Sheet1__10[[#This Row],[00:00:00]:[23:00:00]])</f>
        <v>72</v>
      </c>
      <c r="AA9" t="str" cm="1">
        <f t="array" ref="AA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0" spans="1:27" x14ac:dyDescent="0.3">
      <c r="A10" s="1">
        <v>45939</v>
      </c>
      <c r="B10">
        <v>70</v>
      </c>
      <c r="C10">
        <v>70</v>
      </c>
      <c r="D10">
        <v>70</v>
      </c>
      <c r="E10">
        <v>70</v>
      </c>
      <c r="F10">
        <v>70</v>
      </c>
      <c r="G10">
        <v>70</v>
      </c>
      <c r="H10">
        <v>70</v>
      </c>
      <c r="I10">
        <v>70</v>
      </c>
      <c r="J10">
        <v>69</v>
      </c>
      <c r="K10">
        <v>69</v>
      </c>
      <c r="L10">
        <v>70</v>
      </c>
      <c r="M10">
        <v>70</v>
      </c>
      <c r="N10">
        <v>71</v>
      </c>
      <c r="O10">
        <v>72</v>
      </c>
      <c r="P10">
        <v>72</v>
      </c>
      <c r="Q10">
        <v>72</v>
      </c>
      <c r="R10">
        <v>72</v>
      </c>
      <c r="S10">
        <v>74</v>
      </c>
      <c r="U10">
        <v>75</v>
      </c>
      <c r="V10">
        <v>77</v>
      </c>
      <c r="W10">
        <v>80</v>
      </c>
      <c r="X10">
        <v>82</v>
      </c>
      <c r="Y10">
        <v>85</v>
      </c>
      <c r="Z10" s="2">
        <f>AVERAGE(Sheet1__10[[#This Row],[00:00:00]:[23:00:00]])</f>
        <v>72.608695652173907</v>
      </c>
      <c r="AA10" t="str" cm="1">
        <f t="array" ref="AA1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1" spans="1:27" x14ac:dyDescent="0.3">
      <c r="A11" s="1">
        <v>45940</v>
      </c>
      <c r="B11">
        <v>87</v>
      </c>
      <c r="C11">
        <v>90</v>
      </c>
      <c r="D11">
        <v>90</v>
      </c>
      <c r="E11">
        <v>92</v>
      </c>
      <c r="F11">
        <v>94</v>
      </c>
      <c r="G11">
        <v>96</v>
      </c>
      <c r="H11">
        <v>98</v>
      </c>
      <c r="I11">
        <v>100</v>
      </c>
      <c r="J11">
        <v>102</v>
      </c>
      <c r="K11">
        <v>104</v>
      </c>
      <c r="L11">
        <v>106</v>
      </c>
      <c r="M11">
        <v>108</v>
      </c>
      <c r="N11">
        <v>110</v>
      </c>
      <c r="O11">
        <v>110</v>
      </c>
      <c r="P11">
        <v>112</v>
      </c>
      <c r="Q11">
        <v>114</v>
      </c>
      <c r="R11">
        <v>114</v>
      </c>
      <c r="S11">
        <v>114</v>
      </c>
      <c r="T11">
        <v>114</v>
      </c>
      <c r="U11">
        <v>115</v>
      </c>
      <c r="V11">
        <v>116</v>
      </c>
      <c r="W11">
        <v>117</v>
      </c>
      <c r="X11">
        <v>118</v>
      </c>
      <c r="Y11">
        <v>119</v>
      </c>
      <c r="Z11" s="2">
        <f>AVERAGE(Sheet1__10[[#This Row],[00:00:00]:[23:00:00]])</f>
        <v>105.83333333333333</v>
      </c>
      <c r="AA11" t="str" cm="1">
        <f t="array" ref="AA1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2" spans="1:27" x14ac:dyDescent="0.3">
      <c r="A12" s="1">
        <v>45941</v>
      </c>
      <c r="B12">
        <v>120</v>
      </c>
      <c r="C12">
        <v>122</v>
      </c>
      <c r="D12">
        <v>123</v>
      </c>
      <c r="E12">
        <v>124</v>
      </c>
      <c r="F12">
        <v>126</v>
      </c>
      <c r="G12">
        <v>128</v>
      </c>
      <c r="H12">
        <v>130</v>
      </c>
      <c r="I12">
        <v>134</v>
      </c>
      <c r="J12">
        <v>138</v>
      </c>
      <c r="K12">
        <v>140</v>
      </c>
      <c r="L12">
        <v>142</v>
      </c>
      <c r="M12">
        <v>144</v>
      </c>
      <c r="N12">
        <v>145</v>
      </c>
      <c r="O12">
        <v>146</v>
      </c>
      <c r="P12">
        <v>149</v>
      </c>
      <c r="Q12">
        <v>150</v>
      </c>
      <c r="R12">
        <v>151</v>
      </c>
      <c r="S12">
        <v>150</v>
      </c>
      <c r="T12">
        <v>148</v>
      </c>
      <c r="U12">
        <v>148</v>
      </c>
      <c r="V12">
        <v>149</v>
      </c>
      <c r="W12">
        <v>150</v>
      </c>
      <c r="X12">
        <v>152</v>
      </c>
      <c r="Y12">
        <v>152</v>
      </c>
      <c r="Z12" s="2">
        <f>AVERAGE(Sheet1__10[[#This Row],[00:00:00]:[23:00:00]])</f>
        <v>140.04166666666666</v>
      </c>
      <c r="AA12" t="str" cm="1">
        <f t="array" ref="AA1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3" spans="1:27" x14ac:dyDescent="0.3">
      <c r="A13" s="1">
        <v>45942</v>
      </c>
      <c r="C13">
        <v>154</v>
      </c>
      <c r="D13">
        <v>154</v>
      </c>
      <c r="E13">
        <v>144</v>
      </c>
      <c r="F13">
        <v>144</v>
      </c>
      <c r="G13">
        <v>144</v>
      </c>
      <c r="H13">
        <v>144</v>
      </c>
      <c r="I13">
        <v>143</v>
      </c>
      <c r="J13">
        <v>142</v>
      </c>
      <c r="K13">
        <v>143</v>
      </c>
      <c r="L13">
        <v>142</v>
      </c>
      <c r="M13">
        <v>143</v>
      </c>
      <c r="N13">
        <v>144</v>
      </c>
      <c r="O13">
        <v>144</v>
      </c>
      <c r="P13">
        <v>142</v>
      </c>
      <c r="Q13">
        <v>142</v>
      </c>
      <c r="R13">
        <v>142</v>
      </c>
      <c r="S13">
        <v>140</v>
      </c>
      <c r="T13">
        <v>140</v>
      </c>
      <c r="U13">
        <v>139</v>
      </c>
      <c r="V13">
        <v>138</v>
      </c>
      <c r="W13">
        <v>138</v>
      </c>
      <c r="X13">
        <v>136</v>
      </c>
      <c r="Y13">
        <v>136</v>
      </c>
      <c r="Z13" s="2">
        <f>AVERAGE(Sheet1__10[[#This Row],[00:00:00]:[23:00:00]])</f>
        <v>142.52173913043478</v>
      </c>
      <c r="AA13" t="str" cm="1">
        <f t="array" ref="AA1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4" spans="1:27" x14ac:dyDescent="0.3">
      <c r="A14" s="1">
        <v>45943</v>
      </c>
      <c r="B14">
        <v>134</v>
      </c>
      <c r="C14">
        <v>134</v>
      </c>
      <c r="D14">
        <v>132</v>
      </c>
      <c r="E14">
        <v>132</v>
      </c>
      <c r="F14">
        <v>132</v>
      </c>
      <c r="G14">
        <v>131</v>
      </c>
      <c r="H14">
        <v>131</v>
      </c>
      <c r="I14">
        <v>130</v>
      </c>
      <c r="J14">
        <v>130</v>
      </c>
      <c r="K14">
        <v>130</v>
      </c>
      <c r="L14">
        <v>128</v>
      </c>
      <c r="M14">
        <v>128</v>
      </c>
      <c r="N14">
        <v>127</v>
      </c>
      <c r="O14">
        <v>126</v>
      </c>
      <c r="P14">
        <v>126</v>
      </c>
      <c r="Q14">
        <v>126</v>
      </c>
      <c r="R14">
        <v>126</v>
      </c>
      <c r="S14">
        <v>126</v>
      </c>
      <c r="T14">
        <v>125</v>
      </c>
      <c r="U14">
        <v>124</v>
      </c>
      <c r="V14">
        <v>124</v>
      </c>
      <c r="W14">
        <v>124</v>
      </c>
      <c r="X14">
        <v>124</v>
      </c>
      <c r="Y14">
        <v>124</v>
      </c>
      <c r="Z14" s="2">
        <f>AVERAGE(Sheet1__10[[#This Row],[00:00:00]:[23:00:00]])</f>
        <v>128.08333333333334</v>
      </c>
      <c r="AA14" t="str" cm="1">
        <f t="array" ref="AA1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5" spans="1:27" x14ac:dyDescent="0.3">
      <c r="A15" s="1">
        <v>45944</v>
      </c>
      <c r="B15">
        <v>124</v>
      </c>
      <c r="C15">
        <v>124</v>
      </c>
      <c r="D15">
        <v>124</v>
      </c>
      <c r="E15">
        <v>124</v>
      </c>
      <c r="F15">
        <v>122</v>
      </c>
      <c r="G15">
        <v>122</v>
      </c>
      <c r="H15">
        <v>121</v>
      </c>
      <c r="I15">
        <v>121</v>
      </c>
      <c r="J15">
        <v>120</v>
      </c>
      <c r="K15">
        <v>120</v>
      </c>
      <c r="L15">
        <v>120</v>
      </c>
      <c r="M15">
        <v>120</v>
      </c>
      <c r="N15">
        <v>120</v>
      </c>
      <c r="O15">
        <v>120</v>
      </c>
      <c r="P15">
        <v>119</v>
      </c>
      <c r="Q15">
        <v>119</v>
      </c>
      <c r="R15">
        <v>120</v>
      </c>
      <c r="S15">
        <v>106</v>
      </c>
      <c r="T15">
        <v>105</v>
      </c>
      <c r="U15">
        <v>105</v>
      </c>
      <c r="V15">
        <v>104</v>
      </c>
      <c r="W15">
        <v>104</v>
      </c>
      <c r="X15">
        <v>103</v>
      </c>
      <c r="Y15">
        <v>102</v>
      </c>
      <c r="Z15" s="2">
        <f>AVERAGE(Sheet1__10[[#This Row],[00:00:00]:[23:00:00]])</f>
        <v>116.20833333333333</v>
      </c>
      <c r="AA15" t="str" cm="1">
        <f t="array" ref="AA1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6" spans="1:27" x14ac:dyDescent="0.3">
      <c r="A16" s="1">
        <v>45945</v>
      </c>
      <c r="B16">
        <v>102</v>
      </c>
      <c r="C16">
        <v>102</v>
      </c>
      <c r="D16">
        <v>102</v>
      </c>
      <c r="E16">
        <v>103</v>
      </c>
      <c r="G16">
        <v>103</v>
      </c>
      <c r="H16">
        <v>103</v>
      </c>
      <c r="I16">
        <v>103</v>
      </c>
      <c r="J16">
        <v>103</v>
      </c>
      <c r="K16">
        <v>103</v>
      </c>
      <c r="L16">
        <v>103</v>
      </c>
      <c r="M16">
        <v>103</v>
      </c>
      <c r="N16">
        <v>103</v>
      </c>
      <c r="O16">
        <v>103</v>
      </c>
      <c r="P16">
        <v>104</v>
      </c>
      <c r="Q16">
        <v>104</v>
      </c>
      <c r="R16">
        <v>105</v>
      </c>
      <c r="S16">
        <v>105</v>
      </c>
      <c r="T16">
        <v>105</v>
      </c>
      <c r="U16">
        <v>106</v>
      </c>
      <c r="V16">
        <v>107</v>
      </c>
      <c r="W16">
        <v>107</v>
      </c>
      <c r="X16">
        <v>108</v>
      </c>
      <c r="Y16">
        <v>109</v>
      </c>
      <c r="Z16" s="2">
        <f>AVERAGE(Sheet1__10[[#This Row],[00:00:00]:[23:00:00]])</f>
        <v>104.17391304347827</v>
      </c>
      <c r="AA16" t="str" cm="1">
        <f t="array" ref="AA1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7" spans="1:27" x14ac:dyDescent="0.3">
      <c r="A17" s="1">
        <v>45946</v>
      </c>
      <c r="B17">
        <v>109</v>
      </c>
      <c r="C17">
        <v>109</v>
      </c>
      <c r="D17">
        <v>110</v>
      </c>
      <c r="E17">
        <v>110</v>
      </c>
      <c r="F17">
        <v>111</v>
      </c>
      <c r="G17">
        <v>111</v>
      </c>
      <c r="H17">
        <v>112</v>
      </c>
      <c r="I17">
        <v>112</v>
      </c>
      <c r="J17">
        <v>112</v>
      </c>
      <c r="K17">
        <v>116</v>
      </c>
      <c r="L17">
        <v>116</v>
      </c>
      <c r="M17">
        <v>114</v>
      </c>
      <c r="N17">
        <v>114</v>
      </c>
      <c r="O17">
        <v>112</v>
      </c>
      <c r="P17">
        <v>112</v>
      </c>
      <c r="Q17">
        <v>110</v>
      </c>
      <c r="R17">
        <v>108</v>
      </c>
      <c r="S17">
        <v>107</v>
      </c>
      <c r="T17">
        <v>106</v>
      </c>
      <c r="U17">
        <v>104</v>
      </c>
      <c r="V17">
        <v>103</v>
      </c>
      <c r="W17">
        <v>100</v>
      </c>
      <c r="X17">
        <v>97</v>
      </c>
      <c r="Y17">
        <v>94</v>
      </c>
      <c r="Z17" s="2">
        <f>AVERAGE(Sheet1__10[[#This Row],[00:00:00]:[23:00:00]])</f>
        <v>108.70833333333333</v>
      </c>
      <c r="AA17" t="str" cm="1">
        <f t="array" ref="AA1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8" spans="1:27" x14ac:dyDescent="0.3">
      <c r="A18" s="1">
        <v>45947</v>
      </c>
      <c r="B18">
        <v>90</v>
      </c>
      <c r="C18">
        <v>86</v>
      </c>
      <c r="D18">
        <v>82</v>
      </c>
      <c r="E18">
        <v>78</v>
      </c>
      <c r="F18">
        <v>75</v>
      </c>
      <c r="G18">
        <v>72</v>
      </c>
      <c r="H18">
        <v>70</v>
      </c>
      <c r="I18">
        <v>68</v>
      </c>
      <c r="J18">
        <v>66</v>
      </c>
      <c r="K18">
        <v>63</v>
      </c>
      <c r="L18">
        <v>62</v>
      </c>
      <c r="M18">
        <v>60</v>
      </c>
      <c r="N18">
        <v>58</v>
      </c>
      <c r="O18">
        <v>57</v>
      </c>
      <c r="P18">
        <v>56</v>
      </c>
      <c r="Q18">
        <v>55</v>
      </c>
      <c r="R18">
        <v>54</v>
      </c>
      <c r="S18">
        <v>54</v>
      </c>
      <c r="T18">
        <v>54</v>
      </c>
      <c r="U18">
        <v>53</v>
      </c>
      <c r="V18">
        <v>53</v>
      </c>
      <c r="W18">
        <v>54</v>
      </c>
      <c r="X18">
        <v>56</v>
      </c>
      <c r="Y18">
        <v>58</v>
      </c>
      <c r="Z18" s="2">
        <f>AVERAGE(Sheet1__10[[#This Row],[00:00:00]:[23:00:00]])</f>
        <v>63.916666666666664</v>
      </c>
      <c r="AA18" t="str" cm="1">
        <f t="array" ref="AA1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9" spans="1:27" x14ac:dyDescent="0.3">
      <c r="A19" s="1">
        <v>45948</v>
      </c>
      <c r="B19">
        <v>61</v>
      </c>
      <c r="C19">
        <v>63</v>
      </c>
      <c r="D19">
        <v>64</v>
      </c>
      <c r="E19">
        <v>64</v>
      </c>
      <c r="F19">
        <v>66</v>
      </c>
      <c r="G19">
        <v>67</v>
      </c>
      <c r="H19">
        <v>68</v>
      </c>
      <c r="I19">
        <v>70</v>
      </c>
      <c r="J19">
        <v>71</v>
      </c>
      <c r="K19">
        <v>72</v>
      </c>
      <c r="L19">
        <v>74</v>
      </c>
      <c r="M19">
        <v>75</v>
      </c>
      <c r="N19">
        <v>76</v>
      </c>
      <c r="O19">
        <v>78</v>
      </c>
      <c r="P19">
        <v>80</v>
      </c>
      <c r="Q19">
        <v>80</v>
      </c>
      <c r="R19">
        <v>82</v>
      </c>
      <c r="S19">
        <v>83</v>
      </c>
      <c r="T19">
        <v>84</v>
      </c>
      <c r="U19">
        <v>85</v>
      </c>
      <c r="V19">
        <v>86</v>
      </c>
      <c r="W19">
        <v>87</v>
      </c>
      <c r="X19">
        <v>88</v>
      </c>
      <c r="Y19">
        <v>88</v>
      </c>
      <c r="Z19" s="2">
        <f>AVERAGE(Sheet1__10[[#This Row],[00:00:00]:[23:00:00]])</f>
        <v>75.5</v>
      </c>
      <c r="AA19" t="str" cm="1">
        <f t="array" ref="AA1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0" spans="1:27" x14ac:dyDescent="0.3">
      <c r="A20" s="1">
        <v>45949</v>
      </c>
      <c r="B20">
        <v>90</v>
      </c>
      <c r="C20">
        <v>92</v>
      </c>
      <c r="D20">
        <v>94</v>
      </c>
      <c r="E20">
        <v>95</v>
      </c>
      <c r="F20">
        <v>96</v>
      </c>
      <c r="G20">
        <v>96</v>
      </c>
      <c r="H20">
        <v>96</v>
      </c>
      <c r="I20">
        <v>96</v>
      </c>
      <c r="J20">
        <v>96</v>
      </c>
      <c r="K20">
        <v>96</v>
      </c>
      <c r="L20">
        <v>96</v>
      </c>
      <c r="M20">
        <v>96</v>
      </c>
      <c r="N20">
        <v>94</v>
      </c>
      <c r="O20">
        <v>94</v>
      </c>
      <c r="P20">
        <v>92</v>
      </c>
      <c r="Q20">
        <v>92</v>
      </c>
      <c r="R20">
        <v>92</v>
      </c>
      <c r="S20">
        <v>94</v>
      </c>
      <c r="T20">
        <v>94</v>
      </c>
      <c r="U20">
        <v>94</v>
      </c>
      <c r="V20">
        <v>96</v>
      </c>
      <c r="W20">
        <v>97</v>
      </c>
      <c r="X20">
        <v>100</v>
      </c>
      <c r="Y20">
        <v>102</v>
      </c>
      <c r="Z20" s="2">
        <f>AVERAGE(Sheet1__10[[#This Row],[00:00:00]:[23:00:00]])</f>
        <v>95</v>
      </c>
      <c r="AA20" t="str" cm="1">
        <f t="array" ref="AA2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1" spans="1:27" x14ac:dyDescent="0.3">
      <c r="A21" s="1">
        <v>45950</v>
      </c>
      <c r="B21">
        <v>104</v>
      </c>
      <c r="C21">
        <v>106</v>
      </c>
      <c r="D21">
        <v>111</v>
      </c>
      <c r="E21">
        <v>118</v>
      </c>
      <c r="F21">
        <v>125</v>
      </c>
      <c r="G21">
        <v>130</v>
      </c>
      <c r="H21">
        <v>134</v>
      </c>
      <c r="I21">
        <v>136</v>
      </c>
      <c r="J21">
        <v>138</v>
      </c>
      <c r="K21">
        <v>140</v>
      </c>
      <c r="L21">
        <v>144</v>
      </c>
      <c r="M21">
        <v>147</v>
      </c>
      <c r="N21">
        <v>146</v>
      </c>
      <c r="O21">
        <v>144</v>
      </c>
      <c r="P21">
        <v>142</v>
      </c>
      <c r="Q21">
        <v>140</v>
      </c>
      <c r="R21">
        <v>138</v>
      </c>
      <c r="S21">
        <v>136</v>
      </c>
      <c r="T21">
        <v>138</v>
      </c>
      <c r="U21">
        <v>140</v>
      </c>
      <c r="V21">
        <v>138</v>
      </c>
      <c r="W21">
        <v>144</v>
      </c>
      <c r="X21">
        <v>151</v>
      </c>
      <c r="Y21">
        <v>161</v>
      </c>
      <c r="Z21" s="2">
        <f>AVERAGE(Sheet1__10[[#This Row],[00:00:00]:[23:00:00]])</f>
        <v>135.45833333333334</v>
      </c>
      <c r="AA21" t="str" cm="1">
        <f t="array" ref="AA2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2" spans="1:27" x14ac:dyDescent="0.3">
      <c r="A22" s="1">
        <v>45951</v>
      </c>
      <c r="B22">
        <v>168</v>
      </c>
      <c r="C22">
        <v>168</v>
      </c>
      <c r="D22">
        <v>168</v>
      </c>
      <c r="E22">
        <v>174</v>
      </c>
      <c r="F22">
        <v>169</v>
      </c>
      <c r="G22">
        <v>165</v>
      </c>
      <c r="H22">
        <v>163</v>
      </c>
      <c r="I22">
        <v>160</v>
      </c>
      <c r="J22">
        <v>157</v>
      </c>
      <c r="K22">
        <v>154</v>
      </c>
      <c r="L22">
        <v>151</v>
      </c>
      <c r="M22">
        <v>146</v>
      </c>
      <c r="N22">
        <v>149</v>
      </c>
      <c r="O22">
        <v>150</v>
      </c>
      <c r="P22">
        <v>150</v>
      </c>
      <c r="Q22">
        <v>148</v>
      </c>
      <c r="R22">
        <v>149</v>
      </c>
      <c r="S22">
        <v>151</v>
      </c>
      <c r="T22">
        <v>148</v>
      </c>
      <c r="U22">
        <v>152</v>
      </c>
      <c r="V22">
        <v>147</v>
      </c>
      <c r="W22">
        <v>140</v>
      </c>
      <c r="X22">
        <v>132</v>
      </c>
      <c r="Y22">
        <v>124</v>
      </c>
      <c r="Z22" s="2">
        <f>AVERAGE(Sheet1__10[[#This Row],[00:00:00]:[23:00:00]])</f>
        <v>153.45833333333334</v>
      </c>
      <c r="AA22" t="str" cm="1">
        <f t="array" ref="AA2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23" spans="1:27" x14ac:dyDescent="0.3">
      <c r="A23" s="1">
        <v>45952</v>
      </c>
      <c r="B23">
        <v>124</v>
      </c>
      <c r="C23">
        <v>131</v>
      </c>
      <c r="D23">
        <v>130</v>
      </c>
      <c r="E23">
        <v>132</v>
      </c>
      <c r="F23">
        <v>132</v>
      </c>
      <c r="G23">
        <v>132</v>
      </c>
      <c r="H23">
        <v>128</v>
      </c>
      <c r="I23">
        <v>124</v>
      </c>
      <c r="J23">
        <v>122</v>
      </c>
      <c r="K23">
        <v>118</v>
      </c>
      <c r="L23">
        <v>115</v>
      </c>
      <c r="M23">
        <v>112</v>
      </c>
      <c r="N23">
        <v>110</v>
      </c>
      <c r="O23">
        <v>108</v>
      </c>
      <c r="P23">
        <v>106</v>
      </c>
      <c r="Q23">
        <v>106</v>
      </c>
      <c r="R23">
        <v>104</v>
      </c>
      <c r="S23">
        <v>101</v>
      </c>
      <c r="T23">
        <v>99</v>
      </c>
      <c r="U23">
        <v>100</v>
      </c>
      <c r="V23">
        <v>98</v>
      </c>
      <c r="W23">
        <v>100</v>
      </c>
      <c r="X23">
        <v>106</v>
      </c>
      <c r="Z23" s="2">
        <f>AVERAGE(Sheet1__10[[#This Row],[00:00:00]:[23:00:00]])</f>
        <v>114.69565217391305</v>
      </c>
      <c r="AA23" t="str" cm="1">
        <f t="array" ref="AA2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4" spans="1:27" x14ac:dyDescent="0.3">
      <c r="A24" s="1">
        <v>45953</v>
      </c>
      <c r="B24">
        <v>98</v>
      </c>
      <c r="C24">
        <v>94</v>
      </c>
      <c r="D24">
        <v>95</v>
      </c>
      <c r="E24">
        <v>98</v>
      </c>
      <c r="F24">
        <v>98</v>
      </c>
      <c r="G24">
        <v>96</v>
      </c>
      <c r="H24">
        <v>96</v>
      </c>
      <c r="I24">
        <v>96</v>
      </c>
      <c r="J24">
        <v>96</v>
      </c>
      <c r="K24">
        <v>97</v>
      </c>
      <c r="L24">
        <v>97</v>
      </c>
      <c r="M24">
        <v>97</v>
      </c>
      <c r="N24">
        <v>96</v>
      </c>
      <c r="O24">
        <v>99</v>
      </c>
      <c r="P24">
        <v>100</v>
      </c>
      <c r="Q24">
        <v>100</v>
      </c>
      <c r="R24">
        <v>99</v>
      </c>
      <c r="T24">
        <v>102</v>
      </c>
      <c r="U24">
        <v>102</v>
      </c>
      <c r="V24">
        <v>102</v>
      </c>
      <c r="W24">
        <v>101</v>
      </c>
      <c r="X24">
        <v>93</v>
      </c>
      <c r="Y24">
        <v>94</v>
      </c>
      <c r="Z24" s="2">
        <f>AVERAGE(Sheet1__10[[#This Row],[00:00:00]:[23:00:00]])</f>
        <v>97.652173913043484</v>
      </c>
      <c r="AA24" t="str" cm="1">
        <f t="array" ref="AA2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5" spans="1:27" x14ac:dyDescent="0.3">
      <c r="A25" s="1">
        <v>45954</v>
      </c>
      <c r="B25">
        <v>102</v>
      </c>
      <c r="C25">
        <v>108</v>
      </c>
      <c r="D25">
        <v>108</v>
      </c>
      <c r="E25">
        <v>108</v>
      </c>
      <c r="F25">
        <v>108</v>
      </c>
      <c r="G25">
        <v>110</v>
      </c>
      <c r="H25">
        <v>112</v>
      </c>
      <c r="I25">
        <v>112</v>
      </c>
      <c r="J25">
        <v>112</v>
      </c>
      <c r="K25">
        <v>114</v>
      </c>
      <c r="L25">
        <v>115</v>
      </c>
      <c r="M25">
        <v>116</v>
      </c>
      <c r="N25">
        <v>116</v>
      </c>
      <c r="O25">
        <v>114</v>
      </c>
      <c r="P25">
        <v>114</v>
      </c>
      <c r="Q25">
        <v>114</v>
      </c>
      <c r="R25">
        <v>116</v>
      </c>
      <c r="S25">
        <v>111</v>
      </c>
      <c r="T25">
        <v>116</v>
      </c>
      <c r="U25">
        <v>112</v>
      </c>
      <c r="V25">
        <v>111</v>
      </c>
      <c r="W25">
        <v>108</v>
      </c>
      <c r="X25">
        <v>102</v>
      </c>
      <c r="Y25">
        <v>92</v>
      </c>
      <c r="Z25" s="2">
        <f>AVERAGE(Sheet1__10[[#This Row],[00:00:00]:[23:00:00]])</f>
        <v>110.45833333333333</v>
      </c>
      <c r="AA25" t="str" cm="1">
        <f t="array" ref="AA2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6" spans="1:27" x14ac:dyDescent="0.3">
      <c r="A26" s="1">
        <v>45955</v>
      </c>
      <c r="B26">
        <v>82</v>
      </c>
      <c r="C26">
        <v>70</v>
      </c>
      <c r="D26">
        <v>58</v>
      </c>
      <c r="E26">
        <v>48</v>
      </c>
      <c r="F26">
        <v>44</v>
      </c>
      <c r="G26">
        <v>42</v>
      </c>
      <c r="H26">
        <v>40</v>
      </c>
      <c r="I26">
        <v>38</v>
      </c>
      <c r="J26">
        <v>36</v>
      </c>
      <c r="K26">
        <v>34</v>
      </c>
      <c r="L26">
        <v>30</v>
      </c>
      <c r="M26">
        <v>30</v>
      </c>
      <c r="N26">
        <v>34</v>
      </c>
      <c r="O26">
        <v>28</v>
      </c>
      <c r="P26">
        <v>28</v>
      </c>
      <c r="Q26">
        <v>28</v>
      </c>
      <c r="R26">
        <v>28</v>
      </c>
      <c r="S26">
        <v>28</v>
      </c>
      <c r="T26">
        <v>28</v>
      </c>
      <c r="U26">
        <v>27</v>
      </c>
      <c r="V26">
        <v>26</v>
      </c>
      <c r="W26">
        <v>26</v>
      </c>
      <c r="X26">
        <v>25</v>
      </c>
      <c r="Y26">
        <v>24</v>
      </c>
      <c r="Z26" s="2">
        <f>AVERAGE(Sheet1__10[[#This Row],[00:00:00]:[23:00:00]])</f>
        <v>36.75</v>
      </c>
      <c r="AA26" t="str" cm="1">
        <f t="array" ref="AA2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27" spans="1:27" x14ac:dyDescent="0.3">
      <c r="A27" s="1">
        <v>45956</v>
      </c>
      <c r="B27">
        <v>24</v>
      </c>
      <c r="C27">
        <v>24</v>
      </c>
      <c r="D27">
        <v>24</v>
      </c>
      <c r="E27">
        <v>24</v>
      </c>
      <c r="F27">
        <v>24</v>
      </c>
      <c r="G27">
        <v>24</v>
      </c>
      <c r="H27">
        <v>26</v>
      </c>
      <c r="I27">
        <v>26</v>
      </c>
      <c r="J27">
        <v>27</v>
      </c>
      <c r="K27">
        <v>28</v>
      </c>
      <c r="L27">
        <v>29</v>
      </c>
      <c r="M27">
        <v>30</v>
      </c>
      <c r="N27">
        <v>31</v>
      </c>
      <c r="O27">
        <v>32</v>
      </c>
      <c r="P27">
        <v>33</v>
      </c>
      <c r="Q27">
        <v>33</v>
      </c>
      <c r="R27">
        <v>34</v>
      </c>
      <c r="S27">
        <v>34</v>
      </c>
      <c r="T27">
        <v>33</v>
      </c>
      <c r="U27">
        <v>33</v>
      </c>
      <c r="V27">
        <v>33</v>
      </c>
      <c r="W27">
        <v>33</v>
      </c>
      <c r="X27">
        <v>32</v>
      </c>
      <c r="Y27">
        <v>33</v>
      </c>
      <c r="Z27" s="2">
        <f>AVERAGE(Sheet1__10[[#This Row],[00:00:00]:[23:00:00]])</f>
        <v>29.333333333333332</v>
      </c>
      <c r="AA27" t="str" cm="1">
        <f t="array" ref="AA2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28" spans="1:27" x14ac:dyDescent="0.3">
      <c r="A28" s="1">
        <v>45957</v>
      </c>
      <c r="B28">
        <v>33</v>
      </c>
      <c r="C28">
        <v>33</v>
      </c>
      <c r="D28">
        <v>33</v>
      </c>
      <c r="E28">
        <v>33</v>
      </c>
      <c r="F28">
        <v>33</v>
      </c>
      <c r="G28">
        <v>33</v>
      </c>
      <c r="H28">
        <v>33</v>
      </c>
      <c r="I28">
        <v>33</v>
      </c>
      <c r="J28">
        <v>33</v>
      </c>
      <c r="K28">
        <v>33</v>
      </c>
      <c r="L28">
        <v>33</v>
      </c>
      <c r="M28">
        <v>33</v>
      </c>
      <c r="N28">
        <v>33</v>
      </c>
      <c r="O28">
        <v>34</v>
      </c>
      <c r="P28">
        <v>34</v>
      </c>
      <c r="Q28">
        <v>34</v>
      </c>
      <c r="R28">
        <v>34</v>
      </c>
      <c r="S28">
        <v>34</v>
      </c>
      <c r="T28">
        <v>35</v>
      </c>
      <c r="U28">
        <v>35</v>
      </c>
      <c r="V28">
        <v>36</v>
      </c>
      <c r="W28">
        <v>36</v>
      </c>
      <c r="X28">
        <v>37</v>
      </c>
      <c r="Y28">
        <v>37</v>
      </c>
      <c r="Z28" s="2">
        <f>AVERAGE(Sheet1__10[[#This Row],[00:00:00]:[23:00:00]])</f>
        <v>33.958333333333336</v>
      </c>
      <c r="AA28" t="str" cm="1">
        <f t="array" ref="AA2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29" spans="1:27" x14ac:dyDescent="0.3">
      <c r="A29" s="1">
        <v>45958</v>
      </c>
      <c r="B29">
        <v>37</v>
      </c>
      <c r="C29">
        <v>38</v>
      </c>
      <c r="D29">
        <v>38</v>
      </c>
      <c r="E29">
        <v>39</v>
      </c>
      <c r="G29">
        <v>40</v>
      </c>
      <c r="H29">
        <v>38</v>
      </c>
      <c r="I29">
        <v>38</v>
      </c>
      <c r="J29">
        <v>38</v>
      </c>
      <c r="K29">
        <v>38</v>
      </c>
      <c r="L29">
        <v>39</v>
      </c>
      <c r="M29">
        <v>39</v>
      </c>
      <c r="N29">
        <v>39</v>
      </c>
      <c r="O29">
        <v>40</v>
      </c>
      <c r="P29">
        <v>40</v>
      </c>
      <c r="Q29">
        <v>42</v>
      </c>
      <c r="R29">
        <v>46</v>
      </c>
      <c r="S29">
        <v>48</v>
      </c>
      <c r="T29">
        <v>50</v>
      </c>
      <c r="U29">
        <v>50</v>
      </c>
      <c r="V29">
        <v>49</v>
      </c>
      <c r="W29">
        <v>48</v>
      </c>
      <c r="X29">
        <v>48</v>
      </c>
      <c r="Y29">
        <v>49</v>
      </c>
      <c r="Z29" s="2">
        <f>AVERAGE(Sheet1__10[[#This Row],[00:00:00]:[23:00:00]])</f>
        <v>42.217391304347828</v>
      </c>
      <c r="AA29" t="str" cm="1">
        <f t="array" ref="AA2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30" spans="1:27" x14ac:dyDescent="0.3">
      <c r="A30" s="1">
        <v>45959</v>
      </c>
      <c r="B30">
        <v>50</v>
      </c>
      <c r="C30">
        <v>52</v>
      </c>
      <c r="D30">
        <v>54</v>
      </c>
      <c r="E30">
        <v>55</v>
      </c>
      <c r="F30">
        <v>57</v>
      </c>
      <c r="G30">
        <v>58</v>
      </c>
      <c r="H30">
        <v>60</v>
      </c>
      <c r="I30">
        <v>60</v>
      </c>
      <c r="J30">
        <v>62</v>
      </c>
      <c r="K30">
        <v>64</v>
      </c>
      <c r="L30">
        <v>65</v>
      </c>
      <c r="M30">
        <v>66</v>
      </c>
      <c r="N30">
        <v>68</v>
      </c>
      <c r="O30">
        <v>68</v>
      </c>
      <c r="P30">
        <v>69</v>
      </c>
      <c r="Q30">
        <v>70</v>
      </c>
      <c r="R30">
        <v>72</v>
      </c>
      <c r="S30">
        <v>73</v>
      </c>
      <c r="T30">
        <v>74</v>
      </c>
      <c r="U30">
        <v>74</v>
      </c>
      <c r="V30">
        <v>74</v>
      </c>
      <c r="W30">
        <v>76</v>
      </c>
      <c r="X30">
        <v>76</v>
      </c>
      <c r="Y30">
        <v>76</v>
      </c>
      <c r="Z30" s="2">
        <f>AVERAGE(Sheet1__10[[#This Row],[00:00:00]:[23:00:00]])</f>
        <v>65.541666666666671</v>
      </c>
      <c r="AA30" t="str" cm="1">
        <f t="array" ref="AA3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1" spans="1:27" x14ac:dyDescent="0.3">
      <c r="A31" s="1">
        <v>45960</v>
      </c>
      <c r="B31">
        <v>76</v>
      </c>
      <c r="C31">
        <v>75</v>
      </c>
      <c r="D31">
        <v>74</v>
      </c>
      <c r="E31">
        <v>72</v>
      </c>
      <c r="F31">
        <v>71</v>
      </c>
      <c r="G31">
        <v>70</v>
      </c>
      <c r="H31">
        <v>68</v>
      </c>
      <c r="I31">
        <v>66</v>
      </c>
      <c r="J31">
        <v>66</v>
      </c>
      <c r="K31">
        <v>64</v>
      </c>
      <c r="L31">
        <v>62</v>
      </c>
      <c r="M31">
        <v>59</v>
      </c>
      <c r="N31">
        <v>58</v>
      </c>
      <c r="O31">
        <v>56</v>
      </c>
      <c r="P31">
        <v>54</v>
      </c>
      <c r="Q31">
        <v>54</v>
      </c>
      <c r="R31">
        <v>52</v>
      </c>
      <c r="S31">
        <v>50</v>
      </c>
      <c r="T31">
        <v>48</v>
      </c>
      <c r="U31">
        <v>48</v>
      </c>
      <c r="V31">
        <v>48</v>
      </c>
      <c r="W31">
        <v>46</v>
      </c>
      <c r="X31">
        <v>46</v>
      </c>
      <c r="Y31">
        <v>46</v>
      </c>
      <c r="Z31" s="2">
        <f>AVERAGE(Sheet1__10[[#This Row],[00:00:00]:[23:00:00]])</f>
        <v>59.541666666666664</v>
      </c>
      <c r="AA31" t="str" cm="1">
        <f t="array" ref="AA3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2" spans="1:27" x14ac:dyDescent="0.3">
      <c r="A32" s="1">
        <v>45961</v>
      </c>
      <c r="B32">
        <v>48</v>
      </c>
      <c r="C32">
        <v>49</v>
      </c>
      <c r="D32">
        <v>50</v>
      </c>
      <c r="E32">
        <v>50</v>
      </c>
      <c r="F32">
        <v>51</v>
      </c>
      <c r="G32">
        <v>52</v>
      </c>
      <c r="H32">
        <v>52</v>
      </c>
      <c r="I32">
        <v>54</v>
      </c>
      <c r="J32">
        <v>54</v>
      </c>
      <c r="K32">
        <v>55</v>
      </c>
      <c r="L32">
        <v>56</v>
      </c>
      <c r="M32">
        <v>57</v>
      </c>
      <c r="N32">
        <v>58</v>
      </c>
      <c r="O32">
        <v>59</v>
      </c>
      <c r="P32">
        <v>60</v>
      </c>
      <c r="Q32">
        <v>60</v>
      </c>
      <c r="R32">
        <v>60</v>
      </c>
      <c r="S32">
        <v>60</v>
      </c>
      <c r="T32">
        <v>60</v>
      </c>
      <c r="U32">
        <v>59</v>
      </c>
      <c r="V32">
        <v>58</v>
      </c>
      <c r="W32">
        <v>56</v>
      </c>
      <c r="X32">
        <v>54</v>
      </c>
      <c r="Y32">
        <v>56</v>
      </c>
      <c r="Z32" s="2">
        <f>AVERAGE(Sheet1__10[[#This Row],[00:00:00]:[23:00:00]])</f>
        <v>55.333333333333336</v>
      </c>
      <c r="AA32" t="str" cm="1">
        <f t="array" ref="AA3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3" spans="26:27" x14ac:dyDescent="0.3">
      <c r="Z33" s="2">
        <f>SUBTOTAL(101,Sheet1__10[AVERAGE AQI])</f>
        <v>81.349287050023392</v>
      </c>
      <c r="AA33" s="3"/>
    </row>
  </sheetData>
  <conditionalFormatting sqref="AA1:AA1048576">
    <cfRule type="containsText" dxfId="19" priority="4" operator="containsText" text="GOOD">
      <formula>NOT(ISERROR(SEARCH("GOOD",AA1)))</formula>
    </cfRule>
    <cfRule type="containsText" dxfId="20" priority="3" operator="containsText" text="MODERATE">
      <formula>NOT(ISERROR(SEARCH("MODERATE",AA1)))</formula>
    </cfRule>
    <cfRule type="containsText" dxfId="21" priority="2" operator="containsText" text="BAD">
      <formula>NOT(ISERROR(SEARCH("BAD",AA1)))</formula>
    </cfRule>
    <cfRule type="containsText" dxfId="22" priority="1" operator="containsText" text="VERY BAD">
      <formula>NOT(ISERROR(SEARCH("VERY BAD",AA1)))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F480-CF2F-4327-9025-6156C9EC97F5}">
  <dimension ref="A1:AA32"/>
  <sheetViews>
    <sheetView topLeftCell="A7" workbookViewId="0">
      <selection activeCell="Z32" sqref="Z32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8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45962</v>
      </c>
      <c r="B2">
        <v>56</v>
      </c>
      <c r="C2">
        <v>55</v>
      </c>
      <c r="D2">
        <v>54</v>
      </c>
      <c r="E2">
        <v>54</v>
      </c>
      <c r="F2">
        <v>52</v>
      </c>
      <c r="G2">
        <v>50</v>
      </c>
      <c r="H2">
        <v>47</v>
      </c>
      <c r="I2">
        <v>45</v>
      </c>
      <c r="J2">
        <v>44</v>
      </c>
      <c r="K2">
        <v>42</v>
      </c>
      <c r="L2">
        <v>42</v>
      </c>
      <c r="M2">
        <v>41</v>
      </c>
      <c r="N2">
        <v>40</v>
      </c>
      <c r="O2">
        <v>39</v>
      </c>
      <c r="P2">
        <v>38</v>
      </c>
      <c r="Q2">
        <v>40</v>
      </c>
      <c r="R2">
        <v>41</v>
      </c>
      <c r="S2">
        <v>41</v>
      </c>
      <c r="T2">
        <v>44</v>
      </c>
      <c r="U2">
        <v>44</v>
      </c>
      <c r="V2">
        <v>44</v>
      </c>
      <c r="W2">
        <v>44</v>
      </c>
      <c r="X2">
        <v>43</v>
      </c>
      <c r="Y2">
        <v>42</v>
      </c>
      <c r="Z2" s="2">
        <f>AVERAGE(Sheet1__11[[#This Row],[00:00:00]:[23:00:00]])</f>
        <v>45.083333333333336</v>
      </c>
      <c r="AA2" t="str" cm="1">
        <f t="array" ref="AA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3" spans="1:27" x14ac:dyDescent="0.3">
      <c r="A3" s="1">
        <v>45963</v>
      </c>
      <c r="B3">
        <v>42</v>
      </c>
      <c r="C3">
        <v>43</v>
      </c>
      <c r="D3">
        <v>43</v>
      </c>
      <c r="E3">
        <v>44</v>
      </c>
      <c r="F3">
        <v>43</v>
      </c>
      <c r="G3">
        <v>42</v>
      </c>
      <c r="H3">
        <v>41</v>
      </c>
      <c r="I3">
        <v>40</v>
      </c>
      <c r="J3">
        <v>40</v>
      </c>
      <c r="K3">
        <v>40</v>
      </c>
      <c r="L3">
        <v>41</v>
      </c>
      <c r="M3">
        <v>41</v>
      </c>
      <c r="N3">
        <v>42</v>
      </c>
      <c r="O3">
        <v>42</v>
      </c>
      <c r="P3">
        <v>42</v>
      </c>
      <c r="Q3">
        <v>42</v>
      </c>
      <c r="R3">
        <v>42</v>
      </c>
      <c r="S3">
        <v>42</v>
      </c>
      <c r="T3">
        <v>42</v>
      </c>
      <c r="U3">
        <v>42</v>
      </c>
      <c r="V3">
        <v>42</v>
      </c>
      <c r="W3">
        <v>40</v>
      </c>
      <c r="X3">
        <v>41</v>
      </c>
      <c r="Y3">
        <v>40</v>
      </c>
      <c r="Z3" s="2">
        <f>AVERAGE(Sheet1__11[[#This Row],[00:00:00]:[23:00:00]])</f>
        <v>41.625</v>
      </c>
      <c r="AA3" t="str" cm="1">
        <f t="array" ref="AA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4" spans="1:27" x14ac:dyDescent="0.3">
      <c r="A4" s="1">
        <v>45964</v>
      </c>
      <c r="B4">
        <v>44</v>
      </c>
      <c r="C4">
        <v>44</v>
      </c>
      <c r="D4">
        <v>45</v>
      </c>
      <c r="E4">
        <v>45</v>
      </c>
      <c r="F4">
        <v>45</v>
      </c>
      <c r="G4">
        <v>45</v>
      </c>
      <c r="H4">
        <v>45</v>
      </c>
      <c r="I4">
        <v>44</v>
      </c>
      <c r="J4">
        <v>44</v>
      </c>
      <c r="K4">
        <v>43</v>
      </c>
      <c r="L4">
        <v>42</v>
      </c>
      <c r="M4">
        <v>42</v>
      </c>
      <c r="N4">
        <v>42</v>
      </c>
      <c r="O4">
        <v>42</v>
      </c>
      <c r="P4">
        <v>42</v>
      </c>
      <c r="Q4">
        <v>42</v>
      </c>
      <c r="R4">
        <v>43</v>
      </c>
      <c r="S4">
        <v>43</v>
      </c>
      <c r="T4">
        <v>44</v>
      </c>
      <c r="U4">
        <v>44</v>
      </c>
      <c r="V4">
        <v>46</v>
      </c>
      <c r="W4">
        <v>46</v>
      </c>
      <c r="X4">
        <v>48</v>
      </c>
      <c r="Y4">
        <v>51</v>
      </c>
      <c r="Z4" s="2">
        <f>AVERAGE(Sheet1__11[[#This Row],[00:00:00]:[23:00:00]])</f>
        <v>44.208333333333336</v>
      </c>
      <c r="AA4" t="str" cm="1">
        <f t="array" ref="AA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5" spans="1:27" x14ac:dyDescent="0.3">
      <c r="A5" s="1">
        <v>45965</v>
      </c>
      <c r="B5">
        <v>54</v>
      </c>
      <c r="C5">
        <v>56</v>
      </c>
      <c r="D5">
        <v>58</v>
      </c>
      <c r="E5">
        <v>59</v>
      </c>
      <c r="F5">
        <v>60</v>
      </c>
      <c r="G5">
        <v>60</v>
      </c>
      <c r="H5">
        <v>60</v>
      </c>
      <c r="I5">
        <v>59</v>
      </c>
      <c r="J5">
        <v>60</v>
      </c>
      <c r="K5">
        <v>60</v>
      </c>
      <c r="L5">
        <v>60</v>
      </c>
      <c r="M5">
        <v>61</v>
      </c>
      <c r="N5">
        <v>61</v>
      </c>
      <c r="O5">
        <v>61</v>
      </c>
      <c r="P5">
        <v>60</v>
      </c>
      <c r="Q5">
        <v>60</v>
      </c>
      <c r="R5">
        <v>60</v>
      </c>
      <c r="S5">
        <v>60</v>
      </c>
      <c r="T5">
        <v>61</v>
      </c>
      <c r="U5">
        <v>62</v>
      </c>
      <c r="V5">
        <v>62</v>
      </c>
      <c r="W5">
        <v>62</v>
      </c>
      <c r="X5">
        <v>62</v>
      </c>
      <c r="Y5">
        <v>61</v>
      </c>
      <c r="Z5" s="2">
        <f>AVERAGE(Sheet1__11[[#This Row],[00:00:00]:[23:00:00]])</f>
        <v>59.958333333333336</v>
      </c>
      <c r="AA5" t="str" cm="1">
        <f t="array" ref="AA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6" spans="1:27" x14ac:dyDescent="0.3">
      <c r="A6" s="1">
        <v>45966</v>
      </c>
      <c r="B6">
        <v>60</v>
      </c>
      <c r="C6">
        <v>60</v>
      </c>
      <c r="D6">
        <v>59</v>
      </c>
      <c r="E6">
        <v>58</v>
      </c>
      <c r="F6">
        <v>58</v>
      </c>
      <c r="G6">
        <v>57</v>
      </c>
      <c r="H6">
        <v>56</v>
      </c>
      <c r="I6">
        <v>56</v>
      </c>
      <c r="J6">
        <v>55</v>
      </c>
      <c r="K6">
        <v>54</v>
      </c>
      <c r="L6">
        <v>53</v>
      </c>
      <c r="M6">
        <v>52</v>
      </c>
      <c r="N6">
        <v>52</v>
      </c>
      <c r="O6">
        <v>52</v>
      </c>
      <c r="P6">
        <v>52</v>
      </c>
      <c r="Q6">
        <v>52</v>
      </c>
      <c r="R6">
        <v>54</v>
      </c>
      <c r="S6">
        <v>58</v>
      </c>
      <c r="T6">
        <v>58</v>
      </c>
      <c r="U6">
        <v>58</v>
      </c>
      <c r="V6">
        <v>58</v>
      </c>
      <c r="W6">
        <v>58</v>
      </c>
      <c r="X6">
        <v>60</v>
      </c>
      <c r="Y6">
        <v>60</v>
      </c>
      <c r="Z6" s="2">
        <f>AVERAGE(Sheet1__11[[#This Row],[00:00:00]:[23:00:00]])</f>
        <v>56.25</v>
      </c>
      <c r="AA6" t="str" cm="1">
        <f t="array" ref="AA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7" spans="1:27" x14ac:dyDescent="0.3">
      <c r="A7" s="1">
        <v>45967</v>
      </c>
      <c r="B7">
        <v>62</v>
      </c>
      <c r="C7">
        <v>64</v>
      </c>
      <c r="D7">
        <v>66</v>
      </c>
      <c r="E7">
        <v>66</v>
      </c>
      <c r="F7">
        <v>68</v>
      </c>
      <c r="G7">
        <v>69</v>
      </c>
      <c r="H7">
        <v>70</v>
      </c>
      <c r="I7">
        <v>71</v>
      </c>
      <c r="J7">
        <v>72</v>
      </c>
      <c r="K7">
        <v>74</v>
      </c>
      <c r="L7">
        <v>76</v>
      </c>
      <c r="M7">
        <v>78</v>
      </c>
      <c r="N7">
        <v>80</v>
      </c>
      <c r="O7">
        <v>83</v>
      </c>
      <c r="P7">
        <v>84</v>
      </c>
      <c r="Q7">
        <v>85</v>
      </c>
      <c r="R7">
        <v>86</v>
      </c>
      <c r="S7">
        <v>88</v>
      </c>
      <c r="T7">
        <v>89</v>
      </c>
      <c r="U7">
        <v>91</v>
      </c>
      <c r="V7">
        <v>93</v>
      </c>
      <c r="W7">
        <v>94</v>
      </c>
      <c r="X7">
        <v>96</v>
      </c>
      <c r="Y7">
        <v>97</v>
      </c>
      <c r="Z7" s="2">
        <f>AVERAGE(Sheet1__11[[#This Row],[00:00:00]:[23:00:00]])</f>
        <v>79.25</v>
      </c>
      <c r="AA7" t="str" cm="1">
        <f t="array" ref="AA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8" spans="1:27" x14ac:dyDescent="0.3">
      <c r="A8" s="1">
        <v>45968</v>
      </c>
      <c r="B8">
        <v>98</v>
      </c>
      <c r="C8">
        <v>99</v>
      </c>
      <c r="D8">
        <v>100</v>
      </c>
      <c r="E8">
        <v>102</v>
      </c>
      <c r="F8">
        <v>104</v>
      </c>
      <c r="G8">
        <v>104</v>
      </c>
      <c r="H8">
        <v>106</v>
      </c>
      <c r="I8">
        <v>108</v>
      </c>
      <c r="J8">
        <v>110</v>
      </c>
      <c r="K8">
        <v>112</v>
      </c>
      <c r="L8">
        <v>113</v>
      </c>
      <c r="M8">
        <v>115</v>
      </c>
      <c r="N8">
        <v>116</v>
      </c>
      <c r="O8">
        <v>116</v>
      </c>
      <c r="P8">
        <v>117</v>
      </c>
      <c r="Q8">
        <v>118</v>
      </c>
      <c r="R8">
        <v>119</v>
      </c>
      <c r="S8">
        <v>119</v>
      </c>
      <c r="T8">
        <v>120</v>
      </c>
      <c r="U8">
        <v>119</v>
      </c>
      <c r="V8">
        <v>119</v>
      </c>
      <c r="W8">
        <v>118</v>
      </c>
      <c r="X8">
        <v>118</v>
      </c>
      <c r="Y8">
        <v>119</v>
      </c>
      <c r="Z8" s="2">
        <f>AVERAGE(Sheet1__11[[#This Row],[00:00:00]:[23:00:00]])</f>
        <v>112.04166666666667</v>
      </c>
      <c r="AA8" t="str" cm="1">
        <f t="array" ref="AA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9" spans="1:27" x14ac:dyDescent="0.3">
      <c r="A9" s="1">
        <v>45969</v>
      </c>
      <c r="B9">
        <v>119</v>
      </c>
      <c r="C9">
        <v>120</v>
      </c>
      <c r="E9">
        <v>121</v>
      </c>
      <c r="F9">
        <v>122</v>
      </c>
      <c r="G9">
        <v>122</v>
      </c>
      <c r="H9">
        <v>122</v>
      </c>
      <c r="I9">
        <v>122</v>
      </c>
      <c r="J9">
        <v>122</v>
      </c>
      <c r="K9">
        <v>122</v>
      </c>
      <c r="L9">
        <v>122</v>
      </c>
      <c r="M9">
        <v>122</v>
      </c>
      <c r="N9">
        <v>122</v>
      </c>
      <c r="O9">
        <v>121</v>
      </c>
      <c r="P9">
        <v>120</v>
      </c>
      <c r="Q9">
        <v>120</v>
      </c>
      <c r="R9">
        <v>118</v>
      </c>
      <c r="S9">
        <v>116</v>
      </c>
      <c r="T9">
        <v>114</v>
      </c>
      <c r="U9">
        <v>113</v>
      </c>
      <c r="V9">
        <v>112</v>
      </c>
      <c r="W9">
        <v>112</v>
      </c>
      <c r="X9">
        <v>112</v>
      </c>
      <c r="Y9">
        <v>111</v>
      </c>
      <c r="Z9" s="2">
        <f>AVERAGE(Sheet1__11[[#This Row],[00:00:00]:[23:00:00]])</f>
        <v>118.56521739130434</v>
      </c>
      <c r="AA9" t="str" cm="1">
        <f t="array" ref="AA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0" spans="1:27" x14ac:dyDescent="0.3">
      <c r="A10" s="1">
        <v>45970</v>
      </c>
      <c r="B10">
        <v>110</v>
      </c>
      <c r="C10">
        <v>109</v>
      </c>
      <c r="D10">
        <v>108</v>
      </c>
      <c r="E10">
        <v>108</v>
      </c>
      <c r="F10">
        <v>107</v>
      </c>
      <c r="G10">
        <v>106</v>
      </c>
      <c r="H10">
        <v>105</v>
      </c>
      <c r="I10">
        <v>104</v>
      </c>
      <c r="J10">
        <v>103</v>
      </c>
      <c r="K10">
        <v>102</v>
      </c>
      <c r="L10">
        <v>101</v>
      </c>
      <c r="M10">
        <v>100</v>
      </c>
      <c r="N10">
        <v>100</v>
      </c>
      <c r="O10">
        <v>99</v>
      </c>
      <c r="P10">
        <v>98</v>
      </c>
      <c r="Q10">
        <v>98</v>
      </c>
      <c r="R10">
        <v>98</v>
      </c>
      <c r="S10">
        <v>98</v>
      </c>
      <c r="T10">
        <v>98</v>
      </c>
      <c r="U10">
        <v>98</v>
      </c>
      <c r="V10">
        <v>97</v>
      </c>
      <c r="W10">
        <v>96</v>
      </c>
      <c r="X10">
        <v>96</v>
      </c>
      <c r="Y10">
        <v>96</v>
      </c>
      <c r="Z10" s="2">
        <f>AVERAGE(Sheet1__11[[#This Row],[00:00:00]:[23:00:00]])</f>
        <v>101.45833333333333</v>
      </c>
      <c r="AA10" t="str" cm="1">
        <f t="array" ref="AA1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1" spans="1:27" x14ac:dyDescent="0.3">
      <c r="A11" s="1">
        <v>45971</v>
      </c>
      <c r="B11">
        <v>96</v>
      </c>
      <c r="C11">
        <v>96</v>
      </c>
      <c r="D11">
        <v>95</v>
      </c>
      <c r="E11">
        <v>95</v>
      </c>
      <c r="F11">
        <v>95</v>
      </c>
      <c r="G11">
        <v>94</v>
      </c>
      <c r="H11">
        <v>95</v>
      </c>
      <c r="I11">
        <v>95</v>
      </c>
      <c r="J11">
        <v>96</v>
      </c>
      <c r="K11">
        <v>95</v>
      </c>
      <c r="L11">
        <v>94</v>
      </c>
      <c r="M11">
        <v>93</v>
      </c>
      <c r="N11">
        <v>92</v>
      </c>
      <c r="O11">
        <v>92</v>
      </c>
      <c r="P11">
        <v>92</v>
      </c>
      <c r="Q11">
        <v>92</v>
      </c>
      <c r="R11">
        <v>92</v>
      </c>
      <c r="S11">
        <v>93</v>
      </c>
      <c r="T11">
        <v>94</v>
      </c>
      <c r="U11">
        <v>96</v>
      </c>
      <c r="V11">
        <v>98</v>
      </c>
      <c r="W11">
        <v>98</v>
      </c>
      <c r="X11">
        <v>96</v>
      </c>
      <c r="Y11">
        <v>94</v>
      </c>
      <c r="Z11" s="2">
        <f>AVERAGE(Sheet1__11[[#This Row],[00:00:00]:[23:00:00]])</f>
        <v>94.5</v>
      </c>
      <c r="AA11" t="str" cm="1">
        <f t="array" ref="AA1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12" spans="1:27" x14ac:dyDescent="0.3">
      <c r="A12" s="1">
        <v>45972</v>
      </c>
      <c r="B12">
        <v>93</v>
      </c>
      <c r="C12">
        <v>92</v>
      </c>
      <c r="D12">
        <v>93</v>
      </c>
      <c r="E12">
        <v>94</v>
      </c>
      <c r="F12">
        <v>94</v>
      </c>
      <c r="G12">
        <v>95</v>
      </c>
      <c r="H12">
        <v>96</v>
      </c>
      <c r="I12">
        <v>96</v>
      </c>
      <c r="J12">
        <v>97</v>
      </c>
      <c r="K12">
        <v>98</v>
      </c>
      <c r="L12">
        <v>100</v>
      </c>
      <c r="M12">
        <v>100</v>
      </c>
      <c r="N12">
        <v>102</v>
      </c>
      <c r="O12">
        <v>104</v>
      </c>
      <c r="P12">
        <v>104</v>
      </c>
      <c r="Q12">
        <v>104</v>
      </c>
      <c r="R12">
        <v>105</v>
      </c>
      <c r="S12">
        <v>106</v>
      </c>
      <c r="T12">
        <v>106</v>
      </c>
      <c r="U12">
        <v>108</v>
      </c>
      <c r="V12">
        <v>108</v>
      </c>
      <c r="W12">
        <v>107</v>
      </c>
      <c r="X12">
        <v>107</v>
      </c>
      <c r="Y12">
        <v>108</v>
      </c>
      <c r="Z12" s="2">
        <f>AVERAGE(Sheet1__11[[#This Row],[00:00:00]:[23:00:00]])</f>
        <v>100.70833333333333</v>
      </c>
      <c r="AA12" t="str" cm="1">
        <f t="array" ref="AA1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3" spans="1:27" x14ac:dyDescent="0.3">
      <c r="A13" s="1">
        <v>45973</v>
      </c>
      <c r="B13">
        <v>108</v>
      </c>
      <c r="C13">
        <v>108</v>
      </c>
      <c r="D13">
        <v>106</v>
      </c>
      <c r="E13">
        <v>106</v>
      </c>
      <c r="F13">
        <v>104</v>
      </c>
      <c r="G13">
        <v>104</v>
      </c>
      <c r="H13">
        <v>104</v>
      </c>
      <c r="I13">
        <v>105</v>
      </c>
      <c r="J13">
        <v>106</v>
      </c>
      <c r="K13">
        <v>106</v>
      </c>
      <c r="L13">
        <v>106</v>
      </c>
      <c r="M13">
        <v>109</v>
      </c>
      <c r="N13">
        <v>112</v>
      </c>
      <c r="O13">
        <v>112</v>
      </c>
      <c r="P13">
        <v>114</v>
      </c>
      <c r="Q13">
        <v>114</v>
      </c>
      <c r="R13">
        <v>115</v>
      </c>
      <c r="S13">
        <v>116</v>
      </c>
      <c r="T13">
        <v>116</v>
      </c>
      <c r="U13">
        <v>116</v>
      </c>
      <c r="V13">
        <v>116</v>
      </c>
      <c r="W13">
        <v>116</v>
      </c>
      <c r="X13">
        <v>118</v>
      </c>
      <c r="Y13">
        <v>118</v>
      </c>
      <c r="Z13" s="2">
        <f>AVERAGE(Sheet1__11[[#This Row],[00:00:00]:[23:00:00]])</f>
        <v>110.625</v>
      </c>
      <c r="AA13" t="str" cm="1">
        <f t="array" ref="AA1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4" spans="1:27" x14ac:dyDescent="0.3">
      <c r="A14" s="1">
        <v>45974</v>
      </c>
      <c r="B14">
        <v>119</v>
      </c>
      <c r="C14">
        <v>120</v>
      </c>
      <c r="D14">
        <v>120</v>
      </c>
      <c r="E14">
        <v>122</v>
      </c>
      <c r="F14">
        <v>122</v>
      </c>
      <c r="G14">
        <v>122</v>
      </c>
      <c r="H14">
        <v>120</v>
      </c>
      <c r="I14">
        <v>119</v>
      </c>
      <c r="J14">
        <v>114</v>
      </c>
      <c r="K14">
        <v>113</v>
      </c>
      <c r="L14">
        <v>113</v>
      </c>
      <c r="M14">
        <v>112</v>
      </c>
      <c r="N14">
        <v>112</v>
      </c>
      <c r="O14">
        <v>111</v>
      </c>
      <c r="P14">
        <v>110</v>
      </c>
      <c r="Q14">
        <v>110</v>
      </c>
      <c r="R14">
        <v>110</v>
      </c>
      <c r="S14">
        <v>110</v>
      </c>
      <c r="T14">
        <v>110</v>
      </c>
      <c r="U14">
        <v>110</v>
      </c>
      <c r="V14">
        <v>110</v>
      </c>
      <c r="W14">
        <v>110</v>
      </c>
      <c r="X14">
        <v>110</v>
      </c>
      <c r="Y14">
        <v>110</v>
      </c>
      <c r="Z14" s="2">
        <f>AVERAGE(Sheet1__11[[#This Row],[00:00:00]:[23:00:00]])</f>
        <v>114.125</v>
      </c>
      <c r="AA14" t="str" cm="1">
        <f t="array" ref="AA1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5" spans="1:27" x14ac:dyDescent="0.3">
      <c r="A15" s="1">
        <v>45975</v>
      </c>
      <c r="B15">
        <v>110</v>
      </c>
      <c r="C15">
        <v>110</v>
      </c>
      <c r="D15">
        <v>111</v>
      </c>
      <c r="E15">
        <v>111</v>
      </c>
      <c r="F15">
        <v>110</v>
      </c>
      <c r="G15">
        <v>108</v>
      </c>
      <c r="H15">
        <v>108</v>
      </c>
      <c r="I15">
        <v>106</v>
      </c>
      <c r="J15">
        <v>105</v>
      </c>
      <c r="K15">
        <v>102</v>
      </c>
      <c r="L15">
        <v>101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101</v>
      </c>
      <c r="T15">
        <v>100</v>
      </c>
      <c r="U15">
        <v>100</v>
      </c>
      <c r="V15">
        <v>98</v>
      </c>
      <c r="W15">
        <v>98</v>
      </c>
      <c r="X15">
        <v>98</v>
      </c>
      <c r="Y15">
        <v>98</v>
      </c>
      <c r="Z15" s="2">
        <f>AVERAGE(Sheet1__11[[#This Row],[00:00:00]:[23:00:00]])</f>
        <v>103.125</v>
      </c>
      <c r="AA15" t="str" cm="1">
        <f t="array" ref="AA1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6" spans="1:27" x14ac:dyDescent="0.3">
      <c r="A16" s="1">
        <v>45976</v>
      </c>
      <c r="B16">
        <v>97</v>
      </c>
      <c r="C16">
        <v>97</v>
      </c>
      <c r="D16">
        <v>97</v>
      </c>
      <c r="E16">
        <v>97</v>
      </c>
      <c r="F16">
        <v>98</v>
      </c>
      <c r="G16">
        <v>98</v>
      </c>
      <c r="H16">
        <v>99</v>
      </c>
      <c r="I16">
        <v>98</v>
      </c>
      <c r="J16">
        <v>98</v>
      </c>
      <c r="K16">
        <v>98</v>
      </c>
      <c r="L16">
        <v>98</v>
      </c>
      <c r="M16">
        <v>97</v>
      </c>
      <c r="N16">
        <v>96</v>
      </c>
      <c r="O16">
        <v>96</v>
      </c>
      <c r="P16">
        <v>96</v>
      </c>
      <c r="Q16">
        <v>97</v>
      </c>
      <c r="R16">
        <v>96</v>
      </c>
      <c r="S16">
        <v>95</v>
      </c>
      <c r="T16">
        <v>94</v>
      </c>
      <c r="U16">
        <v>94</v>
      </c>
      <c r="V16">
        <v>94</v>
      </c>
      <c r="W16">
        <v>94</v>
      </c>
      <c r="X16">
        <v>94</v>
      </c>
      <c r="Y16">
        <v>96</v>
      </c>
      <c r="Z16" s="2">
        <f>AVERAGE(Sheet1__11[[#This Row],[00:00:00]:[23:00:00]])</f>
        <v>96.416666666666671</v>
      </c>
      <c r="AA16" t="str" cm="1">
        <f t="array" ref="AA1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17" spans="1:27" x14ac:dyDescent="0.3">
      <c r="A17" s="1">
        <v>45977</v>
      </c>
      <c r="B17">
        <v>97</v>
      </c>
      <c r="C17">
        <v>98</v>
      </c>
      <c r="D17">
        <v>98</v>
      </c>
      <c r="E17">
        <v>98</v>
      </c>
      <c r="F17">
        <v>98</v>
      </c>
      <c r="G17">
        <v>98</v>
      </c>
      <c r="H17">
        <v>98</v>
      </c>
      <c r="I17">
        <v>100</v>
      </c>
      <c r="J17">
        <v>102</v>
      </c>
      <c r="K17">
        <v>106</v>
      </c>
      <c r="L17">
        <v>108</v>
      </c>
      <c r="M17">
        <v>110</v>
      </c>
      <c r="N17">
        <v>110</v>
      </c>
      <c r="O17">
        <v>110</v>
      </c>
      <c r="P17">
        <v>110</v>
      </c>
      <c r="Q17">
        <v>108</v>
      </c>
      <c r="R17">
        <v>108</v>
      </c>
      <c r="S17">
        <v>108</v>
      </c>
      <c r="T17">
        <v>109</v>
      </c>
      <c r="U17">
        <v>108</v>
      </c>
      <c r="V17">
        <v>109</v>
      </c>
      <c r="W17">
        <v>110</v>
      </c>
      <c r="X17">
        <v>110</v>
      </c>
      <c r="Y17">
        <v>110</v>
      </c>
      <c r="Z17" s="2">
        <f>AVERAGE(Sheet1__11[[#This Row],[00:00:00]:[23:00:00]])</f>
        <v>105.04166666666667</v>
      </c>
      <c r="AA17" t="str" cm="1">
        <f t="array" ref="AA1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8" spans="1:27" x14ac:dyDescent="0.3">
      <c r="A18" s="1">
        <v>45978</v>
      </c>
      <c r="B18">
        <v>110</v>
      </c>
      <c r="C18">
        <v>109</v>
      </c>
      <c r="D18">
        <v>108</v>
      </c>
      <c r="E18">
        <v>125</v>
      </c>
      <c r="F18">
        <v>108</v>
      </c>
      <c r="G18">
        <v>107</v>
      </c>
      <c r="H18">
        <v>123</v>
      </c>
      <c r="I18">
        <v>106</v>
      </c>
      <c r="J18">
        <v>106</v>
      </c>
      <c r="K18">
        <v>104</v>
      </c>
      <c r="L18">
        <v>103</v>
      </c>
      <c r="M18">
        <v>102</v>
      </c>
      <c r="N18">
        <v>102</v>
      </c>
      <c r="O18">
        <v>103</v>
      </c>
      <c r="P18">
        <v>104</v>
      </c>
      <c r="Q18">
        <v>104</v>
      </c>
      <c r="R18">
        <v>104</v>
      </c>
      <c r="S18">
        <v>105</v>
      </c>
      <c r="T18">
        <v>105</v>
      </c>
      <c r="U18">
        <v>106</v>
      </c>
      <c r="V18">
        <v>106</v>
      </c>
      <c r="W18">
        <v>106</v>
      </c>
      <c r="X18">
        <v>106</v>
      </c>
      <c r="Y18">
        <v>106</v>
      </c>
      <c r="Z18" s="2">
        <f>AVERAGE(Sheet1__11[[#This Row],[00:00:00]:[23:00:00]])</f>
        <v>107</v>
      </c>
      <c r="AA18" t="str" cm="1">
        <f t="array" ref="AA1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9" spans="1:27" x14ac:dyDescent="0.3">
      <c r="A19" s="1">
        <v>45979</v>
      </c>
      <c r="B19">
        <v>106</v>
      </c>
      <c r="C19">
        <v>106</v>
      </c>
      <c r="D19">
        <v>108</v>
      </c>
      <c r="E19">
        <v>109</v>
      </c>
      <c r="F19">
        <v>110</v>
      </c>
      <c r="G19">
        <v>110</v>
      </c>
      <c r="H19">
        <v>110</v>
      </c>
      <c r="I19">
        <v>110</v>
      </c>
      <c r="J19">
        <v>110</v>
      </c>
      <c r="K19">
        <v>110</v>
      </c>
      <c r="L19">
        <v>110</v>
      </c>
      <c r="M19">
        <v>110</v>
      </c>
      <c r="N19">
        <v>111</v>
      </c>
      <c r="O19">
        <v>111</v>
      </c>
      <c r="P19">
        <v>111</v>
      </c>
      <c r="Q19">
        <v>112</v>
      </c>
      <c r="R19">
        <v>112</v>
      </c>
      <c r="S19">
        <v>111</v>
      </c>
      <c r="T19">
        <v>112</v>
      </c>
      <c r="U19">
        <v>112</v>
      </c>
      <c r="V19">
        <v>112</v>
      </c>
      <c r="W19">
        <v>111</v>
      </c>
      <c r="X19">
        <v>111</v>
      </c>
      <c r="Y19">
        <v>112</v>
      </c>
      <c r="Z19" s="2">
        <f>AVERAGE(Sheet1__11[[#This Row],[00:00:00]:[23:00:00]])</f>
        <v>110.29166666666667</v>
      </c>
      <c r="AA19" t="str" cm="1">
        <f t="array" ref="AA1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0" spans="1:27" x14ac:dyDescent="0.3">
      <c r="A20" s="1">
        <v>45980</v>
      </c>
      <c r="B20">
        <v>111</v>
      </c>
      <c r="C20">
        <v>110</v>
      </c>
      <c r="D20">
        <v>110</v>
      </c>
      <c r="E20">
        <v>110</v>
      </c>
      <c r="F20">
        <v>110</v>
      </c>
      <c r="G20">
        <v>110</v>
      </c>
      <c r="H20">
        <v>112</v>
      </c>
      <c r="I20">
        <v>112</v>
      </c>
      <c r="J20">
        <v>112</v>
      </c>
      <c r="K20">
        <v>112</v>
      </c>
      <c r="L20">
        <v>110</v>
      </c>
      <c r="M20">
        <v>108</v>
      </c>
      <c r="N20">
        <v>108</v>
      </c>
      <c r="O20">
        <v>108</v>
      </c>
      <c r="P20">
        <v>107</v>
      </c>
      <c r="Q20">
        <v>107</v>
      </c>
      <c r="R20">
        <v>107</v>
      </c>
      <c r="S20">
        <v>107</v>
      </c>
      <c r="T20">
        <v>106</v>
      </c>
      <c r="U20">
        <v>106</v>
      </c>
      <c r="V20">
        <v>106</v>
      </c>
      <c r="W20">
        <v>106</v>
      </c>
      <c r="X20">
        <v>106</v>
      </c>
      <c r="Y20">
        <v>106</v>
      </c>
      <c r="Z20" s="2">
        <f>AVERAGE(Sheet1__11[[#This Row],[00:00:00]:[23:00:00]])</f>
        <v>108.625</v>
      </c>
      <c r="AA20" t="str" cm="1">
        <f t="array" ref="AA2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1" spans="1:27" x14ac:dyDescent="0.3">
      <c r="A21" s="1">
        <v>45981</v>
      </c>
      <c r="B21">
        <v>106</v>
      </c>
      <c r="C21">
        <v>106</v>
      </c>
      <c r="D21">
        <v>106</v>
      </c>
      <c r="E21">
        <v>105</v>
      </c>
      <c r="F21">
        <v>105</v>
      </c>
      <c r="G21">
        <v>105</v>
      </c>
      <c r="I21">
        <v>104</v>
      </c>
      <c r="J21">
        <v>105</v>
      </c>
      <c r="K21">
        <v>106</v>
      </c>
      <c r="L21">
        <v>106</v>
      </c>
      <c r="M21">
        <v>106</v>
      </c>
      <c r="N21">
        <v>106</v>
      </c>
      <c r="O21">
        <v>107</v>
      </c>
      <c r="P21">
        <v>107</v>
      </c>
      <c r="Q21">
        <v>108</v>
      </c>
      <c r="R21">
        <v>108</v>
      </c>
      <c r="S21">
        <v>108</v>
      </c>
      <c r="T21">
        <v>108</v>
      </c>
      <c r="U21">
        <v>108</v>
      </c>
      <c r="V21">
        <v>108</v>
      </c>
      <c r="W21">
        <v>108</v>
      </c>
      <c r="X21">
        <v>108</v>
      </c>
      <c r="Y21">
        <v>108</v>
      </c>
      <c r="Z21" s="2">
        <f>AVERAGE(Sheet1__11[[#This Row],[00:00:00]:[23:00:00]])</f>
        <v>106.60869565217391</v>
      </c>
      <c r="AA21" t="str" cm="1">
        <f t="array" ref="AA2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2" spans="1:27" x14ac:dyDescent="0.3">
      <c r="A22" s="1">
        <v>45982</v>
      </c>
      <c r="B22">
        <v>109</v>
      </c>
      <c r="C22">
        <v>110</v>
      </c>
      <c r="D22">
        <v>110</v>
      </c>
      <c r="E22">
        <v>111</v>
      </c>
      <c r="F22">
        <v>111</v>
      </c>
      <c r="G22">
        <v>112</v>
      </c>
      <c r="H22">
        <v>112</v>
      </c>
      <c r="I22">
        <v>112</v>
      </c>
      <c r="J22">
        <v>112</v>
      </c>
      <c r="K22">
        <v>111</v>
      </c>
      <c r="L22">
        <v>110</v>
      </c>
      <c r="M22">
        <v>111</v>
      </c>
      <c r="N22">
        <v>111</v>
      </c>
      <c r="O22">
        <v>111</v>
      </c>
      <c r="P22">
        <v>110</v>
      </c>
      <c r="Q22">
        <v>110</v>
      </c>
      <c r="R22">
        <v>110</v>
      </c>
      <c r="S22">
        <v>111</v>
      </c>
      <c r="T22">
        <v>111</v>
      </c>
      <c r="U22">
        <v>112</v>
      </c>
      <c r="V22">
        <v>112</v>
      </c>
      <c r="W22">
        <v>112</v>
      </c>
      <c r="X22">
        <v>114</v>
      </c>
      <c r="Y22">
        <v>114</v>
      </c>
      <c r="Z22" s="2">
        <f>AVERAGE(Sheet1__11[[#This Row],[00:00:00]:[23:00:00]])</f>
        <v>111.20833333333333</v>
      </c>
      <c r="AA22" t="str" cm="1">
        <f t="array" ref="AA2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3" spans="1:27" x14ac:dyDescent="0.3">
      <c r="A23" s="1">
        <v>45983</v>
      </c>
      <c r="B23">
        <v>114</v>
      </c>
      <c r="C23">
        <v>114</v>
      </c>
      <c r="D23">
        <v>114</v>
      </c>
      <c r="E23">
        <v>114</v>
      </c>
      <c r="F23">
        <v>114</v>
      </c>
      <c r="G23">
        <v>113</v>
      </c>
      <c r="H23">
        <v>112</v>
      </c>
      <c r="I23">
        <v>112</v>
      </c>
      <c r="J23">
        <v>112</v>
      </c>
      <c r="K23">
        <v>113</v>
      </c>
      <c r="L23">
        <v>114</v>
      </c>
      <c r="M23">
        <v>114</v>
      </c>
      <c r="N23">
        <v>116</v>
      </c>
      <c r="O23">
        <v>118</v>
      </c>
      <c r="P23">
        <v>118</v>
      </c>
      <c r="Q23">
        <v>177</v>
      </c>
      <c r="R23">
        <v>177</v>
      </c>
      <c r="S23">
        <v>138</v>
      </c>
      <c r="T23">
        <v>138</v>
      </c>
      <c r="U23">
        <v>136</v>
      </c>
      <c r="V23">
        <v>132</v>
      </c>
      <c r="W23">
        <v>131</v>
      </c>
      <c r="X23">
        <v>128</v>
      </c>
      <c r="Y23">
        <v>122</v>
      </c>
      <c r="Z23" s="2">
        <f>AVERAGE(Sheet1__11[[#This Row],[00:00:00]:[23:00:00]])</f>
        <v>124.625</v>
      </c>
      <c r="AA23" t="str" cm="1">
        <f t="array" ref="AA2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4" spans="1:27" x14ac:dyDescent="0.3">
      <c r="A24" s="1">
        <v>45984</v>
      </c>
      <c r="B24">
        <v>122</v>
      </c>
      <c r="C24">
        <v>122</v>
      </c>
      <c r="D24">
        <v>122</v>
      </c>
      <c r="E24">
        <v>122</v>
      </c>
      <c r="F24">
        <v>122</v>
      </c>
      <c r="G24">
        <v>123</v>
      </c>
      <c r="H24">
        <v>124</v>
      </c>
      <c r="I24">
        <v>124</v>
      </c>
      <c r="J24">
        <v>124</v>
      </c>
      <c r="K24">
        <v>123</v>
      </c>
      <c r="L24">
        <v>123</v>
      </c>
      <c r="M24">
        <v>122</v>
      </c>
      <c r="N24">
        <v>122</v>
      </c>
      <c r="O24">
        <v>122</v>
      </c>
      <c r="P24">
        <v>121</v>
      </c>
      <c r="Q24">
        <v>120</v>
      </c>
      <c r="R24">
        <v>119</v>
      </c>
      <c r="S24">
        <v>118</v>
      </c>
      <c r="T24">
        <v>118</v>
      </c>
      <c r="U24">
        <v>117</v>
      </c>
      <c r="V24">
        <v>116</v>
      </c>
      <c r="W24">
        <v>116</v>
      </c>
      <c r="X24">
        <v>116</v>
      </c>
      <c r="Y24">
        <v>116</v>
      </c>
      <c r="Z24" s="2">
        <f>AVERAGE(Sheet1__11[[#This Row],[00:00:00]:[23:00:00]])</f>
        <v>120.58333333333333</v>
      </c>
      <c r="AA24" t="str" cm="1">
        <f t="array" ref="AA2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5" spans="1:27" x14ac:dyDescent="0.3">
      <c r="A25" s="1">
        <v>45985</v>
      </c>
      <c r="B25">
        <v>116</v>
      </c>
      <c r="C25">
        <v>116</v>
      </c>
      <c r="D25">
        <v>115</v>
      </c>
      <c r="E25">
        <v>114</v>
      </c>
      <c r="F25">
        <v>114</v>
      </c>
      <c r="G25">
        <v>114</v>
      </c>
      <c r="H25">
        <v>114</v>
      </c>
      <c r="I25">
        <v>114</v>
      </c>
      <c r="J25">
        <v>114</v>
      </c>
      <c r="K25">
        <v>114</v>
      </c>
      <c r="L25">
        <v>128</v>
      </c>
      <c r="M25">
        <v>128</v>
      </c>
      <c r="N25">
        <v>114</v>
      </c>
      <c r="O25">
        <v>114</v>
      </c>
      <c r="P25">
        <v>114</v>
      </c>
      <c r="Q25">
        <v>114</v>
      </c>
      <c r="R25">
        <v>114</v>
      </c>
      <c r="S25">
        <v>114</v>
      </c>
      <c r="T25">
        <v>115</v>
      </c>
      <c r="U25">
        <v>116</v>
      </c>
      <c r="V25">
        <v>116</v>
      </c>
      <c r="W25">
        <v>116</v>
      </c>
      <c r="X25">
        <v>117</v>
      </c>
      <c r="Y25">
        <v>131</v>
      </c>
      <c r="Z25" s="2">
        <f>AVERAGE(Sheet1__11[[#This Row],[00:00:00]:[23:00:00]])</f>
        <v>116.5</v>
      </c>
      <c r="AA25" t="str" cm="1">
        <f t="array" ref="AA2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6" spans="1:27" x14ac:dyDescent="0.3">
      <c r="A26" s="1">
        <v>45986</v>
      </c>
      <c r="B26">
        <v>130</v>
      </c>
      <c r="C26">
        <v>129</v>
      </c>
      <c r="D26">
        <v>116</v>
      </c>
      <c r="E26">
        <v>116</v>
      </c>
      <c r="F26">
        <v>116</v>
      </c>
      <c r="G26">
        <v>116</v>
      </c>
      <c r="H26">
        <v>114</v>
      </c>
      <c r="I26">
        <v>140</v>
      </c>
      <c r="J26">
        <v>144</v>
      </c>
      <c r="K26">
        <v>144</v>
      </c>
      <c r="L26">
        <v>144</v>
      </c>
      <c r="M26">
        <v>145</v>
      </c>
      <c r="N26">
        <v>146</v>
      </c>
      <c r="O26">
        <v>143</v>
      </c>
      <c r="P26">
        <v>140</v>
      </c>
      <c r="Q26">
        <v>138</v>
      </c>
      <c r="R26">
        <v>138</v>
      </c>
      <c r="S26">
        <v>138</v>
      </c>
      <c r="T26">
        <v>138</v>
      </c>
      <c r="U26">
        <v>136</v>
      </c>
      <c r="V26">
        <v>134</v>
      </c>
      <c r="W26">
        <v>132</v>
      </c>
      <c r="X26">
        <v>130</v>
      </c>
      <c r="Y26">
        <v>128</v>
      </c>
      <c r="Z26" s="2">
        <f>AVERAGE(Sheet1__11[[#This Row],[00:00:00]:[23:00:00]])</f>
        <v>133.125</v>
      </c>
      <c r="AA26" t="str" cm="1">
        <f t="array" ref="AA2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7" spans="1:27" x14ac:dyDescent="0.3">
      <c r="A27" s="1">
        <v>45987</v>
      </c>
      <c r="B27">
        <v>126</v>
      </c>
      <c r="C27">
        <v>124</v>
      </c>
      <c r="D27">
        <v>124</v>
      </c>
      <c r="E27">
        <v>118</v>
      </c>
      <c r="F27">
        <v>116</v>
      </c>
      <c r="G27">
        <v>114</v>
      </c>
      <c r="H27">
        <v>112</v>
      </c>
      <c r="I27">
        <v>108</v>
      </c>
      <c r="J27">
        <v>103</v>
      </c>
      <c r="K27">
        <v>102</v>
      </c>
      <c r="L27">
        <v>102</v>
      </c>
      <c r="M27">
        <v>102</v>
      </c>
      <c r="N27">
        <v>102</v>
      </c>
      <c r="O27">
        <v>102</v>
      </c>
      <c r="P27">
        <v>101</v>
      </c>
      <c r="Q27">
        <v>102</v>
      </c>
      <c r="R27">
        <v>160</v>
      </c>
      <c r="S27">
        <v>138</v>
      </c>
      <c r="T27">
        <v>133</v>
      </c>
      <c r="U27">
        <v>115</v>
      </c>
      <c r="V27">
        <v>119</v>
      </c>
      <c r="W27">
        <v>116</v>
      </c>
      <c r="X27">
        <v>114</v>
      </c>
      <c r="Y27">
        <v>114</v>
      </c>
      <c r="Z27" s="2">
        <f>AVERAGE(Sheet1__11[[#This Row],[00:00:00]:[23:00:00]])</f>
        <v>115.29166666666667</v>
      </c>
      <c r="AA27" t="str" cm="1">
        <f t="array" ref="AA2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8" spans="1:27" x14ac:dyDescent="0.3">
      <c r="A28" s="1">
        <v>45988</v>
      </c>
      <c r="C28">
        <v>122</v>
      </c>
      <c r="D28">
        <v>126</v>
      </c>
      <c r="E28">
        <v>130</v>
      </c>
      <c r="F28">
        <v>136</v>
      </c>
      <c r="G28">
        <v>141</v>
      </c>
      <c r="H28">
        <v>146</v>
      </c>
      <c r="I28">
        <v>150</v>
      </c>
      <c r="J28">
        <v>154</v>
      </c>
      <c r="K28">
        <v>155</v>
      </c>
      <c r="L28">
        <v>156</v>
      </c>
      <c r="M28">
        <v>155</v>
      </c>
      <c r="N28">
        <v>154</v>
      </c>
      <c r="O28">
        <v>154</v>
      </c>
      <c r="P28">
        <v>152</v>
      </c>
      <c r="Q28">
        <v>152</v>
      </c>
      <c r="R28">
        <v>151</v>
      </c>
      <c r="S28">
        <v>149</v>
      </c>
      <c r="T28">
        <v>144</v>
      </c>
      <c r="U28">
        <v>140</v>
      </c>
      <c r="V28">
        <v>134</v>
      </c>
      <c r="W28">
        <v>130</v>
      </c>
      <c r="X28">
        <v>124</v>
      </c>
      <c r="Y28">
        <v>121</v>
      </c>
      <c r="Z28" s="2">
        <f>AVERAGE(Sheet1__11[[#This Row],[00:00:00]:[23:00:00]])</f>
        <v>142.43478260869566</v>
      </c>
      <c r="AA28" t="str" cm="1">
        <f t="array" ref="AA2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9" spans="1:27" x14ac:dyDescent="0.3">
      <c r="A29" s="1">
        <v>45989</v>
      </c>
      <c r="B29">
        <v>117</v>
      </c>
      <c r="C29">
        <v>112</v>
      </c>
      <c r="D29">
        <v>108</v>
      </c>
      <c r="E29">
        <v>104</v>
      </c>
      <c r="F29">
        <v>98</v>
      </c>
      <c r="G29">
        <v>93</v>
      </c>
      <c r="H29">
        <v>88</v>
      </c>
      <c r="I29">
        <v>86</v>
      </c>
      <c r="J29">
        <v>86</v>
      </c>
      <c r="K29">
        <v>85</v>
      </c>
      <c r="L29">
        <v>84</v>
      </c>
      <c r="M29">
        <v>85</v>
      </c>
      <c r="N29">
        <v>86</v>
      </c>
      <c r="O29">
        <v>86</v>
      </c>
      <c r="P29">
        <v>86</v>
      </c>
      <c r="Q29">
        <v>86</v>
      </c>
      <c r="R29">
        <v>86</v>
      </c>
      <c r="S29">
        <v>86</v>
      </c>
      <c r="T29">
        <v>87</v>
      </c>
      <c r="U29">
        <v>87</v>
      </c>
      <c r="V29">
        <v>88</v>
      </c>
      <c r="W29">
        <v>88</v>
      </c>
      <c r="X29">
        <v>88</v>
      </c>
      <c r="Y29">
        <v>88</v>
      </c>
      <c r="Z29" s="2">
        <f>AVERAGE(Sheet1__11[[#This Row],[00:00:00]:[23:00:00]])</f>
        <v>91.166666666666671</v>
      </c>
      <c r="AA29" t="str" cm="1">
        <f t="array" ref="AA2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0" spans="1:27" x14ac:dyDescent="0.3">
      <c r="A30" s="1">
        <v>45990</v>
      </c>
      <c r="B30">
        <v>88</v>
      </c>
      <c r="C30">
        <v>89</v>
      </c>
      <c r="D30">
        <v>89</v>
      </c>
      <c r="E30">
        <v>89</v>
      </c>
      <c r="F30">
        <v>88</v>
      </c>
      <c r="G30">
        <v>90</v>
      </c>
      <c r="H30">
        <v>90</v>
      </c>
      <c r="I30">
        <v>90</v>
      </c>
      <c r="J30">
        <v>90</v>
      </c>
      <c r="K30">
        <v>90</v>
      </c>
      <c r="L30">
        <v>90</v>
      </c>
      <c r="M30">
        <v>90</v>
      </c>
      <c r="N30">
        <v>90</v>
      </c>
      <c r="O30">
        <v>90</v>
      </c>
      <c r="P30">
        <v>89</v>
      </c>
      <c r="Q30">
        <v>88</v>
      </c>
      <c r="R30">
        <v>88</v>
      </c>
      <c r="S30">
        <v>88</v>
      </c>
      <c r="T30">
        <v>87</v>
      </c>
      <c r="U30">
        <v>86</v>
      </c>
      <c r="V30">
        <v>84</v>
      </c>
      <c r="W30">
        <v>84</v>
      </c>
      <c r="X30">
        <v>83</v>
      </c>
      <c r="Y30">
        <v>82</v>
      </c>
      <c r="Z30" s="2">
        <f>AVERAGE(Sheet1__11[[#This Row],[00:00:00]:[23:00:00]])</f>
        <v>88</v>
      </c>
      <c r="AA30" t="str" cm="1">
        <f t="array" ref="AA3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1" spans="1:27" x14ac:dyDescent="0.3">
      <c r="A31" s="1">
        <v>45991</v>
      </c>
      <c r="B31">
        <v>82</v>
      </c>
      <c r="C31">
        <v>80</v>
      </c>
      <c r="D31">
        <v>80</v>
      </c>
      <c r="E31">
        <v>80</v>
      </c>
      <c r="F31">
        <v>78</v>
      </c>
      <c r="G31">
        <v>78</v>
      </c>
      <c r="H31">
        <v>78</v>
      </c>
      <c r="I31">
        <v>78</v>
      </c>
      <c r="J31">
        <v>78</v>
      </c>
      <c r="K31">
        <v>79</v>
      </c>
      <c r="L31">
        <v>79</v>
      </c>
      <c r="M31">
        <v>79</v>
      </c>
      <c r="N31">
        <v>78</v>
      </c>
      <c r="O31">
        <v>78</v>
      </c>
      <c r="P31">
        <v>79</v>
      </c>
      <c r="Q31">
        <v>80</v>
      </c>
      <c r="R31">
        <v>80</v>
      </c>
      <c r="S31">
        <v>81</v>
      </c>
      <c r="T31">
        <v>81</v>
      </c>
      <c r="U31">
        <v>82</v>
      </c>
      <c r="V31">
        <v>82</v>
      </c>
      <c r="W31">
        <v>82</v>
      </c>
      <c r="X31">
        <v>83</v>
      </c>
      <c r="Y31">
        <v>83</v>
      </c>
      <c r="Z31" s="2">
        <f>AVERAGE(Sheet1__11[[#This Row],[00:00:00]:[23:00:00]])</f>
        <v>79.916666666666671</v>
      </c>
      <c r="AA31" t="str" cm="1">
        <f t="array" ref="AA3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2" spans="1:27" x14ac:dyDescent="0.3">
      <c r="Z32" s="2">
        <f>SUBTOTAL(101,Sheet1__11[AVERAGE AQI])</f>
        <v>97.945289855072446</v>
      </c>
      <c r="AA32" s="3"/>
    </row>
  </sheetData>
  <conditionalFormatting sqref="AA1:AA1048576">
    <cfRule type="containsText" dxfId="11" priority="3" operator="containsText" text="GOOD">
      <formula>NOT(ISERROR(SEARCH("GOOD",AA1)))</formula>
    </cfRule>
    <cfRule type="containsText" dxfId="12" priority="2" operator="containsText" text="BAD">
      <formula>NOT(ISERROR(SEARCH("BAD",AA1)))</formula>
    </cfRule>
    <cfRule type="containsText" dxfId="13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3684-6765-4497-9C3A-D64AFF405B20}">
  <dimension ref="A1:AA33"/>
  <sheetViews>
    <sheetView tabSelected="1" topLeftCell="A4" workbookViewId="0">
      <selection activeCell="Z33" sqref="Z3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7.554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45992</v>
      </c>
      <c r="B2">
        <v>84</v>
      </c>
      <c r="C2">
        <v>84</v>
      </c>
      <c r="D2">
        <v>85</v>
      </c>
      <c r="E2">
        <v>86</v>
      </c>
      <c r="F2">
        <v>86</v>
      </c>
      <c r="G2">
        <v>87</v>
      </c>
      <c r="H2">
        <v>88</v>
      </c>
      <c r="I2">
        <v>72</v>
      </c>
      <c r="J2">
        <v>71</v>
      </c>
      <c r="K2">
        <v>71</v>
      </c>
      <c r="L2">
        <v>70</v>
      </c>
      <c r="M2">
        <v>70</v>
      </c>
      <c r="N2">
        <v>69</v>
      </c>
      <c r="O2">
        <v>69</v>
      </c>
      <c r="P2">
        <v>70</v>
      </c>
      <c r="Q2">
        <v>70</v>
      </c>
      <c r="R2">
        <v>70</v>
      </c>
      <c r="S2">
        <v>70</v>
      </c>
      <c r="T2">
        <v>70</v>
      </c>
      <c r="U2">
        <v>71</v>
      </c>
      <c r="V2">
        <v>71</v>
      </c>
      <c r="W2">
        <v>72</v>
      </c>
      <c r="X2">
        <v>72</v>
      </c>
      <c r="Y2">
        <v>72</v>
      </c>
      <c r="Z2" s="2">
        <f>AVERAGE(Sheet1__12[[#This Row],[00:00:00]:[23:00:00]])</f>
        <v>75</v>
      </c>
      <c r="AA2" t="str" cm="1">
        <f t="array" ref="AA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3" spans="1:27" x14ac:dyDescent="0.3">
      <c r="A3" s="1">
        <v>45993</v>
      </c>
      <c r="B3">
        <v>84</v>
      </c>
      <c r="C3">
        <v>84</v>
      </c>
      <c r="D3">
        <v>83</v>
      </c>
      <c r="E3">
        <v>82</v>
      </c>
      <c r="F3">
        <v>82</v>
      </c>
      <c r="G3">
        <v>82</v>
      </c>
      <c r="H3">
        <v>80</v>
      </c>
      <c r="I3">
        <v>80</v>
      </c>
      <c r="J3">
        <v>80</v>
      </c>
      <c r="K3">
        <v>80</v>
      </c>
      <c r="L3">
        <v>80</v>
      </c>
      <c r="M3">
        <v>81</v>
      </c>
      <c r="N3">
        <v>81</v>
      </c>
      <c r="O3">
        <v>82</v>
      </c>
      <c r="P3">
        <v>82</v>
      </c>
      <c r="Q3">
        <v>82</v>
      </c>
      <c r="R3">
        <v>83</v>
      </c>
      <c r="S3">
        <v>82</v>
      </c>
      <c r="T3">
        <v>82</v>
      </c>
      <c r="U3">
        <v>82</v>
      </c>
      <c r="V3">
        <v>82</v>
      </c>
      <c r="W3">
        <v>80</v>
      </c>
      <c r="X3">
        <v>81</v>
      </c>
      <c r="Y3">
        <v>82</v>
      </c>
      <c r="Z3" s="2">
        <f>AVERAGE(Sheet1__12[[#This Row],[00:00:00]:[23:00:00]])</f>
        <v>81.625</v>
      </c>
      <c r="AA3" t="str" cm="1">
        <f t="array" ref="AA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4" spans="1:27" x14ac:dyDescent="0.3">
      <c r="A4" s="1">
        <v>45994</v>
      </c>
      <c r="B4">
        <v>82</v>
      </c>
      <c r="C4">
        <v>82</v>
      </c>
      <c r="D4">
        <v>84</v>
      </c>
      <c r="E4">
        <v>84</v>
      </c>
      <c r="F4">
        <v>86</v>
      </c>
      <c r="G4">
        <v>86</v>
      </c>
      <c r="H4">
        <v>88</v>
      </c>
      <c r="I4">
        <v>88</v>
      </c>
      <c r="J4">
        <v>89</v>
      </c>
      <c r="K4">
        <v>90</v>
      </c>
      <c r="L4">
        <v>90</v>
      </c>
      <c r="M4">
        <v>90</v>
      </c>
      <c r="N4">
        <v>90</v>
      </c>
      <c r="O4">
        <v>90</v>
      </c>
      <c r="P4">
        <v>90</v>
      </c>
      <c r="Q4">
        <v>90</v>
      </c>
      <c r="R4">
        <v>89</v>
      </c>
      <c r="S4">
        <v>90</v>
      </c>
      <c r="T4">
        <v>90</v>
      </c>
      <c r="U4">
        <v>90</v>
      </c>
      <c r="V4">
        <v>91</v>
      </c>
      <c r="W4">
        <v>91</v>
      </c>
      <c r="X4">
        <v>91</v>
      </c>
      <c r="Y4">
        <v>91</v>
      </c>
      <c r="Z4" s="2">
        <f>AVERAGE(Sheet1__12[[#This Row],[00:00:00]:[23:00:00]])</f>
        <v>88.416666666666671</v>
      </c>
      <c r="AA4" t="str" cm="1">
        <f t="array" ref="AA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5" spans="1:27" x14ac:dyDescent="0.3">
      <c r="A5" s="1">
        <v>45995</v>
      </c>
      <c r="B5">
        <v>91</v>
      </c>
      <c r="C5">
        <v>91</v>
      </c>
      <c r="D5">
        <v>90</v>
      </c>
      <c r="E5">
        <v>90</v>
      </c>
      <c r="F5">
        <v>89</v>
      </c>
      <c r="G5">
        <v>89</v>
      </c>
      <c r="H5">
        <v>88</v>
      </c>
      <c r="J5">
        <v>87</v>
      </c>
      <c r="K5">
        <v>86</v>
      </c>
      <c r="L5">
        <v>86</v>
      </c>
      <c r="M5">
        <v>86</v>
      </c>
      <c r="N5">
        <v>86</v>
      </c>
      <c r="O5">
        <v>86</v>
      </c>
      <c r="P5">
        <v>87</v>
      </c>
      <c r="Q5">
        <v>87</v>
      </c>
      <c r="R5">
        <v>88</v>
      </c>
      <c r="S5">
        <v>89</v>
      </c>
      <c r="T5">
        <v>90</v>
      </c>
      <c r="U5">
        <v>90</v>
      </c>
      <c r="V5">
        <v>92</v>
      </c>
      <c r="W5">
        <v>94</v>
      </c>
      <c r="X5">
        <v>94</v>
      </c>
      <c r="Y5">
        <v>96</v>
      </c>
      <c r="Z5" s="2">
        <f>AVERAGE(Sheet1__12[[#This Row],[00:00:00]:[23:00:00]])</f>
        <v>89.217391304347828</v>
      </c>
      <c r="AA5" t="str" cm="1">
        <f t="array" ref="AA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6" spans="1:27" x14ac:dyDescent="0.3">
      <c r="A6" s="1">
        <v>45996</v>
      </c>
      <c r="B6">
        <v>96</v>
      </c>
      <c r="C6">
        <v>98</v>
      </c>
      <c r="D6">
        <v>98</v>
      </c>
      <c r="E6">
        <v>98</v>
      </c>
      <c r="F6">
        <v>98</v>
      </c>
      <c r="G6">
        <v>98</v>
      </c>
      <c r="H6">
        <v>98</v>
      </c>
      <c r="I6">
        <v>97</v>
      </c>
      <c r="J6">
        <v>97</v>
      </c>
      <c r="K6">
        <v>98</v>
      </c>
      <c r="L6">
        <v>98</v>
      </c>
      <c r="M6">
        <v>98</v>
      </c>
      <c r="N6">
        <v>98</v>
      </c>
      <c r="O6">
        <v>97</v>
      </c>
      <c r="P6">
        <v>98</v>
      </c>
      <c r="Q6">
        <v>100</v>
      </c>
      <c r="R6">
        <v>101</v>
      </c>
      <c r="S6">
        <v>100</v>
      </c>
      <c r="T6">
        <v>100</v>
      </c>
      <c r="U6">
        <v>100</v>
      </c>
      <c r="V6">
        <v>100</v>
      </c>
      <c r="W6">
        <v>102</v>
      </c>
      <c r="X6">
        <v>102</v>
      </c>
      <c r="Y6">
        <v>103</v>
      </c>
      <c r="Z6" s="2">
        <f>AVERAGE(Sheet1__12[[#This Row],[00:00:00]:[23:00:00]])</f>
        <v>98.875</v>
      </c>
      <c r="AA6" t="str" cm="1">
        <f t="array" ref="AA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7" spans="1:27" x14ac:dyDescent="0.3">
      <c r="A7" s="1">
        <v>45997</v>
      </c>
      <c r="B7">
        <v>102</v>
      </c>
      <c r="C7">
        <v>102</v>
      </c>
      <c r="D7">
        <v>101</v>
      </c>
      <c r="E7">
        <v>100</v>
      </c>
      <c r="F7">
        <v>101</v>
      </c>
      <c r="G7">
        <v>101</v>
      </c>
      <c r="H7">
        <v>101</v>
      </c>
      <c r="I7">
        <v>102</v>
      </c>
      <c r="J7">
        <v>101</v>
      </c>
      <c r="K7">
        <v>101</v>
      </c>
      <c r="L7">
        <v>101</v>
      </c>
      <c r="M7">
        <v>100</v>
      </c>
      <c r="N7">
        <v>100</v>
      </c>
      <c r="O7">
        <v>100</v>
      </c>
      <c r="P7">
        <v>99</v>
      </c>
      <c r="Q7">
        <v>98</v>
      </c>
      <c r="R7">
        <v>96</v>
      </c>
      <c r="S7">
        <v>96</v>
      </c>
      <c r="T7">
        <v>96</v>
      </c>
      <c r="U7">
        <v>95</v>
      </c>
      <c r="V7">
        <v>94</v>
      </c>
      <c r="W7">
        <v>92</v>
      </c>
      <c r="X7">
        <v>91</v>
      </c>
      <c r="Y7">
        <v>91</v>
      </c>
      <c r="Z7" s="2">
        <f>AVERAGE(Sheet1__12[[#This Row],[00:00:00]:[23:00:00]])</f>
        <v>98.375</v>
      </c>
      <c r="AA7" t="str" cm="1">
        <f t="array" ref="AA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8" spans="1:27" x14ac:dyDescent="0.3">
      <c r="A8" s="1">
        <v>45998</v>
      </c>
      <c r="B8">
        <v>92</v>
      </c>
      <c r="C8">
        <v>94</v>
      </c>
      <c r="D8">
        <v>96</v>
      </c>
      <c r="E8">
        <v>98</v>
      </c>
      <c r="F8">
        <v>100</v>
      </c>
      <c r="G8">
        <v>102</v>
      </c>
      <c r="H8">
        <v>104</v>
      </c>
      <c r="I8">
        <v>106</v>
      </c>
      <c r="J8">
        <v>108</v>
      </c>
      <c r="K8">
        <v>110</v>
      </c>
      <c r="L8">
        <v>112</v>
      </c>
      <c r="M8">
        <v>114</v>
      </c>
      <c r="N8">
        <v>115</v>
      </c>
      <c r="O8">
        <v>117</v>
      </c>
      <c r="P8">
        <v>118</v>
      </c>
      <c r="Q8">
        <v>118</v>
      </c>
      <c r="R8">
        <v>120</v>
      </c>
      <c r="S8">
        <v>120</v>
      </c>
      <c r="T8">
        <v>120</v>
      </c>
      <c r="U8">
        <v>122</v>
      </c>
      <c r="V8">
        <v>123</v>
      </c>
      <c r="W8">
        <v>124</v>
      </c>
      <c r="X8">
        <v>123</v>
      </c>
      <c r="Y8">
        <v>122</v>
      </c>
      <c r="Z8" s="2">
        <f>AVERAGE(Sheet1__12[[#This Row],[00:00:00]:[23:00:00]])</f>
        <v>111.58333333333333</v>
      </c>
      <c r="AA8" t="str" cm="1">
        <f t="array" ref="AA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9" spans="1:27" x14ac:dyDescent="0.3">
      <c r="A9" s="1">
        <v>45999</v>
      </c>
      <c r="B9">
        <v>122</v>
      </c>
      <c r="C9">
        <v>122</v>
      </c>
      <c r="D9">
        <v>121</v>
      </c>
      <c r="E9">
        <v>121</v>
      </c>
      <c r="F9">
        <v>120</v>
      </c>
      <c r="G9">
        <v>119</v>
      </c>
      <c r="H9">
        <v>119</v>
      </c>
      <c r="I9">
        <v>118</v>
      </c>
      <c r="J9">
        <v>118</v>
      </c>
      <c r="K9">
        <v>119</v>
      </c>
      <c r="L9">
        <v>118</v>
      </c>
      <c r="M9">
        <v>118</v>
      </c>
      <c r="N9">
        <v>118</v>
      </c>
      <c r="O9">
        <v>117</v>
      </c>
      <c r="P9">
        <v>118</v>
      </c>
      <c r="Q9">
        <v>116</v>
      </c>
      <c r="R9">
        <v>116</v>
      </c>
      <c r="S9">
        <v>116</v>
      </c>
      <c r="T9">
        <v>116</v>
      </c>
      <c r="U9">
        <v>114</v>
      </c>
      <c r="V9">
        <v>114</v>
      </c>
      <c r="W9">
        <v>115</v>
      </c>
      <c r="X9">
        <v>116</v>
      </c>
      <c r="Y9">
        <v>116</v>
      </c>
      <c r="Z9" s="2">
        <f>AVERAGE(Sheet1__12[[#This Row],[00:00:00]:[23:00:00]])</f>
        <v>117.79166666666667</v>
      </c>
      <c r="AA9" t="str" cm="1">
        <f t="array" ref="AA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0" spans="1:27" x14ac:dyDescent="0.3">
      <c r="A10" s="1">
        <v>46000</v>
      </c>
      <c r="B10">
        <v>117</v>
      </c>
      <c r="C10">
        <v>118</v>
      </c>
      <c r="D10">
        <v>118</v>
      </c>
      <c r="E10">
        <v>118</v>
      </c>
      <c r="F10">
        <v>118</v>
      </c>
      <c r="G10">
        <v>118</v>
      </c>
      <c r="H10">
        <v>118</v>
      </c>
      <c r="I10">
        <v>120</v>
      </c>
      <c r="J10">
        <v>124</v>
      </c>
      <c r="K10">
        <v>128</v>
      </c>
      <c r="L10">
        <v>132</v>
      </c>
      <c r="M10">
        <v>137</v>
      </c>
      <c r="N10">
        <v>139</v>
      </c>
      <c r="O10">
        <v>139</v>
      </c>
      <c r="P10">
        <v>136</v>
      </c>
      <c r="Q10">
        <v>134</v>
      </c>
      <c r="R10">
        <v>134</v>
      </c>
      <c r="S10">
        <v>135</v>
      </c>
      <c r="T10">
        <v>134</v>
      </c>
      <c r="U10">
        <v>135</v>
      </c>
      <c r="V10">
        <v>134</v>
      </c>
      <c r="W10">
        <v>133</v>
      </c>
      <c r="X10">
        <v>132</v>
      </c>
      <c r="Y10">
        <v>129</v>
      </c>
      <c r="Z10" s="2">
        <f>AVERAGE(Sheet1__12[[#This Row],[00:00:00]:[23:00:00]])</f>
        <v>128.33333333333334</v>
      </c>
      <c r="AA10" t="str" cm="1">
        <f t="array" ref="AA1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1" spans="1:27" x14ac:dyDescent="0.3">
      <c r="A11" s="1">
        <v>46001</v>
      </c>
      <c r="B11">
        <v>125</v>
      </c>
      <c r="C11">
        <v>122</v>
      </c>
      <c r="D11">
        <v>116</v>
      </c>
      <c r="E11">
        <v>112</v>
      </c>
      <c r="F11">
        <v>112</v>
      </c>
      <c r="G11">
        <v>111</v>
      </c>
      <c r="H11">
        <v>110</v>
      </c>
      <c r="I11">
        <v>110</v>
      </c>
      <c r="J11">
        <v>110</v>
      </c>
      <c r="K11">
        <v>111</v>
      </c>
      <c r="L11">
        <v>112</v>
      </c>
      <c r="M11">
        <v>110</v>
      </c>
      <c r="N11">
        <v>110</v>
      </c>
      <c r="O11">
        <v>110</v>
      </c>
      <c r="P11">
        <v>110</v>
      </c>
      <c r="Q11">
        <v>109</v>
      </c>
      <c r="R11">
        <v>109</v>
      </c>
      <c r="S11">
        <v>108</v>
      </c>
      <c r="T11">
        <v>108</v>
      </c>
      <c r="U11">
        <v>106</v>
      </c>
      <c r="V11">
        <v>104</v>
      </c>
      <c r="W11">
        <v>102</v>
      </c>
      <c r="X11">
        <v>100</v>
      </c>
      <c r="Y11">
        <v>100</v>
      </c>
      <c r="Z11" s="2">
        <f>AVERAGE(Sheet1__12[[#This Row],[00:00:00]:[23:00:00]])</f>
        <v>109.875</v>
      </c>
      <c r="AA11" t="str" cm="1">
        <f t="array" ref="AA1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2" spans="1:27" x14ac:dyDescent="0.3">
      <c r="A12" s="1">
        <v>46002</v>
      </c>
      <c r="B12">
        <v>100</v>
      </c>
      <c r="C12">
        <v>100</v>
      </c>
      <c r="D12">
        <v>102</v>
      </c>
      <c r="E12">
        <v>102</v>
      </c>
      <c r="F12">
        <v>102</v>
      </c>
      <c r="G12">
        <v>102</v>
      </c>
      <c r="H12">
        <v>102</v>
      </c>
      <c r="I12">
        <v>103</v>
      </c>
      <c r="J12">
        <v>104</v>
      </c>
      <c r="K12">
        <v>104</v>
      </c>
      <c r="L12">
        <v>104</v>
      </c>
      <c r="M12">
        <v>105</v>
      </c>
      <c r="N12">
        <v>106</v>
      </c>
      <c r="O12">
        <v>108</v>
      </c>
      <c r="P12">
        <v>110</v>
      </c>
      <c r="Q12">
        <v>110</v>
      </c>
      <c r="R12">
        <v>110</v>
      </c>
      <c r="S12">
        <v>111</v>
      </c>
      <c r="T12">
        <v>110</v>
      </c>
      <c r="U12">
        <v>111</v>
      </c>
      <c r="W12">
        <v>112</v>
      </c>
      <c r="X12">
        <v>112</v>
      </c>
      <c r="Y12">
        <v>113</v>
      </c>
      <c r="Z12" s="2">
        <f>AVERAGE(Sheet1__12[[#This Row],[00:00:00]:[23:00:00]])</f>
        <v>106.21739130434783</v>
      </c>
      <c r="AA12" t="str" cm="1">
        <f t="array" ref="AA1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3" spans="1:27" x14ac:dyDescent="0.3">
      <c r="A13" s="1">
        <v>46003</v>
      </c>
      <c r="B13">
        <v>113</v>
      </c>
      <c r="C13">
        <v>113</v>
      </c>
      <c r="D13">
        <v>114</v>
      </c>
      <c r="E13">
        <v>114</v>
      </c>
      <c r="F13">
        <v>116</v>
      </c>
      <c r="G13">
        <v>118</v>
      </c>
      <c r="H13">
        <v>118</v>
      </c>
      <c r="I13">
        <v>119</v>
      </c>
      <c r="J13">
        <v>119</v>
      </c>
      <c r="K13">
        <v>119</v>
      </c>
      <c r="L13">
        <v>119</v>
      </c>
      <c r="M13">
        <v>118</v>
      </c>
      <c r="N13">
        <v>118</v>
      </c>
      <c r="O13">
        <v>118</v>
      </c>
      <c r="P13">
        <v>117</v>
      </c>
      <c r="Q13">
        <v>118</v>
      </c>
      <c r="R13">
        <v>118</v>
      </c>
      <c r="S13">
        <v>118</v>
      </c>
      <c r="T13">
        <v>120</v>
      </c>
      <c r="U13">
        <v>120</v>
      </c>
      <c r="V13">
        <v>120</v>
      </c>
      <c r="W13">
        <v>119</v>
      </c>
      <c r="X13">
        <v>118</v>
      </c>
      <c r="Y13">
        <v>117</v>
      </c>
      <c r="Z13" s="2">
        <f>AVERAGE(Sheet1__12[[#This Row],[00:00:00]:[23:00:00]])</f>
        <v>117.54166666666667</v>
      </c>
      <c r="AA13" t="str" cm="1">
        <f t="array" ref="AA1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4" spans="1:27" x14ac:dyDescent="0.3">
      <c r="A14" s="1">
        <v>46004</v>
      </c>
      <c r="B14">
        <v>117</v>
      </c>
      <c r="C14">
        <v>116</v>
      </c>
      <c r="D14">
        <v>116</v>
      </c>
      <c r="E14">
        <v>116</v>
      </c>
      <c r="F14">
        <v>114</v>
      </c>
      <c r="G14">
        <v>113</v>
      </c>
      <c r="H14">
        <v>112</v>
      </c>
      <c r="I14">
        <v>112</v>
      </c>
      <c r="J14">
        <v>110</v>
      </c>
      <c r="K14">
        <v>109</v>
      </c>
      <c r="L14">
        <v>108</v>
      </c>
      <c r="M14">
        <v>108</v>
      </c>
      <c r="N14">
        <v>108</v>
      </c>
      <c r="O14">
        <v>108</v>
      </c>
      <c r="P14">
        <v>108</v>
      </c>
      <c r="Q14">
        <v>108</v>
      </c>
      <c r="R14">
        <v>108</v>
      </c>
      <c r="S14">
        <v>108</v>
      </c>
      <c r="T14">
        <v>107</v>
      </c>
      <c r="U14">
        <v>107</v>
      </c>
      <c r="V14">
        <v>108</v>
      </c>
      <c r="W14">
        <v>108</v>
      </c>
      <c r="X14">
        <v>108</v>
      </c>
      <c r="Y14">
        <v>110</v>
      </c>
      <c r="Z14" s="2">
        <f>AVERAGE(Sheet1__12[[#This Row],[00:00:00]:[23:00:00]])</f>
        <v>110.29166666666667</v>
      </c>
      <c r="AA14" t="str" cm="1">
        <f t="array" ref="AA1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5" spans="1:27" x14ac:dyDescent="0.3">
      <c r="A15" s="1">
        <v>46005</v>
      </c>
      <c r="B15">
        <v>110</v>
      </c>
      <c r="C15">
        <v>111</v>
      </c>
      <c r="D15">
        <v>112</v>
      </c>
      <c r="E15">
        <v>112</v>
      </c>
      <c r="F15">
        <v>114</v>
      </c>
      <c r="G15">
        <v>114</v>
      </c>
      <c r="H15">
        <v>115</v>
      </c>
      <c r="I15">
        <v>116</v>
      </c>
      <c r="J15">
        <v>117</v>
      </c>
      <c r="K15">
        <v>118</v>
      </c>
      <c r="L15">
        <v>118</v>
      </c>
      <c r="M15">
        <v>120</v>
      </c>
      <c r="N15">
        <v>120</v>
      </c>
      <c r="O15">
        <v>121</v>
      </c>
      <c r="P15">
        <v>122</v>
      </c>
      <c r="Q15">
        <v>122</v>
      </c>
      <c r="R15">
        <v>122</v>
      </c>
      <c r="S15">
        <v>122</v>
      </c>
      <c r="T15">
        <v>123</v>
      </c>
      <c r="U15">
        <v>144</v>
      </c>
      <c r="V15">
        <v>123</v>
      </c>
      <c r="W15">
        <v>124</v>
      </c>
      <c r="X15">
        <v>124</v>
      </c>
      <c r="Y15">
        <v>124</v>
      </c>
      <c r="Z15" s="2">
        <f>AVERAGE(Sheet1__12[[#This Row],[00:00:00]:[23:00:00]])</f>
        <v>119.5</v>
      </c>
      <c r="AA15" t="str" cm="1">
        <f t="array" ref="AA1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6" spans="1:27" x14ac:dyDescent="0.3">
      <c r="A16" s="1">
        <v>46006</v>
      </c>
      <c r="B16">
        <v>124</v>
      </c>
      <c r="C16">
        <v>122</v>
      </c>
      <c r="D16">
        <v>122</v>
      </c>
      <c r="E16">
        <v>121</v>
      </c>
      <c r="F16">
        <v>120</v>
      </c>
      <c r="G16">
        <v>118</v>
      </c>
      <c r="H16">
        <v>118</v>
      </c>
      <c r="I16">
        <v>118</v>
      </c>
      <c r="J16">
        <v>118</v>
      </c>
      <c r="K16">
        <v>118</v>
      </c>
      <c r="L16">
        <v>118</v>
      </c>
      <c r="M16">
        <v>118</v>
      </c>
      <c r="N16">
        <v>118</v>
      </c>
      <c r="O16">
        <v>117</v>
      </c>
      <c r="P16">
        <v>116</v>
      </c>
      <c r="Q16">
        <v>116</v>
      </c>
      <c r="R16">
        <v>116</v>
      </c>
      <c r="S16">
        <v>116</v>
      </c>
      <c r="T16">
        <v>116</v>
      </c>
      <c r="U16">
        <v>114</v>
      </c>
      <c r="V16">
        <v>114</v>
      </c>
      <c r="W16">
        <v>114</v>
      </c>
      <c r="X16">
        <v>114</v>
      </c>
      <c r="Y16">
        <v>114</v>
      </c>
      <c r="Z16" s="2">
        <f>AVERAGE(Sheet1__12[[#This Row],[00:00:00]:[23:00:00]])</f>
        <v>117.5</v>
      </c>
      <c r="AA16" t="str" cm="1">
        <f t="array" ref="AA1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7" spans="1:27" x14ac:dyDescent="0.3">
      <c r="A17" s="1">
        <v>46007</v>
      </c>
      <c r="B17">
        <v>114</v>
      </c>
      <c r="C17">
        <v>116</v>
      </c>
      <c r="D17">
        <v>116</v>
      </c>
      <c r="E17">
        <v>116</v>
      </c>
      <c r="F17">
        <v>115</v>
      </c>
      <c r="G17">
        <v>115</v>
      </c>
      <c r="H17">
        <v>114</v>
      </c>
      <c r="I17">
        <v>114</v>
      </c>
      <c r="J17">
        <v>113</v>
      </c>
      <c r="K17">
        <v>112</v>
      </c>
      <c r="L17">
        <v>111</v>
      </c>
      <c r="M17">
        <v>110</v>
      </c>
      <c r="N17">
        <v>110</v>
      </c>
      <c r="O17">
        <v>109</v>
      </c>
      <c r="P17">
        <v>110</v>
      </c>
      <c r="Q17">
        <v>110</v>
      </c>
      <c r="R17">
        <v>110</v>
      </c>
      <c r="S17">
        <v>112</v>
      </c>
      <c r="T17">
        <v>112</v>
      </c>
      <c r="U17">
        <v>114</v>
      </c>
      <c r="V17">
        <v>115</v>
      </c>
      <c r="W17">
        <v>116</v>
      </c>
      <c r="X17">
        <v>116</v>
      </c>
      <c r="Y17">
        <v>116</v>
      </c>
      <c r="Z17" s="2">
        <f>AVERAGE(Sheet1__12[[#This Row],[00:00:00]:[23:00:00]])</f>
        <v>113.16666666666667</v>
      </c>
      <c r="AA17" t="str" cm="1">
        <f t="array" ref="AA1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8" spans="1:27" x14ac:dyDescent="0.3">
      <c r="A18" s="1">
        <v>46008</v>
      </c>
      <c r="B18">
        <v>117</v>
      </c>
      <c r="C18">
        <v>118</v>
      </c>
      <c r="D18">
        <v>118</v>
      </c>
      <c r="E18">
        <v>119</v>
      </c>
      <c r="F18">
        <v>120</v>
      </c>
      <c r="G18">
        <v>120</v>
      </c>
      <c r="H18">
        <v>120</v>
      </c>
      <c r="I18">
        <v>120</v>
      </c>
      <c r="J18">
        <v>120</v>
      </c>
      <c r="K18">
        <v>121</v>
      </c>
      <c r="L18">
        <v>122</v>
      </c>
      <c r="M18">
        <v>122</v>
      </c>
      <c r="N18">
        <v>122</v>
      </c>
      <c r="O18">
        <v>122</v>
      </c>
      <c r="P18">
        <v>122</v>
      </c>
      <c r="Q18">
        <v>122</v>
      </c>
      <c r="R18">
        <v>122</v>
      </c>
      <c r="S18">
        <v>122</v>
      </c>
      <c r="T18">
        <v>122</v>
      </c>
      <c r="U18">
        <v>122</v>
      </c>
      <c r="V18">
        <v>121</v>
      </c>
      <c r="W18">
        <v>120</v>
      </c>
      <c r="X18">
        <v>120</v>
      </c>
      <c r="Y18">
        <v>120</v>
      </c>
      <c r="Z18" s="2">
        <f>AVERAGE(Sheet1__12[[#This Row],[00:00:00]:[23:00:00]])</f>
        <v>120.58333333333333</v>
      </c>
      <c r="AA18" t="str" cm="1">
        <f t="array" ref="AA1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9" spans="1:27" x14ac:dyDescent="0.3">
      <c r="A19" s="1">
        <v>46009</v>
      </c>
      <c r="B19">
        <v>120</v>
      </c>
      <c r="C19">
        <v>120</v>
      </c>
      <c r="D19">
        <v>120</v>
      </c>
      <c r="E19">
        <v>120</v>
      </c>
      <c r="F19">
        <v>120</v>
      </c>
      <c r="G19">
        <v>121</v>
      </c>
      <c r="H19">
        <v>122</v>
      </c>
      <c r="I19">
        <v>122</v>
      </c>
      <c r="J19">
        <v>122</v>
      </c>
      <c r="K19">
        <v>122</v>
      </c>
      <c r="L19">
        <v>122</v>
      </c>
      <c r="M19">
        <v>122</v>
      </c>
      <c r="N19">
        <v>122</v>
      </c>
      <c r="O19">
        <v>122</v>
      </c>
      <c r="P19">
        <v>122</v>
      </c>
      <c r="Q19">
        <v>122</v>
      </c>
      <c r="R19">
        <v>122</v>
      </c>
      <c r="S19">
        <v>122</v>
      </c>
      <c r="T19">
        <v>122</v>
      </c>
      <c r="U19">
        <v>122</v>
      </c>
      <c r="V19">
        <v>121</v>
      </c>
      <c r="W19">
        <v>122</v>
      </c>
      <c r="X19">
        <v>122</v>
      </c>
      <c r="Y19">
        <v>122</v>
      </c>
      <c r="Z19" s="2">
        <f>AVERAGE(Sheet1__12[[#This Row],[00:00:00]:[23:00:00]])</f>
        <v>121.5</v>
      </c>
      <c r="AA19" t="str" cm="1">
        <f t="array" ref="AA1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0" spans="1:27" x14ac:dyDescent="0.3">
      <c r="A20" s="1">
        <v>46010</v>
      </c>
      <c r="B20">
        <v>122</v>
      </c>
      <c r="C20">
        <v>122</v>
      </c>
      <c r="D20">
        <v>123</v>
      </c>
      <c r="E20">
        <v>124</v>
      </c>
      <c r="F20">
        <v>125</v>
      </c>
      <c r="G20">
        <v>126</v>
      </c>
      <c r="H20">
        <v>126</v>
      </c>
      <c r="I20">
        <v>126</v>
      </c>
      <c r="J20">
        <v>128</v>
      </c>
      <c r="K20">
        <v>129</v>
      </c>
      <c r="L20">
        <v>130</v>
      </c>
      <c r="M20">
        <v>130</v>
      </c>
      <c r="N20">
        <v>130</v>
      </c>
      <c r="O20">
        <v>130</v>
      </c>
      <c r="P20">
        <v>130</v>
      </c>
      <c r="Q20">
        <v>130</v>
      </c>
      <c r="R20">
        <v>130</v>
      </c>
      <c r="S20">
        <v>130</v>
      </c>
      <c r="T20">
        <v>130</v>
      </c>
      <c r="U20">
        <v>130</v>
      </c>
      <c r="V20">
        <v>130</v>
      </c>
      <c r="W20">
        <v>129</v>
      </c>
      <c r="X20">
        <v>128</v>
      </c>
      <c r="Y20">
        <v>128</v>
      </c>
      <c r="Z20" s="2">
        <f>AVERAGE(Sheet1__12[[#This Row],[00:00:00]:[23:00:00]])</f>
        <v>127.75</v>
      </c>
      <c r="AA20" t="str" cm="1">
        <f t="array" ref="AA2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1" spans="1:27" x14ac:dyDescent="0.3">
      <c r="A21" s="1">
        <v>46011</v>
      </c>
      <c r="B21">
        <v>126</v>
      </c>
      <c r="C21">
        <v>126</v>
      </c>
      <c r="D21">
        <v>126</v>
      </c>
      <c r="E21">
        <v>124</v>
      </c>
      <c r="F21">
        <v>124</v>
      </c>
      <c r="G21">
        <v>122</v>
      </c>
      <c r="H21">
        <v>122</v>
      </c>
      <c r="I21">
        <v>120</v>
      </c>
      <c r="J21">
        <v>120</v>
      </c>
      <c r="K21">
        <v>119</v>
      </c>
      <c r="L21">
        <v>118</v>
      </c>
      <c r="M21">
        <v>114</v>
      </c>
      <c r="N21">
        <v>113</v>
      </c>
      <c r="O21">
        <v>111</v>
      </c>
      <c r="P21">
        <v>110</v>
      </c>
      <c r="Q21">
        <v>110</v>
      </c>
      <c r="R21">
        <v>108</v>
      </c>
      <c r="S21">
        <v>107</v>
      </c>
      <c r="T21">
        <v>105</v>
      </c>
      <c r="U21">
        <v>105</v>
      </c>
      <c r="V21">
        <v>104</v>
      </c>
      <c r="W21">
        <v>104</v>
      </c>
      <c r="X21">
        <v>103</v>
      </c>
      <c r="Y21">
        <v>104</v>
      </c>
      <c r="Z21" s="2">
        <f>AVERAGE(Sheet1__12[[#This Row],[00:00:00]:[23:00:00]])</f>
        <v>114.375</v>
      </c>
      <c r="AA21" t="str" cm="1">
        <f t="array" ref="AA2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2" spans="1:27" x14ac:dyDescent="0.3">
      <c r="A22" s="1">
        <v>46012</v>
      </c>
      <c r="B22">
        <v>104</v>
      </c>
      <c r="C22">
        <v>104</v>
      </c>
      <c r="D22">
        <v>102</v>
      </c>
      <c r="E22">
        <v>102</v>
      </c>
      <c r="F22">
        <v>100</v>
      </c>
      <c r="G22">
        <v>98</v>
      </c>
      <c r="H22">
        <v>97</v>
      </c>
      <c r="I22">
        <v>96</v>
      </c>
      <c r="J22">
        <v>96</v>
      </c>
      <c r="K22">
        <v>98</v>
      </c>
      <c r="L22">
        <v>103</v>
      </c>
      <c r="M22">
        <v>106</v>
      </c>
      <c r="N22">
        <v>108</v>
      </c>
      <c r="O22">
        <v>112</v>
      </c>
      <c r="P22">
        <v>112</v>
      </c>
      <c r="Q22">
        <v>116</v>
      </c>
      <c r="R22">
        <v>116</v>
      </c>
      <c r="S22">
        <v>117</v>
      </c>
      <c r="T22">
        <v>118</v>
      </c>
      <c r="U22">
        <v>118</v>
      </c>
      <c r="V22">
        <v>120</v>
      </c>
      <c r="W22">
        <v>120</v>
      </c>
      <c r="X22">
        <v>121</v>
      </c>
      <c r="Y22">
        <v>124</v>
      </c>
      <c r="Z22" s="2">
        <f>AVERAGE(Sheet1__12[[#This Row],[00:00:00]:[23:00:00]])</f>
        <v>108.66666666666667</v>
      </c>
      <c r="AA22" t="str" cm="1">
        <f t="array" ref="AA2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3" spans="1:27" x14ac:dyDescent="0.3">
      <c r="A23" s="1">
        <v>46013</v>
      </c>
      <c r="B23">
        <v>124</v>
      </c>
      <c r="C23">
        <v>126</v>
      </c>
      <c r="D23">
        <v>128</v>
      </c>
      <c r="E23">
        <v>129</v>
      </c>
      <c r="F23">
        <v>130</v>
      </c>
      <c r="G23">
        <v>132</v>
      </c>
      <c r="H23">
        <v>134</v>
      </c>
      <c r="I23">
        <v>135</v>
      </c>
      <c r="J23">
        <v>136</v>
      </c>
      <c r="K23">
        <v>136</v>
      </c>
      <c r="L23">
        <v>136</v>
      </c>
      <c r="M23">
        <v>138</v>
      </c>
      <c r="N23">
        <v>140</v>
      </c>
      <c r="O23">
        <v>142</v>
      </c>
      <c r="P23">
        <v>144</v>
      </c>
      <c r="Q23">
        <v>146</v>
      </c>
      <c r="R23">
        <v>148</v>
      </c>
      <c r="S23">
        <v>150</v>
      </c>
      <c r="T23">
        <v>150</v>
      </c>
      <c r="U23">
        <v>151</v>
      </c>
      <c r="V23">
        <v>150</v>
      </c>
      <c r="W23">
        <v>150</v>
      </c>
      <c r="X23">
        <v>150</v>
      </c>
      <c r="Y23">
        <v>149</v>
      </c>
      <c r="Z23" s="2">
        <f>AVERAGE(Sheet1__12[[#This Row],[00:00:00]:[23:00:00]])</f>
        <v>139.75</v>
      </c>
      <c r="AA23" t="str" cm="1">
        <f t="array" ref="AA2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4" spans="1:27" x14ac:dyDescent="0.3">
      <c r="A24" s="1">
        <v>46014</v>
      </c>
      <c r="B24">
        <v>148</v>
      </c>
      <c r="C24">
        <v>146</v>
      </c>
      <c r="D24">
        <v>146</v>
      </c>
      <c r="E24">
        <v>144</v>
      </c>
      <c r="F24">
        <v>144</v>
      </c>
      <c r="G24">
        <v>143</v>
      </c>
      <c r="H24">
        <v>142</v>
      </c>
      <c r="I24">
        <v>141</v>
      </c>
      <c r="J24">
        <v>138</v>
      </c>
      <c r="K24">
        <v>136</v>
      </c>
      <c r="L24">
        <v>134</v>
      </c>
      <c r="M24">
        <v>130</v>
      </c>
      <c r="N24">
        <v>128</v>
      </c>
      <c r="O24">
        <v>124</v>
      </c>
      <c r="P24">
        <v>124</v>
      </c>
      <c r="Q24">
        <v>123</v>
      </c>
      <c r="R24">
        <v>122</v>
      </c>
      <c r="S24">
        <v>122</v>
      </c>
      <c r="T24">
        <v>120</v>
      </c>
      <c r="U24">
        <v>120</v>
      </c>
      <c r="V24">
        <v>119</v>
      </c>
      <c r="W24">
        <v>118</v>
      </c>
      <c r="X24">
        <v>118</v>
      </c>
      <c r="Y24">
        <v>118</v>
      </c>
      <c r="Z24" s="2">
        <f>AVERAGE(Sheet1__12[[#This Row],[00:00:00]:[23:00:00]])</f>
        <v>131.16666666666666</v>
      </c>
      <c r="AA24" t="str" cm="1">
        <f t="array" ref="AA2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5" spans="1:27" x14ac:dyDescent="0.3">
      <c r="A25" s="1">
        <v>46015</v>
      </c>
      <c r="B25">
        <v>116</v>
      </c>
      <c r="C25">
        <v>116</v>
      </c>
      <c r="D25">
        <v>116</v>
      </c>
      <c r="E25">
        <v>115</v>
      </c>
      <c r="F25">
        <v>114</v>
      </c>
      <c r="G25">
        <v>112</v>
      </c>
      <c r="H25">
        <v>110</v>
      </c>
      <c r="I25">
        <v>109</v>
      </c>
      <c r="J25">
        <v>108</v>
      </c>
      <c r="K25">
        <v>106</v>
      </c>
      <c r="L25">
        <v>102</v>
      </c>
      <c r="M25">
        <v>100</v>
      </c>
      <c r="N25">
        <v>98</v>
      </c>
      <c r="O25">
        <v>96</v>
      </c>
      <c r="P25">
        <v>96</v>
      </c>
      <c r="Q25">
        <v>94</v>
      </c>
      <c r="R25">
        <v>94</v>
      </c>
      <c r="S25">
        <v>94</v>
      </c>
      <c r="T25">
        <v>93</v>
      </c>
      <c r="U25">
        <v>93</v>
      </c>
      <c r="V25">
        <v>93</v>
      </c>
      <c r="W25">
        <v>92</v>
      </c>
      <c r="X25">
        <v>92</v>
      </c>
      <c r="Y25">
        <v>92</v>
      </c>
      <c r="Z25" s="2">
        <f>AVERAGE(Sheet1__12[[#This Row],[00:00:00]:[23:00:00]])</f>
        <v>102.125</v>
      </c>
      <c r="AA25" t="str" cm="1">
        <f t="array" ref="AA2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6" spans="1:27" x14ac:dyDescent="0.3">
      <c r="A26" s="1">
        <v>46016</v>
      </c>
      <c r="B26">
        <v>92</v>
      </c>
      <c r="C26">
        <v>92</v>
      </c>
      <c r="D26">
        <v>92</v>
      </c>
      <c r="E26">
        <v>92</v>
      </c>
      <c r="F26">
        <v>93</v>
      </c>
      <c r="G26">
        <v>94</v>
      </c>
      <c r="H26">
        <v>95</v>
      </c>
      <c r="I26">
        <v>96</v>
      </c>
      <c r="J26">
        <v>97</v>
      </c>
      <c r="K26">
        <v>98</v>
      </c>
      <c r="L26">
        <v>98</v>
      </c>
      <c r="M26">
        <v>99</v>
      </c>
      <c r="N26">
        <v>98</v>
      </c>
      <c r="O26">
        <v>98</v>
      </c>
      <c r="P26">
        <v>99</v>
      </c>
      <c r="Q26">
        <v>100</v>
      </c>
      <c r="R26">
        <v>100</v>
      </c>
      <c r="S26">
        <v>102</v>
      </c>
      <c r="T26">
        <v>102</v>
      </c>
      <c r="U26">
        <v>102</v>
      </c>
      <c r="V26">
        <v>102</v>
      </c>
      <c r="W26">
        <v>102</v>
      </c>
      <c r="X26">
        <v>102</v>
      </c>
      <c r="Y26">
        <v>104</v>
      </c>
      <c r="Z26" s="2">
        <f>AVERAGE(Sheet1__12[[#This Row],[00:00:00]:[23:00:00]])</f>
        <v>97.875</v>
      </c>
      <c r="AA26" t="str" cm="1">
        <f t="array" ref="AA2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27" spans="1:27" x14ac:dyDescent="0.3">
      <c r="A27" s="1">
        <v>46017</v>
      </c>
      <c r="B27">
        <v>104</v>
      </c>
      <c r="C27">
        <v>103</v>
      </c>
      <c r="D27">
        <v>103</v>
      </c>
      <c r="E27">
        <v>102</v>
      </c>
      <c r="F27">
        <v>103</v>
      </c>
      <c r="G27">
        <v>103</v>
      </c>
      <c r="H27">
        <v>103</v>
      </c>
      <c r="I27">
        <v>104</v>
      </c>
      <c r="J27">
        <v>103</v>
      </c>
      <c r="K27">
        <v>102</v>
      </c>
      <c r="L27">
        <v>102</v>
      </c>
      <c r="M27">
        <v>102</v>
      </c>
      <c r="N27">
        <v>102</v>
      </c>
      <c r="O27">
        <v>103</v>
      </c>
      <c r="P27">
        <v>104</v>
      </c>
      <c r="Q27">
        <v>104</v>
      </c>
      <c r="R27">
        <v>105</v>
      </c>
      <c r="S27">
        <v>106</v>
      </c>
      <c r="T27">
        <v>106</v>
      </c>
      <c r="U27">
        <v>108</v>
      </c>
      <c r="V27">
        <v>109</v>
      </c>
      <c r="W27">
        <v>110</v>
      </c>
      <c r="X27">
        <v>111</v>
      </c>
      <c r="Y27">
        <v>112</v>
      </c>
      <c r="Z27" s="2">
        <f>AVERAGE(Sheet1__12[[#This Row],[00:00:00]:[23:00:00]])</f>
        <v>104.75</v>
      </c>
      <c r="AA27" t="str" cm="1">
        <f t="array" ref="AA2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8" spans="1:27" x14ac:dyDescent="0.3">
      <c r="A28" s="1">
        <v>46018</v>
      </c>
      <c r="B28">
        <v>112</v>
      </c>
      <c r="C28">
        <v>112</v>
      </c>
      <c r="D28">
        <v>114</v>
      </c>
      <c r="E28">
        <v>114</v>
      </c>
      <c r="F28">
        <v>115</v>
      </c>
      <c r="G28">
        <v>116</v>
      </c>
      <c r="H28">
        <v>116</v>
      </c>
      <c r="I28">
        <v>116</v>
      </c>
      <c r="J28">
        <v>116</v>
      </c>
      <c r="K28">
        <v>116</v>
      </c>
      <c r="L28">
        <v>117</v>
      </c>
      <c r="M28">
        <v>118</v>
      </c>
      <c r="N28">
        <v>118</v>
      </c>
      <c r="O28">
        <v>118</v>
      </c>
      <c r="P28">
        <v>118</v>
      </c>
      <c r="Q28">
        <v>118</v>
      </c>
      <c r="R28">
        <v>118</v>
      </c>
      <c r="S28">
        <v>118</v>
      </c>
      <c r="T28">
        <v>118</v>
      </c>
      <c r="U28">
        <v>118</v>
      </c>
      <c r="V28">
        <v>118</v>
      </c>
      <c r="W28">
        <v>118</v>
      </c>
      <c r="X28">
        <v>119</v>
      </c>
      <c r="Y28">
        <v>120</v>
      </c>
      <c r="Z28" s="2">
        <f>AVERAGE(Sheet1__12[[#This Row],[00:00:00]:[23:00:00]])</f>
        <v>116.70833333333333</v>
      </c>
      <c r="AA28" t="str" cm="1">
        <f t="array" ref="AA2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9" spans="1:27" x14ac:dyDescent="0.3">
      <c r="A29" s="1">
        <v>46019</v>
      </c>
      <c r="B29">
        <v>122</v>
      </c>
      <c r="C29">
        <v>122</v>
      </c>
      <c r="D29">
        <v>122</v>
      </c>
      <c r="E29">
        <v>122</v>
      </c>
      <c r="F29">
        <v>122</v>
      </c>
      <c r="G29">
        <v>121</v>
      </c>
      <c r="H29">
        <v>121</v>
      </c>
      <c r="I29">
        <v>121</v>
      </c>
      <c r="J29">
        <v>122</v>
      </c>
      <c r="K29">
        <v>122</v>
      </c>
      <c r="L29">
        <v>124</v>
      </c>
      <c r="M29">
        <v>124</v>
      </c>
      <c r="N29">
        <v>124</v>
      </c>
      <c r="O29">
        <v>124</v>
      </c>
      <c r="P29">
        <v>124</v>
      </c>
      <c r="Q29">
        <v>124</v>
      </c>
      <c r="R29">
        <v>124</v>
      </c>
      <c r="S29">
        <v>123</v>
      </c>
      <c r="T29">
        <v>122</v>
      </c>
      <c r="U29">
        <v>123</v>
      </c>
      <c r="V29">
        <v>122</v>
      </c>
      <c r="W29">
        <v>122</v>
      </c>
      <c r="X29">
        <v>122</v>
      </c>
      <c r="Y29">
        <v>120</v>
      </c>
      <c r="Z29" s="2">
        <f>AVERAGE(Sheet1__12[[#This Row],[00:00:00]:[23:00:00]])</f>
        <v>122.45833333333333</v>
      </c>
      <c r="AA29" t="str" cm="1">
        <f t="array" ref="AA2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0" spans="1:27" x14ac:dyDescent="0.3">
      <c r="A30" s="1">
        <v>46020</v>
      </c>
      <c r="B30">
        <v>119</v>
      </c>
      <c r="C30">
        <v>119</v>
      </c>
      <c r="D30">
        <v>118</v>
      </c>
      <c r="E30">
        <v>118</v>
      </c>
      <c r="F30">
        <v>118</v>
      </c>
      <c r="G30">
        <v>118</v>
      </c>
      <c r="H30">
        <v>118</v>
      </c>
      <c r="I30">
        <v>118</v>
      </c>
      <c r="J30">
        <v>118</v>
      </c>
      <c r="K30">
        <v>116</v>
      </c>
      <c r="L30">
        <v>116</v>
      </c>
      <c r="M30">
        <v>115</v>
      </c>
      <c r="N30">
        <v>114</v>
      </c>
      <c r="O30">
        <v>114</v>
      </c>
      <c r="P30">
        <v>114</v>
      </c>
      <c r="Q30">
        <v>114</v>
      </c>
      <c r="R30">
        <v>114</v>
      </c>
      <c r="S30">
        <v>115</v>
      </c>
      <c r="T30">
        <v>115</v>
      </c>
      <c r="U30">
        <v>115</v>
      </c>
      <c r="V30">
        <v>148</v>
      </c>
      <c r="W30">
        <v>129</v>
      </c>
      <c r="X30">
        <v>129</v>
      </c>
      <c r="Y30">
        <v>126</v>
      </c>
      <c r="Z30" s="2">
        <f>AVERAGE(Sheet1__12[[#This Row],[00:00:00]:[23:00:00]])</f>
        <v>119.08333333333333</v>
      </c>
      <c r="AA30" t="str" cm="1">
        <f t="array" ref="AA3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1" spans="1:27" x14ac:dyDescent="0.3">
      <c r="A31" s="1">
        <v>46021</v>
      </c>
      <c r="B31">
        <v>122</v>
      </c>
      <c r="C31">
        <v>118</v>
      </c>
      <c r="D31">
        <v>118</v>
      </c>
      <c r="E31">
        <v>116</v>
      </c>
      <c r="F31">
        <v>116</v>
      </c>
      <c r="G31">
        <v>115</v>
      </c>
      <c r="H31">
        <v>114</v>
      </c>
      <c r="I31">
        <v>115</v>
      </c>
      <c r="J31">
        <v>120</v>
      </c>
      <c r="K31">
        <v>124</v>
      </c>
      <c r="L31">
        <v>130</v>
      </c>
      <c r="M31">
        <v>133</v>
      </c>
      <c r="N31">
        <v>133</v>
      </c>
      <c r="O31">
        <v>132</v>
      </c>
      <c r="P31">
        <v>138</v>
      </c>
      <c r="Q31">
        <v>142</v>
      </c>
      <c r="R31">
        <v>144</v>
      </c>
      <c r="S31">
        <v>146</v>
      </c>
      <c r="T31">
        <v>146</v>
      </c>
      <c r="U31">
        <v>147</v>
      </c>
      <c r="V31">
        <v>147</v>
      </c>
      <c r="W31">
        <v>147</v>
      </c>
      <c r="X31">
        <v>147</v>
      </c>
      <c r="Y31">
        <v>148</v>
      </c>
      <c r="Z31" s="2">
        <f>AVERAGE(Sheet1__12[[#This Row],[00:00:00]:[23:00:00]])</f>
        <v>131.58333333333334</v>
      </c>
      <c r="AA31" t="str" cm="1">
        <f t="array" ref="AA3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2" spans="1:27" x14ac:dyDescent="0.3">
      <c r="A32" s="1">
        <v>46022</v>
      </c>
      <c r="B32">
        <v>148</v>
      </c>
      <c r="C32">
        <v>149</v>
      </c>
      <c r="D32">
        <v>149</v>
      </c>
      <c r="E32">
        <v>148</v>
      </c>
      <c r="F32">
        <v>148</v>
      </c>
      <c r="G32">
        <v>148</v>
      </c>
      <c r="H32">
        <v>148</v>
      </c>
      <c r="I32">
        <v>148</v>
      </c>
      <c r="J32">
        <v>148</v>
      </c>
      <c r="K32">
        <v>147</v>
      </c>
      <c r="L32">
        <v>146</v>
      </c>
      <c r="M32">
        <v>147</v>
      </c>
      <c r="N32">
        <v>150</v>
      </c>
      <c r="O32">
        <v>151</v>
      </c>
      <c r="P32">
        <v>146</v>
      </c>
      <c r="Q32">
        <v>142</v>
      </c>
      <c r="R32">
        <v>140</v>
      </c>
      <c r="S32">
        <v>138</v>
      </c>
      <c r="T32">
        <v>136</v>
      </c>
      <c r="U32">
        <v>134</v>
      </c>
      <c r="V32">
        <v>132</v>
      </c>
      <c r="W32">
        <v>130</v>
      </c>
      <c r="X32">
        <v>128</v>
      </c>
      <c r="Y32">
        <v>126</v>
      </c>
      <c r="Z32" s="2">
        <f>AVERAGE(Sheet1__12[[#This Row],[00:00:00]:[23:00:00]])</f>
        <v>142.79166666666666</v>
      </c>
      <c r="AA32" t="str" cm="1">
        <f t="array" ref="AA3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3" spans="26:27" x14ac:dyDescent="0.3">
      <c r="Z33" s="2">
        <f>SUBTOTAL(101,Sheet1__12[AVERAGE AQI])</f>
        <v>112.40246610565686</v>
      </c>
      <c r="AA33" s="3"/>
    </row>
  </sheetData>
  <conditionalFormatting sqref="AA1:AA1048576">
    <cfRule type="containsText" dxfId="6" priority="2" operator="containsText" text="MODERATE">
      <formula>NOT(ISERROR(SEARCH("MODERATE",AA1)))</formula>
    </cfRule>
    <cfRule type="containsText" dxfId="7" priority="1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C2D097-5329-43E0-9820-A02FC8C6E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JUNE</vt:lpstr>
      <vt:lpstr>JUL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omkarkusale18@gmail.com</dc:creator>
  <cp:lastModifiedBy>omkarkusale18@gmail.com</cp:lastModifiedBy>
  <dcterms:created xsi:type="dcterms:W3CDTF">2026-09-04T14:30:47Z</dcterms:created>
  <dcterms:modified xsi:type="dcterms:W3CDTF">2026-09-04T15:04:18Z</dcterms:modified>
</cp:coreProperties>
</file>